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oumi\Documents\E31\kd反応計算\kamano\"/>
    </mc:Choice>
  </mc:AlternateContent>
  <bookViews>
    <workbookView xWindow="0" yWindow="0" windowWidth="11835" windowHeight="6720" activeTab="2"/>
  </bookViews>
  <sheets>
    <sheet name="Model A" sheetId="1" r:id="rId1"/>
    <sheet name="Model B" sheetId="3" r:id="rId2"/>
    <sheet name="Sheet1" sheetId="4" r:id="rId3"/>
  </sheets>
  <calcPr calcId="162913"/>
</workbook>
</file>

<file path=xl/calcChain.xml><?xml version="1.0" encoding="utf-8"?>
<calcChain xmlns="http://schemas.openxmlformats.org/spreadsheetml/2006/main">
  <c r="I13" i="4" l="1"/>
  <c r="G13" i="4"/>
  <c r="J13" i="4" s="1"/>
  <c r="O13" i="4" s="1"/>
  <c r="D13" i="4"/>
  <c r="H13" i="4" s="1"/>
  <c r="L13" i="4" s="1"/>
  <c r="I12" i="4"/>
  <c r="J12" i="4" s="1"/>
  <c r="O12" i="4" s="1"/>
  <c r="G12" i="4"/>
  <c r="D12" i="4"/>
  <c r="F12" i="4" s="1"/>
  <c r="K12" i="4" s="1"/>
  <c r="I11" i="4"/>
  <c r="G11" i="4"/>
  <c r="J11" i="4" s="1"/>
  <c r="O11" i="4" s="1"/>
  <c r="D11" i="4"/>
  <c r="H11" i="4" s="1"/>
  <c r="L11" i="4" s="1"/>
  <c r="I10" i="4"/>
  <c r="G10" i="4"/>
  <c r="J10" i="4" s="1"/>
  <c r="O10" i="4" s="1"/>
  <c r="D10" i="4"/>
  <c r="H10" i="4" s="1"/>
  <c r="L10" i="4" s="1"/>
  <c r="I8" i="4"/>
  <c r="H8" i="4"/>
  <c r="L8" i="4" s="1"/>
  <c r="G8" i="4"/>
  <c r="J8" i="4" s="1"/>
  <c r="O8" i="4" s="1"/>
  <c r="D8" i="4"/>
  <c r="F8" i="4" s="1"/>
  <c r="K8" i="4" s="1"/>
  <c r="M8" i="4" s="1"/>
  <c r="P8" i="4" s="1"/>
  <c r="B8" i="4"/>
  <c r="I7" i="4"/>
  <c r="G7" i="4"/>
  <c r="J7" i="4" s="1"/>
  <c r="O7" i="4" s="1"/>
  <c r="D7" i="4"/>
  <c r="H7" i="4" s="1"/>
  <c r="L7" i="4" s="1"/>
  <c r="D9" i="4"/>
  <c r="H9" i="4" s="1"/>
  <c r="L9" i="4" s="1"/>
  <c r="I9" i="4"/>
  <c r="G9" i="4"/>
  <c r="J9" i="4" s="1"/>
  <c r="O9" i="4" s="1"/>
  <c r="B12" i="4" l="1"/>
  <c r="H12" i="4"/>
  <c r="L12" i="4" s="1"/>
  <c r="M12" i="4" s="1"/>
  <c r="P12" i="4" s="1"/>
  <c r="B13" i="4"/>
  <c r="F13" i="4"/>
  <c r="K13" i="4" s="1"/>
  <c r="M13" i="4" s="1"/>
  <c r="P13" i="4" s="1"/>
  <c r="F11" i="4"/>
  <c r="K11" i="4" s="1"/>
  <c r="M11" i="4" s="1"/>
  <c r="P11" i="4" s="1"/>
  <c r="B11" i="4"/>
  <c r="F10" i="4"/>
  <c r="K10" i="4" s="1"/>
  <c r="M10" i="4" s="1"/>
  <c r="P10" i="4" s="1"/>
  <c r="B10" i="4"/>
  <c r="F7" i="4"/>
  <c r="K7" i="4" s="1"/>
  <c r="M7" i="4" s="1"/>
  <c r="P7" i="4" s="1"/>
  <c r="B7" i="4"/>
  <c r="B9" i="4"/>
  <c r="F9" i="4"/>
  <c r="K9" i="4" s="1"/>
  <c r="M9" i="4" s="1"/>
  <c r="P9" i="4" s="1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I6" i="4" l="1"/>
  <c r="D6" i="4"/>
  <c r="B6" i="4" s="1"/>
  <c r="G6" i="4"/>
  <c r="F6" i="4" l="1"/>
  <c r="K6" i="4" s="1"/>
  <c r="H6" i="4"/>
  <c r="L6" i="4" s="1"/>
  <c r="L97" i="3"/>
  <c r="K97" i="3"/>
  <c r="M97" i="3" s="1"/>
  <c r="N97" i="3" s="1"/>
  <c r="J97" i="3"/>
  <c r="L96" i="3"/>
  <c r="K96" i="3"/>
  <c r="M96" i="3" s="1"/>
  <c r="N96" i="3" s="1"/>
  <c r="J96" i="3"/>
  <c r="L95" i="3"/>
  <c r="K95" i="3"/>
  <c r="M95" i="3" s="1"/>
  <c r="N95" i="3" s="1"/>
  <c r="J95" i="3"/>
  <c r="L94" i="3"/>
  <c r="M94" i="3" s="1"/>
  <c r="N94" i="3" s="1"/>
  <c r="K94" i="3"/>
  <c r="J94" i="3"/>
  <c r="M93" i="3"/>
  <c r="N93" i="3" s="1"/>
  <c r="L93" i="3"/>
  <c r="K93" i="3"/>
  <c r="J93" i="3"/>
  <c r="L92" i="3"/>
  <c r="K92" i="3"/>
  <c r="M92" i="3" s="1"/>
  <c r="N92" i="3" s="1"/>
  <c r="J92" i="3"/>
  <c r="L91" i="3"/>
  <c r="K91" i="3"/>
  <c r="M91" i="3" s="1"/>
  <c r="N91" i="3" s="1"/>
  <c r="J91" i="3"/>
  <c r="L90" i="3"/>
  <c r="M90" i="3" s="1"/>
  <c r="N90" i="3" s="1"/>
  <c r="K90" i="3"/>
  <c r="J90" i="3"/>
  <c r="M89" i="3"/>
  <c r="N89" i="3" s="1"/>
  <c r="L89" i="3"/>
  <c r="K89" i="3"/>
  <c r="J89" i="3"/>
  <c r="N88" i="3"/>
  <c r="L88" i="3"/>
  <c r="K88" i="3"/>
  <c r="M88" i="3" s="1"/>
  <c r="J88" i="3"/>
  <c r="L87" i="3"/>
  <c r="K87" i="3"/>
  <c r="M87" i="3" s="1"/>
  <c r="N87" i="3" s="1"/>
  <c r="J87" i="3"/>
  <c r="L86" i="3"/>
  <c r="M86" i="3" s="1"/>
  <c r="N86" i="3" s="1"/>
  <c r="K86" i="3"/>
  <c r="J86" i="3"/>
  <c r="M85" i="3"/>
  <c r="N85" i="3" s="1"/>
  <c r="L85" i="3"/>
  <c r="K85" i="3"/>
  <c r="J85" i="3"/>
  <c r="L84" i="3"/>
  <c r="K84" i="3"/>
  <c r="M84" i="3" s="1"/>
  <c r="N84" i="3" s="1"/>
  <c r="J84" i="3"/>
  <c r="L83" i="3"/>
  <c r="K83" i="3"/>
  <c r="M83" i="3" s="1"/>
  <c r="N83" i="3" s="1"/>
  <c r="J83" i="3"/>
  <c r="L82" i="3"/>
  <c r="M82" i="3" s="1"/>
  <c r="N82" i="3" s="1"/>
  <c r="K82" i="3"/>
  <c r="J82" i="3"/>
  <c r="M81" i="3"/>
  <c r="N81" i="3" s="1"/>
  <c r="L81" i="3"/>
  <c r="K81" i="3"/>
  <c r="J81" i="3"/>
  <c r="N80" i="3"/>
  <c r="L80" i="3"/>
  <c r="K80" i="3"/>
  <c r="M80" i="3" s="1"/>
  <c r="J80" i="3"/>
  <c r="L79" i="3"/>
  <c r="K79" i="3"/>
  <c r="M79" i="3" s="1"/>
  <c r="N79" i="3" s="1"/>
  <c r="J79" i="3"/>
  <c r="L78" i="3"/>
  <c r="M78" i="3" s="1"/>
  <c r="N78" i="3" s="1"/>
  <c r="K78" i="3"/>
  <c r="J78" i="3"/>
  <c r="M77" i="3"/>
  <c r="N77" i="3" s="1"/>
  <c r="L77" i="3"/>
  <c r="K77" i="3"/>
  <c r="J77" i="3"/>
  <c r="L76" i="3"/>
  <c r="K76" i="3"/>
  <c r="M76" i="3" s="1"/>
  <c r="N76" i="3" s="1"/>
  <c r="J76" i="3"/>
  <c r="L75" i="3"/>
  <c r="K75" i="3"/>
  <c r="M75" i="3" s="1"/>
  <c r="N75" i="3" s="1"/>
  <c r="J75" i="3"/>
  <c r="L74" i="3"/>
  <c r="M74" i="3" s="1"/>
  <c r="N74" i="3" s="1"/>
  <c r="K74" i="3"/>
  <c r="J74" i="3"/>
  <c r="M73" i="3"/>
  <c r="N73" i="3" s="1"/>
  <c r="L73" i="3"/>
  <c r="K73" i="3"/>
  <c r="J73" i="3"/>
  <c r="N72" i="3"/>
  <c r="L72" i="3"/>
  <c r="K72" i="3"/>
  <c r="M72" i="3" s="1"/>
  <c r="J72" i="3"/>
  <c r="L71" i="3"/>
  <c r="K71" i="3"/>
  <c r="M71" i="3" s="1"/>
  <c r="N71" i="3" s="1"/>
  <c r="J71" i="3"/>
  <c r="L70" i="3"/>
  <c r="M70" i="3" s="1"/>
  <c r="N70" i="3" s="1"/>
  <c r="K70" i="3"/>
  <c r="J70" i="3"/>
  <c r="M69" i="3"/>
  <c r="N69" i="3" s="1"/>
  <c r="L69" i="3"/>
  <c r="K69" i="3"/>
  <c r="J69" i="3"/>
  <c r="L68" i="3"/>
  <c r="K68" i="3"/>
  <c r="M68" i="3" s="1"/>
  <c r="N68" i="3" s="1"/>
  <c r="J68" i="3"/>
  <c r="L67" i="3"/>
  <c r="K67" i="3"/>
  <c r="M67" i="3" s="1"/>
  <c r="N67" i="3" s="1"/>
  <c r="J67" i="3"/>
  <c r="L66" i="3"/>
  <c r="M66" i="3" s="1"/>
  <c r="N66" i="3" s="1"/>
  <c r="K66" i="3"/>
  <c r="J66" i="3"/>
  <c r="M65" i="3"/>
  <c r="N65" i="3" s="1"/>
  <c r="L65" i="3"/>
  <c r="K65" i="3"/>
  <c r="J65" i="3"/>
  <c r="N64" i="3"/>
  <c r="L64" i="3"/>
  <c r="K64" i="3"/>
  <c r="M64" i="3" s="1"/>
  <c r="J64" i="3"/>
  <c r="L63" i="3"/>
  <c r="K63" i="3"/>
  <c r="M63" i="3" s="1"/>
  <c r="N63" i="3" s="1"/>
  <c r="J63" i="3"/>
  <c r="L62" i="3"/>
  <c r="M62" i="3" s="1"/>
  <c r="N62" i="3" s="1"/>
  <c r="K62" i="3"/>
  <c r="J62" i="3"/>
  <c r="M61" i="3"/>
  <c r="N61" i="3" s="1"/>
  <c r="L61" i="3"/>
  <c r="K61" i="3"/>
  <c r="J61" i="3"/>
  <c r="L60" i="3"/>
  <c r="K60" i="3"/>
  <c r="M60" i="3" s="1"/>
  <c r="N60" i="3" s="1"/>
  <c r="J60" i="3"/>
  <c r="L59" i="3"/>
  <c r="K59" i="3"/>
  <c r="M59" i="3" s="1"/>
  <c r="N59" i="3" s="1"/>
  <c r="J59" i="3"/>
  <c r="L58" i="3"/>
  <c r="M58" i="3" s="1"/>
  <c r="N58" i="3" s="1"/>
  <c r="K58" i="3"/>
  <c r="J58" i="3"/>
  <c r="M57" i="3"/>
  <c r="N57" i="3" s="1"/>
  <c r="L57" i="3"/>
  <c r="K57" i="3"/>
  <c r="J57" i="3"/>
  <c r="N56" i="3"/>
  <c r="L56" i="3"/>
  <c r="K56" i="3"/>
  <c r="M56" i="3" s="1"/>
  <c r="J56" i="3"/>
  <c r="L55" i="3"/>
  <c r="K55" i="3"/>
  <c r="M55" i="3" s="1"/>
  <c r="N55" i="3" s="1"/>
  <c r="J55" i="3"/>
  <c r="L54" i="3"/>
  <c r="M54" i="3" s="1"/>
  <c r="N54" i="3" s="1"/>
  <c r="K54" i="3"/>
  <c r="J54" i="3"/>
  <c r="M53" i="3"/>
  <c r="N53" i="3" s="1"/>
  <c r="L53" i="3"/>
  <c r="K53" i="3"/>
  <c r="J53" i="3"/>
  <c r="L52" i="3"/>
  <c r="K52" i="3"/>
  <c r="M52" i="3" s="1"/>
  <c r="N52" i="3" s="1"/>
  <c r="J52" i="3"/>
  <c r="L51" i="3"/>
  <c r="K51" i="3"/>
  <c r="M51" i="3" s="1"/>
  <c r="N51" i="3" s="1"/>
  <c r="J51" i="3"/>
  <c r="L50" i="3"/>
  <c r="M50" i="3" s="1"/>
  <c r="N50" i="3" s="1"/>
  <c r="K50" i="3"/>
  <c r="J50" i="3"/>
  <c r="M49" i="3"/>
  <c r="N49" i="3" s="1"/>
  <c r="L49" i="3"/>
  <c r="K49" i="3"/>
  <c r="J49" i="3"/>
  <c r="N48" i="3"/>
  <c r="L48" i="3"/>
  <c r="K48" i="3"/>
  <c r="M48" i="3" s="1"/>
  <c r="J48" i="3"/>
  <c r="L47" i="3"/>
  <c r="K47" i="3"/>
  <c r="M47" i="3" s="1"/>
  <c r="N47" i="3" s="1"/>
  <c r="J47" i="3"/>
  <c r="L46" i="3"/>
  <c r="K46" i="3"/>
  <c r="M46" i="3" s="1"/>
  <c r="N46" i="3" s="1"/>
  <c r="J46" i="3"/>
  <c r="M45" i="3"/>
  <c r="N45" i="3" s="1"/>
  <c r="L45" i="3"/>
  <c r="K45" i="3"/>
  <c r="J45" i="3"/>
  <c r="L44" i="3"/>
  <c r="K44" i="3"/>
  <c r="M44" i="3" s="1"/>
  <c r="N44" i="3" s="1"/>
  <c r="J44" i="3"/>
  <c r="L43" i="3"/>
  <c r="K43" i="3"/>
  <c r="M43" i="3" s="1"/>
  <c r="N43" i="3" s="1"/>
  <c r="J43" i="3"/>
  <c r="L42" i="3"/>
  <c r="K42" i="3"/>
  <c r="J42" i="3"/>
  <c r="M41" i="3"/>
  <c r="N41" i="3" s="1"/>
  <c r="L41" i="3"/>
  <c r="K41" i="3"/>
  <c r="J41" i="3"/>
  <c r="N40" i="3"/>
  <c r="L40" i="3"/>
  <c r="K40" i="3"/>
  <c r="M40" i="3" s="1"/>
  <c r="J40" i="3"/>
  <c r="L39" i="3"/>
  <c r="K39" i="3"/>
  <c r="M39" i="3" s="1"/>
  <c r="N39" i="3" s="1"/>
  <c r="J39" i="3"/>
  <c r="L38" i="3"/>
  <c r="K38" i="3"/>
  <c r="M38" i="3" s="1"/>
  <c r="N38" i="3" s="1"/>
  <c r="J38" i="3"/>
  <c r="M37" i="3"/>
  <c r="N37" i="3" s="1"/>
  <c r="L37" i="3"/>
  <c r="K37" i="3"/>
  <c r="J37" i="3"/>
  <c r="L36" i="3"/>
  <c r="K36" i="3"/>
  <c r="M36" i="3" s="1"/>
  <c r="N36" i="3" s="1"/>
  <c r="J36" i="3"/>
  <c r="L35" i="3"/>
  <c r="K35" i="3"/>
  <c r="M35" i="3" s="1"/>
  <c r="N35" i="3" s="1"/>
  <c r="J35" i="3"/>
  <c r="L34" i="3"/>
  <c r="K34" i="3"/>
  <c r="J34" i="3"/>
  <c r="M33" i="3"/>
  <c r="N33" i="3" s="1"/>
  <c r="L33" i="3"/>
  <c r="K33" i="3"/>
  <c r="J33" i="3"/>
  <c r="N32" i="3"/>
  <c r="L32" i="3"/>
  <c r="K32" i="3"/>
  <c r="M32" i="3" s="1"/>
  <c r="J32" i="3"/>
  <c r="L31" i="3"/>
  <c r="K31" i="3"/>
  <c r="M31" i="3" s="1"/>
  <c r="N31" i="3" s="1"/>
  <c r="J31" i="3"/>
  <c r="L30" i="3"/>
  <c r="K30" i="3"/>
  <c r="M30" i="3" s="1"/>
  <c r="N30" i="3" s="1"/>
  <c r="J30" i="3"/>
  <c r="M29" i="3"/>
  <c r="N29" i="3" s="1"/>
  <c r="L29" i="3"/>
  <c r="K29" i="3"/>
  <c r="J29" i="3"/>
  <c r="L28" i="3"/>
  <c r="K28" i="3"/>
  <c r="M28" i="3" s="1"/>
  <c r="N28" i="3" s="1"/>
  <c r="J28" i="3"/>
  <c r="L27" i="3"/>
  <c r="K27" i="3"/>
  <c r="M27" i="3" s="1"/>
  <c r="N27" i="3" s="1"/>
  <c r="J27" i="3"/>
  <c r="L26" i="3"/>
  <c r="K26" i="3"/>
  <c r="J26" i="3"/>
  <c r="M25" i="3"/>
  <c r="N25" i="3" s="1"/>
  <c r="L25" i="3"/>
  <c r="K25" i="3"/>
  <c r="J25" i="3"/>
  <c r="N24" i="3"/>
  <c r="L24" i="3"/>
  <c r="K24" i="3"/>
  <c r="M24" i="3" s="1"/>
  <c r="J24" i="3"/>
  <c r="L23" i="3"/>
  <c r="K23" i="3"/>
  <c r="M23" i="3" s="1"/>
  <c r="N23" i="3" s="1"/>
  <c r="J23" i="3"/>
  <c r="L22" i="3"/>
  <c r="K22" i="3"/>
  <c r="M22" i="3" s="1"/>
  <c r="N22" i="3" s="1"/>
  <c r="J22" i="3"/>
  <c r="M21" i="3"/>
  <c r="N21" i="3" s="1"/>
  <c r="L21" i="3"/>
  <c r="K21" i="3"/>
  <c r="J21" i="3"/>
  <c r="L20" i="3"/>
  <c r="K20" i="3"/>
  <c r="M20" i="3" s="1"/>
  <c r="N20" i="3" s="1"/>
  <c r="J20" i="3"/>
  <c r="L19" i="3"/>
  <c r="K19" i="3"/>
  <c r="M19" i="3" s="1"/>
  <c r="N19" i="3" s="1"/>
  <c r="J19" i="3"/>
  <c r="L18" i="3"/>
  <c r="K18" i="3"/>
  <c r="J18" i="3"/>
  <c r="M17" i="3"/>
  <c r="N17" i="3" s="1"/>
  <c r="L17" i="3"/>
  <c r="K17" i="3"/>
  <c r="J17" i="3"/>
  <c r="N16" i="3"/>
  <c r="L16" i="3"/>
  <c r="K16" i="3"/>
  <c r="M16" i="3" s="1"/>
  <c r="J16" i="3"/>
  <c r="L15" i="3"/>
  <c r="K15" i="3"/>
  <c r="M15" i="3" s="1"/>
  <c r="N15" i="3" s="1"/>
  <c r="J15" i="3"/>
  <c r="L14" i="3"/>
  <c r="K14" i="3"/>
  <c r="M14" i="3" s="1"/>
  <c r="N14" i="3" s="1"/>
  <c r="J14" i="3"/>
  <c r="M13" i="3"/>
  <c r="N13" i="3" s="1"/>
  <c r="L13" i="3"/>
  <c r="K13" i="3"/>
  <c r="J13" i="3"/>
  <c r="L12" i="3"/>
  <c r="K12" i="3"/>
  <c r="M12" i="3" s="1"/>
  <c r="N12" i="3" s="1"/>
  <c r="J12" i="3"/>
  <c r="L11" i="3"/>
  <c r="K11" i="3"/>
  <c r="M11" i="3" s="1"/>
  <c r="N11" i="3" s="1"/>
  <c r="J11" i="3"/>
  <c r="L10" i="3"/>
  <c r="K10" i="3"/>
  <c r="J10" i="3"/>
  <c r="M9" i="3"/>
  <c r="N9" i="3" s="1"/>
  <c r="L9" i="3"/>
  <c r="K9" i="3"/>
  <c r="J9" i="3"/>
  <c r="N8" i="3"/>
  <c r="M8" i="3"/>
  <c r="L8" i="3"/>
  <c r="K8" i="3"/>
  <c r="J8" i="3"/>
  <c r="L7" i="3"/>
  <c r="K7" i="3"/>
  <c r="M7" i="3" s="1"/>
  <c r="N7" i="3" s="1"/>
  <c r="J7" i="3"/>
  <c r="L6" i="3"/>
  <c r="K6" i="3"/>
  <c r="M6" i="3" s="1"/>
  <c r="N6" i="3" s="1"/>
  <c r="J6" i="3"/>
  <c r="M5" i="3"/>
  <c r="N5" i="3" s="1"/>
  <c r="L5" i="3"/>
  <c r="K5" i="3"/>
  <c r="J5" i="3"/>
  <c r="N4" i="3"/>
  <c r="M4" i="3"/>
  <c r="L4" i="3"/>
  <c r="K4" i="3"/>
  <c r="J4" i="3"/>
  <c r="L3" i="3"/>
  <c r="K3" i="3"/>
  <c r="M3" i="3" s="1"/>
  <c r="N3" i="3" s="1"/>
  <c r="J3" i="3"/>
  <c r="L2" i="3"/>
  <c r="K2" i="3"/>
  <c r="M2" i="3" s="1"/>
  <c r="N2" i="3" s="1"/>
  <c r="J2" i="3"/>
  <c r="M97" i="1"/>
  <c r="N97" i="1" s="1"/>
  <c r="L97" i="1"/>
  <c r="K97" i="1"/>
  <c r="J97" i="1"/>
  <c r="N96" i="1"/>
  <c r="M96" i="1"/>
  <c r="L96" i="1"/>
  <c r="K96" i="1"/>
  <c r="J96" i="1"/>
  <c r="L95" i="1"/>
  <c r="K95" i="1"/>
  <c r="M95" i="1" s="1"/>
  <c r="N95" i="1" s="1"/>
  <c r="J95" i="1"/>
  <c r="L94" i="1"/>
  <c r="K94" i="1"/>
  <c r="M94" i="1" s="1"/>
  <c r="N94" i="1" s="1"/>
  <c r="J94" i="1"/>
  <c r="M93" i="1"/>
  <c r="N93" i="1" s="1"/>
  <c r="L93" i="1"/>
  <c r="K93" i="1"/>
  <c r="J93" i="1"/>
  <c r="N92" i="1"/>
  <c r="M92" i="1"/>
  <c r="L92" i="1"/>
  <c r="K92" i="1"/>
  <c r="J92" i="1"/>
  <c r="L91" i="1"/>
  <c r="K91" i="1"/>
  <c r="M91" i="1" s="1"/>
  <c r="N91" i="1" s="1"/>
  <c r="J91" i="1"/>
  <c r="L90" i="1"/>
  <c r="K90" i="1"/>
  <c r="J90" i="1"/>
  <c r="M89" i="1"/>
  <c r="N89" i="1" s="1"/>
  <c r="L89" i="1"/>
  <c r="K89" i="1"/>
  <c r="J89" i="1"/>
  <c r="N88" i="1"/>
  <c r="M88" i="1"/>
  <c r="L88" i="1"/>
  <c r="K88" i="1"/>
  <c r="J88" i="1"/>
  <c r="L87" i="1"/>
  <c r="K87" i="1"/>
  <c r="M87" i="1" s="1"/>
  <c r="N87" i="1" s="1"/>
  <c r="J87" i="1"/>
  <c r="L86" i="1"/>
  <c r="K86" i="1"/>
  <c r="M86" i="1" s="1"/>
  <c r="N86" i="1" s="1"/>
  <c r="J86" i="1"/>
  <c r="M85" i="1"/>
  <c r="N85" i="1" s="1"/>
  <c r="L85" i="1"/>
  <c r="K85" i="1"/>
  <c r="J85" i="1"/>
  <c r="N84" i="1"/>
  <c r="M84" i="1"/>
  <c r="L84" i="1"/>
  <c r="K84" i="1"/>
  <c r="J84" i="1"/>
  <c r="L83" i="1"/>
  <c r="K83" i="1"/>
  <c r="M83" i="1" s="1"/>
  <c r="N83" i="1" s="1"/>
  <c r="J83" i="1"/>
  <c r="L82" i="1"/>
  <c r="K82" i="1"/>
  <c r="M82" i="1" s="1"/>
  <c r="N82" i="1" s="1"/>
  <c r="J82" i="1"/>
  <c r="M81" i="1"/>
  <c r="N81" i="1" s="1"/>
  <c r="L81" i="1"/>
  <c r="K81" i="1"/>
  <c r="J81" i="1"/>
  <c r="N80" i="1"/>
  <c r="M80" i="1"/>
  <c r="L80" i="1"/>
  <c r="K80" i="1"/>
  <c r="J80" i="1"/>
  <c r="L79" i="1"/>
  <c r="K79" i="1"/>
  <c r="M79" i="1" s="1"/>
  <c r="N79" i="1" s="1"/>
  <c r="J79" i="1"/>
  <c r="L78" i="1"/>
  <c r="K78" i="1"/>
  <c r="M78" i="1" s="1"/>
  <c r="N78" i="1" s="1"/>
  <c r="J78" i="1"/>
  <c r="M77" i="1"/>
  <c r="N77" i="1" s="1"/>
  <c r="L77" i="1"/>
  <c r="K77" i="1"/>
  <c r="J77" i="1"/>
  <c r="N76" i="1"/>
  <c r="M76" i="1"/>
  <c r="L76" i="1"/>
  <c r="K76" i="1"/>
  <c r="J76" i="1"/>
  <c r="L75" i="1"/>
  <c r="K75" i="1"/>
  <c r="M75" i="1" s="1"/>
  <c r="N75" i="1" s="1"/>
  <c r="J75" i="1"/>
  <c r="L74" i="1"/>
  <c r="K74" i="1"/>
  <c r="J74" i="1"/>
  <c r="M73" i="1"/>
  <c r="N73" i="1" s="1"/>
  <c r="L73" i="1"/>
  <c r="K73" i="1"/>
  <c r="J73" i="1"/>
  <c r="N72" i="1"/>
  <c r="M72" i="1"/>
  <c r="L72" i="1"/>
  <c r="K72" i="1"/>
  <c r="J72" i="1"/>
  <c r="L71" i="1"/>
  <c r="K71" i="1"/>
  <c r="M71" i="1" s="1"/>
  <c r="N71" i="1" s="1"/>
  <c r="J71" i="1"/>
  <c r="L70" i="1"/>
  <c r="K70" i="1"/>
  <c r="M70" i="1" s="1"/>
  <c r="N70" i="1" s="1"/>
  <c r="J70" i="1"/>
  <c r="M69" i="1"/>
  <c r="N69" i="1" s="1"/>
  <c r="L69" i="1"/>
  <c r="K69" i="1"/>
  <c r="J69" i="1"/>
  <c r="N68" i="1"/>
  <c r="M68" i="1"/>
  <c r="L68" i="1"/>
  <c r="K68" i="1"/>
  <c r="J68" i="1"/>
  <c r="L67" i="1"/>
  <c r="K67" i="1"/>
  <c r="M67" i="1" s="1"/>
  <c r="N67" i="1" s="1"/>
  <c r="J67" i="1"/>
  <c r="L66" i="1"/>
  <c r="K66" i="1"/>
  <c r="M66" i="1" s="1"/>
  <c r="N66" i="1" s="1"/>
  <c r="J66" i="1"/>
  <c r="M65" i="1"/>
  <c r="N65" i="1" s="1"/>
  <c r="L65" i="1"/>
  <c r="K65" i="1"/>
  <c r="J65" i="1"/>
  <c r="N64" i="1"/>
  <c r="M64" i="1"/>
  <c r="L64" i="1"/>
  <c r="K64" i="1"/>
  <c r="J64" i="1"/>
  <c r="L63" i="1"/>
  <c r="K63" i="1"/>
  <c r="M63" i="1" s="1"/>
  <c r="N63" i="1" s="1"/>
  <c r="J63" i="1"/>
  <c r="L62" i="1"/>
  <c r="K62" i="1"/>
  <c r="M62" i="1" s="1"/>
  <c r="N62" i="1" s="1"/>
  <c r="J62" i="1"/>
  <c r="M61" i="1"/>
  <c r="N61" i="1" s="1"/>
  <c r="L61" i="1"/>
  <c r="K61" i="1"/>
  <c r="J61" i="1"/>
  <c r="N60" i="1"/>
  <c r="M60" i="1"/>
  <c r="L60" i="1"/>
  <c r="K60" i="1"/>
  <c r="J60" i="1"/>
  <c r="L59" i="1"/>
  <c r="K59" i="1"/>
  <c r="M59" i="1" s="1"/>
  <c r="N59" i="1" s="1"/>
  <c r="J59" i="1"/>
  <c r="L58" i="1"/>
  <c r="K58" i="1"/>
  <c r="J58" i="1"/>
  <c r="M57" i="1"/>
  <c r="N57" i="1" s="1"/>
  <c r="L57" i="1"/>
  <c r="K57" i="1"/>
  <c r="J57" i="1"/>
  <c r="N56" i="1"/>
  <c r="M56" i="1"/>
  <c r="L56" i="1"/>
  <c r="K56" i="1"/>
  <c r="J56" i="1"/>
  <c r="L55" i="1"/>
  <c r="K55" i="1"/>
  <c r="M55" i="1" s="1"/>
  <c r="N55" i="1" s="1"/>
  <c r="J55" i="1"/>
  <c r="L54" i="1"/>
  <c r="K54" i="1"/>
  <c r="M54" i="1" s="1"/>
  <c r="N54" i="1" s="1"/>
  <c r="J54" i="1"/>
  <c r="M53" i="1"/>
  <c r="N53" i="1" s="1"/>
  <c r="L53" i="1"/>
  <c r="K53" i="1"/>
  <c r="J53" i="1"/>
  <c r="N52" i="1"/>
  <c r="M52" i="1"/>
  <c r="L52" i="1"/>
  <c r="K52" i="1"/>
  <c r="J52" i="1"/>
  <c r="L51" i="1"/>
  <c r="K51" i="1"/>
  <c r="M51" i="1" s="1"/>
  <c r="N51" i="1" s="1"/>
  <c r="J51" i="1"/>
  <c r="L50" i="1"/>
  <c r="K50" i="1"/>
  <c r="M50" i="1" s="1"/>
  <c r="N50" i="1" s="1"/>
  <c r="J50" i="1"/>
  <c r="M49" i="1"/>
  <c r="N49" i="1" s="1"/>
  <c r="L49" i="1"/>
  <c r="K49" i="1"/>
  <c r="J49" i="1"/>
  <c r="N48" i="1"/>
  <c r="M48" i="1"/>
  <c r="L48" i="1"/>
  <c r="K48" i="1"/>
  <c r="J48" i="1"/>
  <c r="L47" i="1"/>
  <c r="K47" i="1"/>
  <c r="M47" i="1" s="1"/>
  <c r="N47" i="1" s="1"/>
  <c r="J47" i="1"/>
  <c r="L46" i="1"/>
  <c r="K46" i="1"/>
  <c r="M46" i="1" s="1"/>
  <c r="N46" i="1" s="1"/>
  <c r="J46" i="1"/>
  <c r="M45" i="1"/>
  <c r="N45" i="1" s="1"/>
  <c r="L45" i="1"/>
  <c r="K45" i="1"/>
  <c r="J45" i="1"/>
  <c r="N44" i="1"/>
  <c r="M44" i="1"/>
  <c r="L44" i="1"/>
  <c r="K44" i="1"/>
  <c r="J44" i="1"/>
  <c r="L43" i="1"/>
  <c r="K43" i="1"/>
  <c r="M43" i="1" s="1"/>
  <c r="N43" i="1" s="1"/>
  <c r="J43" i="1"/>
  <c r="L42" i="1"/>
  <c r="K42" i="1"/>
  <c r="J42" i="1"/>
  <c r="M41" i="1"/>
  <c r="N41" i="1" s="1"/>
  <c r="L41" i="1"/>
  <c r="K41" i="1"/>
  <c r="J41" i="1"/>
  <c r="N40" i="1"/>
  <c r="M40" i="1"/>
  <c r="L40" i="1"/>
  <c r="K40" i="1"/>
  <c r="J40" i="1"/>
  <c r="L39" i="1"/>
  <c r="K39" i="1"/>
  <c r="M39" i="1" s="1"/>
  <c r="N39" i="1" s="1"/>
  <c r="J39" i="1"/>
  <c r="L38" i="1"/>
  <c r="K38" i="1"/>
  <c r="M38" i="1" s="1"/>
  <c r="N38" i="1" s="1"/>
  <c r="J38" i="1"/>
  <c r="M37" i="1"/>
  <c r="N37" i="1" s="1"/>
  <c r="L37" i="1"/>
  <c r="K37" i="1"/>
  <c r="J37" i="1"/>
  <c r="N36" i="1"/>
  <c r="M36" i="1"/>
  <c r="L36" i="1"/>
  <c r="K36" i="1"/>
  <c r="J36" i="1"/>
  <c r="L35" i="1"/>
  <c r="K35" i="1"/>
  <c r="M35" i="1" s="1"/>
  <c r="N35" i="1" s="1"/>
  <c r="J35" i="1"/>
  <c r="L34" i="1"/>
  <c r="K34" i="1"/>
  <c r="M34" i="1" s="1"/>
  <c r="N34" i="1" s="1"/>
  <c r="J34" i="1"/>
  <c r="M33" i="1"/>
  <c r="N33" i="1" s="1"/>
  <c r="L33" i="1"/>
  <c r="K33" i="1"/>
  <c r="J33" i="1"/>
  <c r="N32" i="1"/>
  <c r="M32" i="1"/>
  <c r="L32" i="1"/>
  <c r="K32" i="1"/>
  <c r="J32" i="1"/>
  <c r="L31" i="1"/>
  <c r="K31" i="1"/>
  <c r="M31" i="1" s="1"/>
  <c r="N31" i="1" s="1"/>
  <c r="J31" i="1"/>
  <c r="L30" i="1"/>
  <c r="K30" i="1"/>
  <c r="M30" i="1" s="1"/>
  <c r="N30" i="1" s="1"/>
  <c r="J30" i="1"/>
  <c r="M29" i="1"/>
  <c r="N29" i="1" s="1"/>
  <c r="L29" i="1"/>
  <c r="K29" i="1"/>
  <c r="J29" i="1"/>
  <c r="N28" i="1"/>
  <c r="M28" i="1"/>
  <c r="L28" i="1"/>
  <c r="K28" i="1"/>
  <c r="J28" i="1"/>
  <c r="L27" i="1"/>
  <c r="K27" i="1"/>
  <c r="M27" i="1" s="1"/>
  <c r="N27" i="1" s="1"/>
  <c r="J27" i="1"/>
  <c r="L26" i="1"/>
  <c r="K26" i="1"/>
  <c r="J26" i="1"/>
  <c r="L25" i="1"/>
  <c r="M25" i="1" s="1"/>
  <c r="N25" i="1" s="1"/>
  <c r="K25" i="1"/>
  <c r="J25" i="1"/>
  <c r="M24" i="1"/>
  <c r="N24" i="1" s="1"/>
  <c r="L24" i="1"/>
  <c r="K24" i="1"/>
  <c r="J24" i="1"/>
  <c r="L23" i="1"/>
  <c r="K23" i="1"/>
  <c r="M23" i="1" s="1"/>
  <c r="N23" i="1" s="1"/>
  <c r="J23" i="1"/>
  <c r="L22" i="1"/>
  <c r="K22" i="1"/>
  <c r="M22" i="1" s="1"/>
  <c r="N22" i="1" s="1"/>
  <c r="J22" i="1"/>
  <c r="L21" i="1"/>
  <c r="M21" i="1" s="1"/>
  <c r="N21" i="1" s="1"/>
  <c r="K21" i="1"/>
  <c r="J21" i="1"/>
  <c r="M20" i="1"/>
  <c r="N20" i="1" s="1"/>
  <c r="L20" i="1"/>
  <c r="K20" i="1"/>
  <c r="J20" i="1"/>
  <c r="L19" i="1"/>
  <c r="K19" i="1"/>
  <c r="M19" i="1" s="1"/>
  <c r="N19" i="1" s="1"/>
  <c r="J19" i="1"/>
  <c r="L18" i="1"/>
  <c r="K18" i="1"/>
  <c r="M18" i="1" s="1"/>
  <c r="N18" i="1" s="1"/>
  <c r="J18" i="1"/>
  <c r="L17" i="1"/>
  <c r="M17" i="1" s="1"/>
  <c r="N17" i="1" s="1"/>
  <c r="K17" i="1"/>
  <c r="J17" i="1"/>
  <c r="M16" i="1"/>
  <c r="N16" i="1" s="1"/>
  <c r="L16" i="1"/>
  <c r="K16" i="1"/>
  <c r="J16" i="1"/>
  <c r="L15" i="1"/>
  <c r="K15" i="1"/>
  <c r="M15" i="1" s="1"/>
  <c r="N15" i="1" s="1"/>
  <c r="J15" i="1"/>
  <c r="L14" i="1"/>
  <c r="K14" i="1"/>
  <c r="M14" i="1" s="1"/>
  <c r="N14" i="1" s="1"/>
  <c r="J14" i="1"/>
  <c r="L13" i="1"/>
  <c r="M13" i="1" s="1"/>
  <c r="N13" i="1" s="1"/>
  <c r="K13" i="1"/>
  <c r="J13" i="1"/>
  <c r="M12" i="1"/>
  <c r="N12" i="1" s="1"/>
  <c r="L12" i="1"/>
  <c r="K12" i="1"/>
  <c r="J12" i="1"/>
  <c r="L11" i="1"/>
  <c r="K11" i="1"/>
  <c r="M11" i="1" s="1"/>
  <c r="N11" i="1" s="1"/>
  <c r="J11" i="1"/>
  <c r="L10" i="1"/>
  <c r="K10" i="1"/>
  <c r="M10" i="1" s="1"/>
  <c r="N10" i="1" s="1"/>
  <c r="J10" i="1"/>
  <c r="L9" i="1"/>
  <c r="M9" i="1" s="1"/>
  <c r="N9" i="1" s="1"/>
  <c r="K9" i="1"/>
  <c r="J9" i="1"/>
  <c r="M8" i="1"/>
  <c r="N8" i="1" s="1"/>
  <c r="L8" i="1"/>
  <c r="K8" i="1"/>
  <c r="J8" i="1"/>
  <c r="L7" i="1"/>
  <c r="K7" i="1"/>
  <c r="M7" i="1" s="1"/>
  <c r="N7" i="1" s="1"/>
  <c r="J7" i="1"/>
  <c r="L6" i="1"/>
  <c r="K6" i="1"/>
  <c r="M6" i="1" s="1"/>
  <c r="N6" i="1" s="1"/>
  <c r="J6" i="1"/>
  <c r="L5" i="1"/>
  <c r="M5" i="1" s="1"/>
  <c r="N5" i="1" s="1"/>
  <c r="K5" i="1"/>
  <c r="J5" i="1"/>
  <c r="M4" i="1"/>
  <c r="N4" i="1" s="1"/>
  <c r="L4" i="1"/>
  <c r="K4" i="1"/>
  <c r="J4" i="1"/>
  <c r="L3" i="1"/>
  <c r="K3" i="1"/>
  <c r="M3" i="1" s="1"/>
  <c r="N3" i="1" s="1"/>
  <c r="J3" i="1"/>
  <c r="L2" i="1"/>
  <c r="K2" i="1"/>
  <c r="M2" i="1" s="1"/>
  <c r="N2" i="1" s="1"/>
  <c r="J2" i="1"/>
  <c r="M6" i="4" l="1"/>
  <c r="P6" i="4" s="1"/>
  <c r="J6" i="4"/>
  <c r="O6" i="4" s="1"/>
  <c r="M26" i="1"/>
  <c r="N26" i="1" s="1"/>
  <c r="M42" i="1"/>
  <c r="N42" i="1" s="1"/>
  <c r="M58" i="1"/>
  <c r="N58" i="1" s="1"/>
  <c r="M74" i="1"/>
  <c r="N74" i="1" s="1"/>
  <c r="M90" i="1"/>
  <c r="N90" i="1" s="1"/>
  <c r="M10" i="3"/>
  <c r="N10" i="3" s="1"/>
  <c r="M18" i="3"/>
  <c r="N18" i="3" s="1"/>
  <c r="M26" i="3"/>
  <c r="N26" i="3" s="1"/>
  <c r="M34" i="3"/>
  <c r="N34" i="3" s="1"/>
  <c r="M42" i="3"/>
  <c r="N42" i="3" s="1"/>
</calcChain>
</file>

<file path=xl/sharedStrings.xml><?xml version="1.0" encoding="utf-8"?>
<sst xmlns="http://schemas.openxmlformats.org/spreadsheetml/2006/main" count="33" uniqueCount="26">
  <si>
    <t>pi+Sigma-</t>
    <phoneticPr fontId="0" type="Hiragana"/>
  </si>
  <si>
    <t>pi-Sigma+</t>
    <phoneticPr fontId="0" type="Hiragana"/>
  </si>
  <si>
    <t>pi0Sigma0</t>
    <phoneticPr fontId="0" type="Hiragana"/>
  </si>
  <si>
    <t>f(1)^2/2+f(0)^2/3</t>
    <phoneticPr fontId="0" type="Hiragana"/>
  </si>
  <si>
    <t>f(0)^2/3</t>
    <phoneticPr fontId="0" type="Hiragana"/>
  </si>
  <si>
    <t>f(1)^2/2</t>
    <phoneticPr fontId="0" type="Hiragana"/>
  </si>
  <si>
    <t>f/[q0^2-q'^2]</t>
    <phoneticPr fontId="1"/>
  </si>
  <si>
    <t>1/f(q0,q')=1/[E1(q0)+E1(q')]+1/[E2(q0)+E2(q')]</t>
    <phoneticPr fontId="1"/>
  </si>
  <si>
    <t>MpiSig</t>
    <phoneticPr fontId="1"/>
  </si>
  <si>
    <t>1/[MpiSig-W(q')]</t>
    <phoneticPr fontId="1"/>
  </si>
  <si>
    <t>q0</t>
    <phoneticPr fontId="1"/>
  </si>
  <si>
    <t>mpi</t>
    <phoneticPr fontId="1"/>
  </si>
  <si>
    <t>mSig</t>
    <phoneticPr fontId="1"/>
  </si>
  <si>
    <t>mK</t>
    <phoneticPr fontId="1"/>
  </si>
  <si>
    <t>mN</t>
    <phoneticPr fontId="1"/>
  </si>
  <si>
    <t>q'</t>
    <phoneticPr fontId="1"/>
  </si>
  <si>
    <t>E1(q0)</t>
    <phoneticPr fontId="1"/>
  </si>
  <si>
    <t>E1(q')</t>
    <phoneticPr fontId="1"/>
  </si>
  <si>
    <t>E2(q0)</t>
    <phoneticPr fontId="1"/>
  </si>
  <si>
    <t>E2(q')</t>
    <phoneticPr fontId="1"/>
  </si>
  <si>
    <t>W(q')</t>
    <phoneticPr fontId="1"/>
  </si>
  <si>
    <t>f(q0,q')</t>
    <phoneticPr fontId="1"/>
  </si>
  <si>
    <t>f/(q0^2-q'^2)</t>
    <phoneticPr fontId="1"/>
  </si>
  <si>
    <t>E1+E1'</t>
    <phoneticPr fontId="1"/>
  </si>
  <si>
    <t>E2+E2'</t>
    <phoneticPr fontId="1"/>
  </si>
  <si>
    <t>k2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</si>
</sst>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0" xfId="0" quotePrefix="1" applyAlignment="1">
      <alignment wrapText="1"/>
    </xf>
    <xf numFmtId="0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'Model A'!$A$2:$A$97</c:f>
              <c:numCache>
                <c:formatCode>General</c:formatCode>
                <c:ptCount val="96"/>
                <c:pt idx="0">
                  <c:v>1331.7</c:v>
                </c:pt>
                <c:pt idx="1">
                  <c:v>1334.00269</c:v>
                </c:pt>
                <c:pt idx="2">
                  <c:v>1336.30537</c:v>
                </c:pt>
                <c:pt idx="3">
                  <c:v>1338.60806</c:v>
                </c:pt>
                <c:pt idx="4">
                  <c:v>1340.91075</c:v>
                </c:pt>
                <c:pt idx="5">
                  <c:v>1343.21343</c:v>
                </c:pt>
                <c:pt idx="6">
                  <c:v>1345.51612</c:v>
                </c:pt>
                <c:pt idx="7">
                  <c:v>1347.8188</c:v>
                </c:pt>
                <c:pt idx="8">
                  <c:v>1350.12149</c:v>
                </c:pt>
                <c:pt idx="9">
                  <c:v>1352.42418</c:v>
                </c:pt>
                <c:pt idx="10">
                  <c:v>1354.72686</c:v>
                </c:pt>
                <c:pt idx="11">
                  <c:v>1357.02955</c:v>
                </c:pt>
                <c:pt idx="12">
                  <c:v>1359.33224</c:v>
                </c:pt>
                <c:pt idx="13">
                  <c:v>1361.63492</c:v>
                </c:pt>
                <c:pt idx="14">
                  <c:v>1363.9376099999999</c:v>
                </c:pt>
                <c:pt idx="15">
                  <c:v>1366.24029</c:v>
                </c:pt>
                <c:pt idx="16">
                  <c:v>1368.5429799999999</c:v>
                </c:pt>
                <c:pt idx="17">
                  <c:v>1370.8456699999999</c:v>
                </c:pt>
                <c:pt idx="18">
                  <c:v>1373.1483499999999</c:v>
                </c:pt>
                <c:pt idx="19">
                  <c:v>1375.4510399999999</c:v>
                </c:pt>
                <c:pt idx="20">
                  <c:v>1377.7537299999999</c:v>
                </c:pt>
                <c:pt idx="21">
                  <c:v>1380.0564099999999</c:v>
                </c:pt>
                <c:pt idx="22">
                  <c:v>1382.3590999999999</c:v>
                </c:pt>
                <c:pt idx="23">
                  <c:v>1384.6617799999999</c:v>
                </c:pt>
                <c:pt idx="24">
                  <c:v>1386.9644699999999</c:v>
                </c:pt>
                <c:pt idx="25">
                  <c:v>1389.2671600000001</c:v>
                </c:pt>
                <c:pt idx="26">
                  <c:v>1391.5698400000001</c:v>
                </c:pt>
                <c:pt idx="27">
                  <c:v>1393.8725300000001</c:v>
                </c:pt>
                <c:pt idx="28">
                  <c:v>1396.1752200000001</c:v>
                </c:pt>
                <c:pt idx="29">
                  <c:v>1398.4779000000001</c:v>
                </c:pt>
                <c:pt idx="30">
                  <c:v>1400.7805900000001</c:v>
                </c:pt>
                <c:pt idx="31">
                  <c:v>1403.0832800000001</c:v>
                </c:pt>
                <c:pt idx="32">
                  <c:v>1405.3859600000001</c:v>
                </c:pt>
                <c:pt idx="33">
                  <c:v>1407.6886500000001</c:v>
                </c:pt>
                <c:pt idx="34">
                  <c:v>1409.9913300000001</c:v>
                </c:pt>
                <c:pt idx="35">
                  <c:v>1412.29402</c:v>
                </c:pt>
                <c:pt idx="36">
                  <c:v>1414.59671</c:v>
                </c:pt>
                <c:pt idx="37">
                  <c:v>1416.89939</c:v>
                </c:pt>
                <c:pt idx="38">
                  <c:v>1419.20208</c:v>
                </c:pt>
                <c:pt idx="39">
                  <c:v>1421.50477</c:v>
                </c:pt>
                <c:pt idx="40">
                  <c:v>1423.80745</c:v>
                </c:pt>
                <c:pt idx="41">
                  <c:v>1426.11014</c:v>
                </c:pt>
                <c:pt idx="42">
                  <c:v>1428.41282</c:v>
                </c:pt>
                <c:pt idx="43">
                  <c:v>1430.71551</c:v>
                </c:pt>
                <c:pt idx="44">
                  <c:v>1433.0182</c:v>
                </c:pt>
                <c:pt idx="45">
                  <c:v>1435.32088</c:v>
                </c:pt>
                <c:pt idx="46">
                  <c:v>1437.62357</c:v>
                </c:pt>
                <c:pt idx="47">
                  <c:v>1439.92626</c:v>
                </c:pt>
                <c:pt idx="48">
                  <c:v>1442.22894</c:v>
                </c:pt>
                <c:pt idx="49">
                  <c:v>1444.53163</c:v>
                </c:pt>
                <c:pt idx="50">
                  <c:v>1446.83431</c:v>
                </c:pt>
                <c:pt idx="51">
                  <c:v>1449.1369999999999</c:v>
                </c:pt>
                <c:pt idx="52">
                  <c:v>1451.4396899999999</c:v>
                </c:pt>
                <c:pt idx="53">
                  <c:v>1453.7423699999999</c:v>
                </c:pt>
                <c:pt idx="54">
                  <c:v>1456.0450599999999</c:v>
                </c:pt>
                <c:pt idx="55">
                  <c:v>1458.3477499999999</c:v>
                </c:pt>
                <c:pt idx="56">
                  <c:v>1460.6504299999999</c:v>
                </c:pt>
                <c:pt idx="57">
                  <c:v>1462.9531199999999</c:v>
                </c:pt>
                <c:pt idx="58">
                  <c:v>1465.2558100000001</c:v>
                </c:pt>
                <c:pt idx="59">
                  <c:v>1467.5584899999999</c:v>
                </c:pt>
                <c:pt idx="60">
                  <c:v>1469.8611800000001</c:v>
                </c:pt>
                <c:pt idx="61">
                  <c:v>1472.1638600000001</c:v>
                </c:pt>
                <c:pt idx="62">
                  <c:v>1474.4665500000001</c:v>
                </c:pt>
                <c:pt idx="63">
                  <c:v>1476.7692400000001</c:v>
                </c:pt>
                <c:pt idx="64">
                  <c:v>1479.0719200000001</c:v>
                </c:pt>
                <c:pt idx="65">
                  <c:v>1481.3746100000001</c:v>
                </c:pt>
                <c:pt idx="66">
                  <c:v>1483.6773000000001</c:v>
                </c:pt>
                <c:pt idx="67">
                  <c:v>1485.9799800000001</c:v>
                </c:pt>
                <c:pt idx="68">
                  <c:v>1488.2826700000001</c:v>
                </c:pt>
                <c:pt idx="69">
                  <c:v>1490.5853500000001</c:v>
                </c:pt>
                <c:pt idx="70">
                  <c:v>1492.88804</c:v>
                </c:pt>
                <c:pt idx="71">
                  <c:v>1495.19073</c:v>
                </c:pt>
                <c:pt idx="72">
                  <c:v>1497.49341</c:v>
                </c:pt>
                <c:pt idx="73">
                  <c:v>1499.7961</c:v>
                </c:pt>
                <c:pt idx="74">
                  <c:v>1502.09879</c:v>
                </c:pt>
                <c:pt idx="75">
                  <c:v>1504.40147</c:v>
                </c:pt>
                <c:pt idx="76">
                  <c:v>1506.70416</c:v>
                </c:pt>
                <c:pt idx="77">
                  <c:v>1509.00684</c:v>
                </c:pt>
                <c:pt idx="78">
                  <c:v>1511.30953</c:v>
                </c:pt>
                <c:pt idx="79">
                  <c:v>1513.61222</c:v>
                </c:pt>
                <c:pt idx="80">
                  <c:v>1515.9149</c:v>
                </c:pt>
                <c:pt idx="81">
                  <c:v>1518.21759</c:v>
                </c:pt>
                <c:pt idx="82">
                  <c:v>1520.52028</c:v>
                </c:pt>
                <c:pt idx="83">
                  <c:v>1522.82296</c:v>
                </c:pt>
                <c:pt idx="84">
                  <c:v>1525.12565</c:v>
                </c:pt>
                <c:pt idx="85">
                  <c:v>1527.42833</c:v>
                </c:pt>
                <c:pt idx="86">
                  <c:v>1529.7310199999999</c:v>
                </c:pt>
                <c:pt idx="87">
                  <c:v>1532.0337099999999</c:v>
                </c:pt>
                <c:pt idx="88">
                  <c:v>1534.3363899999999</c:v>
                </c:pt>
                <c:pt idx="89">
                  <c:v>1536.6390799999999</c:v>
                </c:pt>
                <c:pt idx="90">
                  <c:v>1538.9417699999999</c:v>
                </c:pt>
                <c:pt idx="91">
                  <c:v>1541.2444499999999</c:v>
                </c:pt>
                <c:pt idx="92">
                  <c:v>1543.5471399999999</c:v>
                </c:pt>
                <c:pt idx="93">
                  <c:v>1545.8498300000001</c:v>
                </c:pt>
                <c:pt idx="94">
                  <c:v>1548.1525099999999</c:v>
                </c:pt>
                <c:pt idx="95">
                  <c:v>1550.4552000000001</c:v>
                </c:pt>
              </c:numCache>
            </c:numRef>
          </c:xVal>
          <c:yVal>
            <c:numRef>
              <c:f>'Model A'!$B$2:$B$97</c:f>
              <c:numCache>
                <c:formatCode>0.00E+00</c:formatCode>
                <c:ptCount val="96"/>
                <c:pt idx="0">
                  <c:v>0</c:v>
                </c:pt>
                <c:pt idx="1">
                  <c:v>0.28383999999999998</c:v>
                </c:pt>
                <c:pt idx="2">
                  <c:v>0.42690299999999998</c:v>
                </c:pt>
                <c:pt idx="3">
                  <c:v>0.56011999999999995</c:v>
                </c:pt>
                <c:pt idx="4">
                  <c:v>0.69455699999999998</c:v>
                </c:pt>
                <c:pt idx="5">
                  <c:v>0.83436200000000005</c:v>
                </c:pt>
                <c:pt idx="6">
                  <c:v>0.98160000000000003</c:v>
                </c:pt>
                <c:pt idx="7">
                  <c:v>1.13764</c:v>
                </c:pt>
                <c:pt idx="8">
                  <c:v>1.30267</c:v>
                </c:pt>
                <c:pt idx="9">
                  <c:v>1.4774700000000001</c:v>
                </c:pt>
                <c:pt idx="10">
                  <c:v>1.66246</c:v>
                </c:pt>
                <c:pt idx="11">
                  <c:v>1.85866</c:v>
                </c:pt>
                <c:pt idx="12">
                  <c:v>2.0663100000000001</c:v>
                </c:pt>
                <c:pt idx="13">
                  <c:v>2.2843900000000001</c:v>
                </c:pt>
                <c:pt idx="14">
                  <c:v>2.5125299999999999</c:v>
                </c:pt>
                <c:pt idx="15">
                  <c:v>2.7482899999999999</c:v>
                </c:pt>
                <c:pt idx="16">
                  <c:v>2.9895700000000001</c:v>
                </c:pt>
                <c:pt idx="17">
                  <c:v>3.2342300000000002</c:v>
                </c:pt>
                <c:pt idx="18">
                  <c:v>3.4790999999999999</c:v>
                </c:pt>
                <c:pt idx="19">
                  <c:v>3.7216499999999999</c:v>
                </c:pt>
                <c:pt idx="20">
                  <c:v>3.9593600000000002</c:v>
                </c:pt>
                <c:pt idx="21">
                  <c:v>4.1899300000000004</c:v>
                </c:pt>
                <c:pt idx="22">
                  <c:v>4.41432</c:v>
                </c:pt>
                <c:pt idx="23">
                  <c:v>4.6337400000000004</c:v>
                </c:pt>
                <c:pt idx="24">
                  <c:v>4.8509000000000002</c:v>
                </c:pt>
                <c:pt idx="25">
                  <c:v>5.0617900000000002</c:v>
                </c:pt>
                <c:pt idx="26">
                  <c:v>5.2642800000000003</c:v>
                </c:pt>
                <c:pt idx="27">
                  <c:v>5.45587</c:v>
                </c:pt>
                <c:pt idx="28">
                  <c:v>5.6353999999999997</c:v>
                </c:pt>
                <c:pt idx="29">
                  <c:v>5.8028399999999998</c:v>
                </c:pt>
                <c:pt idx="30">
                  <c:v>5.95756</c:v>
                </c:pt>
                <c:pt idx="31">
                  <c:v>6.0995999999999997</c:v>
                </c:pt>
                <c:pt idx="32">
                  <c:v>6.2296300000000002</c:v>
                </c:pt>
                <c:pt idx="33">
                  <c:v>6.3480600000000003</c:v>
                </c:pt>
                <c:pt idx="34">
                  <c:v>6.4539900000000001</c:v>
                </c:pt>
                <c:pt idx="35">
                  <c:v>6.5473999999999997</c:v>
                </c:pt>
                <c:pt idx="36">
                  <c:v>6.62819</c:v>
                </c:pt>
                <c:pt idx="37">
                  <c:v>6.6944100000000004</c:v>
                </c:pt>
                <c:pt idx="38">
                  <c:v>6.7438399999999996</c:v>
                </c:pt>
                <c:pt idx="39">
                  <c:v>6.7769300000000001</c:v>
                </c:pt>
                <c:pt idx="40">
                  <c:v>6.78932</c:v>
                </c:pt>
                <c:pt idx="41">
                  <c:v>6.7705099999999998</c:v>
                </c:pt>
                <c:pt idx="42">
                  <c:v>6.6844099999999997</c:v>
                </c:pt>
                <c:pt idx="43">
                  <c:v>6.4193800000000003</c:v>
                </c:pt>
                <c:pt idx="44">
                  <c:v>3.93581</c:v>
                </c:pt>
                <c:pt idx="45">
                  <c:v>3.8751000000000002</c:v>
                </c:pt>
                <c:pt idx="46">
                  <c:v>4.1438699999999997</c:v>
                </c:pt>
                <c:pt idx="47">
                  <c:v>4.4278399999999998</c:v>
                </c:pt>
                <c:pt idx="48">
                  <c:v>4.6530699999999996</c:v>
                </c:pt>
                <c:pt idx="49">
                  <c:v>4.7894500000000004</c:v>
                </c:pt>
                <c:pt idx="50">
                  <c:v>4.8182099999999997</c:v>
                </c:pt>
                <c:pt idx="51">
                  <c:v>4.7325299999999997</c:v>
                </c:pt>
                <c:pt idx="52">
                  <c:v>4.5379800000000001</c:v>
                </c:pt>
                <c:pt idx="53">
                  <c:v>4.2515400000000003</c:v>
                </c:pt>
                <c:pt idx="54">
                  <c:v>3.9031500000000001</c:v>
                </c:pt>
                <c:pt idx="55">
                  <c:v>3.52495</c:v>
                </c:pt>
                <c:pt idx="56">
                  <c:v>3.15028</c:v>
                </c:pt>
                <c:pt idx="57">
                  <c:v>2.80437</c:v>
                </c:pt>
                <c:pt idx="58">
                  <c:v>2.4973000000000001</c:v>
                </c:pt>
                <c:pt idx="59">
                  <c:v>2.2299899999999999</c:v>
                </c:pt>
                <c:pt idx="60">
                  <c:v>2.0005099999999998</c:v>
                </c:pt>
                <c:pt idx="61">
                  <c:v>1.8040700000000001</c:v>
                </c:pt>
                <c:pt idx="62">
                  <c:v>1.63184</c:v>
                </c:pt>
                <c:pt idx="63">
                  <c:v>1.4808399999999999</c:v>
                </c:pt>
                <c:pt idx="64">
                  <c:v>1.34765</c:v>
                </c:pt>
                <c:pt idx="65">
                  <c:v>1.2290700000000001</c:v>
                </c:pt>
                <c:pt idx="66">
                  <c:v>1.1212800000000001</c:v>
                </c:pt>
                <c:pt idx="67">
                  <c:v>1.0234300000000001</c:v>
                </c:pt>
                <c:pt idx="68">
                  <c:v>0.93399200000000004</c:v>
                </c:pt>
                <c:pt idx="69">
                  <c:v>0.85277000000000003</c:v>
                </c:pt>
                <c:pt idx="70">
                  <c:v>0.78252200000000005</c:v>
                </c:pt>
                <c:pt idx="71">
                  <c:v>0.72716099999999995</c:v>
                </c:pt>
                <c:pt idx="72">
                  <c:v>0.67625000000000002</c:v>
                </c:pt>
                <c:pt idx="73">
                  <c:v>0.62822900000000004</c:v>
                </c:pt>
                <c:pt idx="74">
                  <c:v>0.58406100000000005</c:v>
                </c:pt>
                <c:pt idx="75">
                  <c:v>0.54841799999999996</c:v>
                </c:pt>
                <c:pt idx="76">
                  <c:v>0.52337500000000003</c:v>
                </c:pt>
                <c:pt idx="77">
                  <c:v>0.50961999999999996</c:v>
                </c:pt>
                <c:pt idx="78">
                  <c:v>0.50942799999999999</c:v>
                </c:pt>
                <c:pt idx="79">
                  <c:v>0.52043300000000003</c:v>
                </c:pt>
                <c:pt idx="80">
                  <c:v>0.51993299999999998</c:v>
                </c:pt>
                <c:pt idx="81">
                  <c:v>0.486564</c:v>
                </c:pt>
                <c:pt idx="82">
                  <c:v>0.42674099999999998</c:v>
                </c:pt>
                <c:pt idx="83">
                  <c:v>0.37099700000000002</c:v>
                </c:pt>
                <c:pt idx="84">
                  <c:v>0.32202700000000001</c:v>
                </c:pt>
                <c:pt idx="85">
                  <c:v>0.28207100000000002</c:v>
                </c:pt>
                <c:pt idx="86">
                  <c:v>0.25037799999999999</c:v>
                </c:pt>
                <c:pt idx="87">
                  <c:v>0.22477800000000001</c:v>
                </c:pt>
                <c:pt idx="88">
                  <c:v>0.203843</c:v>
                </c:pt>
                <c:pt idx="89">
                  <c:v>0.186248</c:v>
                </c:pt>
                <c:pt idx="90">
                  <c:v>0.17099200000000001</c:v>
                </c:pt>
                <c:pt idx="91">
                  <c:v>0.15737000000000001</c:v>
                </c:pt>
                <c:pt idx="92">
                  <c:v>0.14511299999999999</c:v>
                </c:pt>
                <c:pt idx="93">
                  <c:v>0.133879</c:v>
                </c:pt>
                <c:pt idx="94">
                  <c:v>0.12395399999999999</c:v>
                </c:pt>
                <c:pt idx="95">
                  <c:v>0.11448999999999999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7D-4704-BF65-3BFC30D0ED4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'Model A'!$A$2:$A$97</c:f>
              <c:numCache>
                <c:formatCode>General</c:formatCode>
                <c:ptCount val="96"/>
                <c:pt idx="0">
                  <c:v>1331.7</c:v>
                </c:pt>
                <c:pt idx="1">
                  <c:v>1334.00269</c:v>
                </c:pt>
                <c:pt idx="2">
                  <c:v>1336.30537</c:v>
                </c:pt>
                <c:pt idx="3">
                  <c:v>1338.60806</c:v>
                </c:pt>
                <c:pt idx="4">
                  <c:v>1340.91075</c:v>
                </c:pt>
                <c:pt idx="5">
                  <c:v>1343.21343</c:v>
                </c:pt>
                <c:pt idx="6">
                  <c:v>1345.51612</c:v>
                </c:pt>
                <c:pt idx="7">
                  <c:v>1347.8188</c:v>
                </c:pt>
                <c:pt idx="8">
                  <c:v>1350.12149</c:v>
                </c:pt>
                <c:pt idx="9">
                  <c:v>1352.42418</c:v>
                </c:pt>
                <c:pt idx="10">
                  <c:v>1354.72686</c:v>
                </c:pt>
                <c:pt idx="11">
                  <c:v>1357.02955</c:v>
                </c:pt>
                <c:pt idx="12">
                  <c:v>1359.33224</c:v>
                </c:pt>
                <c:pt idx="13">
                  <c:v>1361.63492</c:v>
                </c:pt>
                <c:pt idx="14">
                  <c:v>1363.9376099999999</c:v>
                </c:pt>
                <c:pt idx="15">
                  <c:v>1366.24029</c:v>
                </c:pt>
                <c:pt idx="16">
                  <c:v>1368.5429799999999</c:v>
                </c:pt>
                <c:pt idx="17">
                  <c:v>1370.8456699999999</c:v>
                </c:pt>
                <c:pt idx="18">
                  <c:v>1373.1483499999999</c:v>
                </c:pt>
                <c:pt idx="19">
                  <c:v>1375.4510399999999</c:v>
                </c:pt>
                <c:pt idx="20">
                  <c:v>1377.7537299999999</c:v>
                </c:pt>
                <c:pt idx="21">
                  <c:v>1380.0564099999999</c:v>
                </c:pt>
                <c:pt idx="22">
                  <c:v>1382.3590999999999</c:v>
                </c:pt>
                <c:pt idx="23">
                  <c:v>1384.6617799999999</c:v>
                </c:pt>
                <c:pt idx="24">
                  <c:v>1386.9644699999999</c:v>
                </c:pt>
                <c:pt idx="25">
                  <c:v>1389.2671600000001</c:v>
                </c:pt>
                <c:pt idx="26">
                  <c:v>1391.5698400000001</c:v>
                </c:pt>
                <c:pt idx="27">
                  <c:v>1393.8725300000001</c:v>
                </c:pt>
                <c:pt idx="28">
                  <c:v>1396.1752200000001</c:v>
                </c:pt>
                <c:pt idx="29">
                  <c:v>1398.4779000000001</c:v>
                </c:pt>
                <c:pt idx="30">
                  <c:v>1400.7805900000001</c:v>
                </c:pt>
                <c:pt idx="31">
                  <c:v>1403.0832800000001</c:v>
                </c:pt>
                <c:pt idx="32">
                  <c:v>1405.3859600000001</c:v>
                </c:pt>
                <c:pt idx="33">
                  <c:v>1407.6886500000001</c:v>
                </c:pt>
                <c:pt idx="34">
                  <c:v>1409.9913300000001</c:v>
                </c:pt>
                <c:pt idx="35">
                  <c:v>1412.29402</c:v>
                </c:pt>
                <c:pt idx="36">
                  <c:v>1414.59671</c:v>
                </c:pt>
                <c:pt idx="37">
                  <c:v>1416.89939</c:v>
                </c:pt>
                <c:pt idx="38">
                  <c:v>1419.20208</c:v>
                </c:pt>
                <c:pt idx="39">
                  <c:v>1421.50477</c:v>
                </c:pt>
                <c:pt idx="40">
                  <c:v>1423.80745</c:v>
                </c:pt>
                <c:pt idx="41">
                  <c:v>1426.11014</c:v>
                </c:pt>
                <c:pt idx="42">
                  <c:v>1428.41282</c:v>
                </c:pt>
                <c:pt idx="43">
                  <c:v>1430.71551</c:v>
                </c:pt>
                <c:pt idx="44">
                  <c:v>1433.0182</c:v>
                </c:pt>
                <c:pt idx="45">
                  <c:v>1435.32088</c:v>
                </c:pt>
                <c:pt idx="46">
                  <c:v>1437.62357</c:v>
                </c:pt>
                <c:pt idx="47">
                  <c:v>1439.92626</c:v>
                </c:pt>
                <c:pt idx="48">
                  <c:v>1442.22894</c:v>
                </c:pt>
                <c:pt idx="49">
                  <c:v>1444.53163</c:v>
                </c:pt>
                <c:pt idx="50">
                  <c:v>1446.83431</c:v>
                </c:pt>
                <c:pt idx="51">
                  <c:v>1449.1369999999999</c:v>
                </c:pt>
                <c:pt idx="52">
                  <c:v>1451.4396899999999</c:v>
                </c:pt>
                <c:pt idx="53">
                  <c:v>1453.7423699999999</c:v>
                </c:pt>
                <c:pt idx="54">
                  <c:v>1456.0450599999999</c:v>
                </c:pt>
                <c:pt idx="55">
                  <c:v>1458.3477499999999</c:v>
                </c:pt>
                <c:pt idx="56">
                  <c:v>1460.6504299999999</c:v>
                </c:pt>
                <c:pt idx="57">
                  <c:v>1462.9531199999999</c:v>
                </c:pt>
                <c:pt idx="58">
                  <c:v>1465.2558100000001</c:v>
                </c:pt>
                <c:pt idx="59">
                  <c:v>1467.5584899999999</c:v>
                </c:pt>
                <c:pt idx="60">
                  <c:v>1469.8611800000001</c:v>
                </c:pt>
                <c:pt idx="61">
                  <c:v>1472.1638600000001</c:v>
                </c:pt>
                <c:pt idx="62">
                  <c:v>1474.4665500000001</c:v>
                </c:pt>
                <c:pt idx="63">
                  <c:v>1476.7692400000001</c:v>
                </c:pt>
                <c:pt idx="64">
                  <c:v>1479.0719200000001</c:v>
                </c:pt>
                <c:pt idx="65">
                  <c:v>1481.3746100000001</c:v>
                </c:pt>
                <c:pt idx="66">
                  <c:v>1483.6773000000001</c:v>
                </c:pt>
                <c:pt idx="67">
                  <c:v>1485.9799800000001</c:v>
                </c:pt>
                <c:pt idx="68">
                  <c:v>1488.2826700000001</c:v>
                </c:pt>
                <c:pt idx="69">
                  <c:v>1490.5853500000001</c:v>
                </c:pt>
                <c:pt idx="70">
                  <c:v>1492.88804</c:v>
                </c:pt>
                <c:pt idx="71">
                  <c:v>1495.19073</c:v>
                </c:pt>
                <c:pt idx="72">
                  <c:v>1497.49341</c:v>
                </c:pt>
                <c:pt idx="73">
                  <c:v>1499.7961</c:v>
                </c:pt>
                <c:pt idx="74">
                  <c:v>1502.09879</c:v>
                </c:pt>
                <c:pt idx="75">
                  <c:v>1504.40147</c:v>
                </c:pt>
                <c:pt idx="76">
                  <c:v>1506.70416</c:v>
                </c:pt>
                <c:pt idx="77">
                  <c:v>1509.00684</c:v>
                </c:pt>
                <c:pt idx="78">
                  <c:v>1511.30953</c:v>
                </c:pt>
                <c:pt idx="79">
                  <c:v>1513.61222</c:v>
                </c:pt>
                <c:pt idx="80">
                  <c:v>1515.9149</c:v>
                </c:pt>
                <c:pt idx="81">
                  <c:v>1518.21759</c:v>
                </c:pt>
                <c:pt idx="82">
                  <c:v>1520.52028</c:v>
                </c:pt>
                <c:pt idx="83">
                  <c:v>1522.82296</c:v>
                </c:pt>
                <c:pt idx="84">
                  <c:v>1525.12565</c:v>
                </c:pt>
                <c:pt idx="85">
                  <c:v>1527.42833</c:v>
                </c:pt>
                <c:pt idx="86">
                  <c:v>1529.7310199999999</c:v>
                </c:pt>
                <c:pt idx="87">
                  <c:v>1532.0337099999999</c:v>
                </c:pt>
                <c:pt idx="88">
                  <c:v>1534.3363899999999</c:v>
                </c:pt>
                <c:pt idx="89">
                  <c:v>1536.6390799999999</c:v>
                </c:pt>
                <c:pt idx="90">
                  <c:v>1538.9417699999999</c:v>
                </c:pt>
                <c:pt idx="91">
                  <c:v>1541.2444499999999</c:v>
                </c:pt>
                <c:pt idx="92">
                  <c:v>1543.5471399999999</c:v>
                </c:pt>
                <c:pt idx="93">
                  <c:v>1545.8498300000001</c:v>
                </c:pt>
                <c:pt idx="94">
                  <c:v>1548.1525099999999</c:v>
                </c:pt>
                <c:pt idx="95">
                  <c:v>1550.4552000000001</c:v>
                </c:pt>
              </c:numCache>
            </c:numRef>
          </c:xVal>
          <c:yVal>
            <c:numRef>
              <c:f>'Model A'!$E$2:$E$97</c:f>
              <c:numCache>
                <c:formatCode>0.00E+00</c:formatCode>
                <c:ptCount val="96"/>
                <c:pt idx="0">
                  <c:v>0</c:v>
                </c:pt>
                <c:pt idx="1">
                  <c:v>0.31204500000000002</c:v>
                </c:pt>
                <c:pt idx="2">
                  <c:v>0.48026000000000002</c:v>
                </c:pt>
                <c:pt idx="3">
                  <c:v>0.64185999999999999</c:v>
                </c:pt>
                <c:pt idx="4">
                  <c:v>0.809091</c:v>
                </c:pt>
                <c:pt idx="5">
                  <c:v>0.98692999999999997</c:v>
                </c:pt>
                <c:pt idx="6">
                  <c:v>1.17828</c:v>
                </c:pt>
                <c:pt idx="7">
                  <c:v>1.38517</c:v>
                </c:pt>
                <c:pt idx="8">
                  <c:v>1.6085</c:v>
                </c:pt>
                <c:pt idx="9">
                  <c:v>1.8497699999999999</c:v>
                </c:pt>
                <c:pt idx="10">
                  <c:v>2.1100699999999999</c:v>
                </c:pt>
                <c:pt idx="11">
                  <c:v>2.3909799999999999</c:v>
                </c:pt>
                <c:pt idx="12">
                  <c:v>2.6932100000000001</c:v>
                </c:pt>
                <c:pt idx="13">
                  <c:v>3.0159500000000001</c:v>
                </c:pt>
                <c:pt idx="14">
                  <c:v>3.3591600000000001</c:v>
                </c:pt>
                <c:pt idx="15">
                  <c:v>3.7204600000000001</c:v>
                </c:pt>
                <c:pt idx="16">
                  <c:v>4.0978000000000003</c:v>
                </c:pt>
                <c:pt idx="17">
                  <c:v>4.4888399999999997</c:v>
                </c:pt>
                <c:pt idx="18">
                  <c:v>4.8902000000000001</c:v>
                </c:pt>
                <c:pt idx="19">
                  <c:v>5.2991200000000003</c:v>
                </c:pt>
                <c:pt idx="20">
                  <c:v>5.7129899999999996</c:v>
                </c:pt>
                <c:pt idx="21">
                  <c:v>6.1295200000000003</c:v>
                </c:pt>
                <c:pt idx="22">
                  <c:v>6.5507299999999997</c:v>
                </c:pt>
                <c:pt idx="23">
                  <c:v>6.9769600000000001</c:v>
                </c:pt>
                <c:pt idx="24">
                  <c:v>7.4092900000000004</c:v>
                </c:pt>
                <c:pt idx="25">
                  <c:v>7.8421099999999999</c:v>
                </c:pt>
                <c:pt idx="26">
                  <c:v>8.27041</c:v>
                </c:pt>
                <c:pt idx="27">
                  <c:v>8.6921199999999992</c:v>
                </c:pt>
                <c:pt idx="28">
                  <c:v>9.1064100000000003</c:v>
                </c:pt>
                <c:pt idx="29">
                  <c:v>9.5134799999999995</c:v>
                </c:pt>
                <c:pt idx="30">
                  <c:v>9.9132400000000001</c:v>
                </c:pt>
                <c:pt idx="31">
                  <c:v>10.3088</c:v>
                </c:pt>
                <c:pt idx="32">
                  <c:v>10.6982</c:v>
                </c:pt>
                <c:pt idx="33">
                  <c:v>11.0855</c:v>
                </c:pt>
                <c:pt idx="34">
                  <c:v>11.472200000000001</c:v>
                </c:pt>
                <c:pt idx="35">
                  <c:v>11.862399999999999</c:v>
                </c:pt>
                <c:pt idx="36">
                  <c:v>12.2613</c:v>
                </c:pt>
                <c:pt idx="37">
                  <c:v>12.675000000000001</c:v>
                </c:pt>
                <c:pt idx="38">
                  <c:v>13.1175</c:v>
                </c:pt>
                <c:pt idx="39">
                  <c:v>13.607699999999999</c:v>
                </c:pt>
                <c:pt idx="40">
                  <c:v>14.171200000000001</c:v>
                </c:pt>
                <c:pt idx="41">
                  <c:v>14.8363</c:v>
                </c:pt>
                <c:pt idx="42">
                  <c:v>15.643599999999999</c:v>
                </c:pt>
                <c:pt idx="43">
                  <c:v>16.718</c:v>
                </c:pt>
                <c:pt idx="44">
                  <c:v>17.549800000000001</c:v>
                </c:pt>
                <c:pt idx="45">
                  <c:v>19.953600000000002</c:v>
                </c:pt>
                <c:pt idx="46">
                  <c:v>22.250599999999999</c:v>
                </c:pt>
                <c:pt idx="47">
                  <c:v>24.4864</c:v>
                </c:pt>
                <c:pt idx="48">
                  <c:v>26.637499999999999</c:v>
                </c:pt>
                <c:pt idx="49">
                  <c:v>28.5838</c:v>
                </c:pt>
                <c:pt idx="50">
                  <c:v>30.1891</c:v>
                </c:pt>
                <c:pt idx="51">
                  <c:v>31.2864</c:v>
                </c:pt>
                <c:pt idx="52">
                  <c:v>31.716799999999999</c:v>
                </c:pt>
                <c:pt idx="53">
                  <c:v>31.371600000000001</c:v>
                </c:pt>
                <c:pt idx="54">
                  <c:v>30.249300000000002</c:v>
                </c:pt>
                <c:pt idx="55">
                  <c:v>28.484000000000002</c:v>
                </c:pt>
                <c:pt idx="56">
                  <c:v>26.300799999999999</c:v>
                </c:pt>
                <c:pt idx="57">
                  <c:v>23.911799999999999</c:v>
                </c:pt>
                <c:pt idx="58">
                  <c:v>21.527200000000001</c:v>
                </c:pt>
                <c:pt idx="59">
                  <c:v>19.2422</c:v>
                </c:pt>
                <c:pt idx="60">
                  <c:v>17.139199999999999</c:v>
                </c:pt>
                <c:pt idx="61">
                  <c:v>15.2477</c:v>
                </c:pt>
                <c:pt idx="62">
                  <c:v>13.5603</c:v>
                </c:pt>
                <c:pt idx="63">
                  <c:v>12.069599999999999</c:v>
                </c:pt>
                <c:pt idx="64">
                  <c:v>10.757199999999999</c:v>
                </c:pt>
                <c:pt idx="65">
                  <c:v>9.6042299999999994</c:v>
                </c:pt>
                <c:pt idx="66">
                  <c:v>8.5912100000000002</c:v>
                </c:pt>
                <c:pt idx="67">
                  <c:v>7.7016200000000001</c:v>
                </c:pt>
                <c:pt idx="68">
                  <c:v>6.9208600000000002</c:v>
                </c:pt>
                <c:pt idx="69">
                  <c:v>6.2370599999999996</c:v>
                </c:pt>
                <c:pt idx="70">
                  <c:v>5.6375599999999997</c:v>
                </c:pt>
                <c:pt idx="71">
                  <c:v>5.1163699999999999</c:v>
                </c:pt>
                <c:pt idx="72">
                  <c:v>4.6647400000000001</c:v>
                </c:pt>
                <c:pt idx="73">
                  <c:v>4.2684300000000004</c:v>
                </c:pt>
                <c:pt idx="74">
                  <c:v>3.9086099999999999</c:v>
                </c:pt>
                <c:pt idx="75">
                  <c:v>3.5916700000000001</c:v>
                </c:pt>
                <c:pt idx="76">
                  <c:v>3.3150900000000001</c:v>
                </c:pt>
                <c:pt idx="77">
                  <c:v>3.0765500000000001</c:v>
                </c:pt>
                <c:pt idx="78">
                  <c:v>2.8628999999999998</c:v>
                </c:pt>
                <c:pt idx="79">
                  <c:v>2.6778300000000002</c:v>
                </c:pt>
                <c:pt idx="80">
                  <c:v>2.5030999999999999</c:v>
                </c:pt>
                <c:pt idx="81">
                  <c:v>2.3121499999999999</c:v>
                </c:pt>
                <c:pt idx="82">
                  <c:v>2.1143100000000001</c:v>
                </c:pt>
                <c:pt idx="83">
                  <c:v>1.9337500000000001</c:v>
                </c:pt>
                <c:pt idx="84">
                  <c:v>1.7699499999999999</c:v>
                </c:pt>
                <c:pt idx="85">
                  <c:v>1.6244700000000001</c:v>
                </c:pt>
                <c:pt idx="86">
                  <c:v>1.4924500000000001</c:v>
                </c:pt>
                <c:pt idx="87">
                  <c:v>1.3789800000000001</c:v>
                </c:pt>
                <c:pt idx="88">
                  <c:v>1.27789</c:v>
                </c:pt>
                <c:pt idx="89">
                  <c:v>1.18127</c:v>
                </c:pt>
                <c:pt idx="90">
                  <c:v>1.0998699999999999</c:v>
                </c:pt>
                <c:pt idx="91">
                  <c:v>1.0257700000000001</c:v>
                </c:pt>
                <c:pt idx="92">
                  <c:v>0.95852800000000005</c:v>
                </c:pt>
                <c:pt idx="93">
                  <c:v>0.89709799999999995</c:v>
                </c:pt>
                <c:pt idx="94">
                  <c:v>0.84109</c:v>
                </c:pt>
                <c:pt idx="95">
                  <c:v>0.78898699999999999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7D-4704-BF65-3BFC30D0ED4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'Model A'!$A$2:$A$97</c:f>
              <c:numCache>
                <c:formatCode>General</c:formatCode>
                <c:ptCount val="96"/>
                <c:pt idx="0">
                  <c:v>1331.7</c:v>
                </c:pt>
                <c:pt idx="1">
                  <c:v>1334.00269</c:v>
                </c:pt>
                <c:pt idx="2">
                  <c:v>1336.30537</c:v>
                </c:pt>
                <c:pt idx="3">
                  <c:v>1338.60806</c:v>
                </c:pt>
                <c:pt idx="4">
                  <c:v>1340.91075</c:v>
                </c:pt>
                <c:pt idx="5">
                  <c:v>1343.21343</c:v>
                </c:pt>
                <c:pt idx="6">
                  <c:v>1345.51612</c:v>
                </c:pt>
                <c:pt idx="7">
                  <c:v>1347.8188</c:v>
                </c:pt>
                <c:pt idx="8">
                  <c:v>1350.12149</c:v>
                </c:pt>
                <c:pt idx="9">
                  <c:v>1352.42418</c:v>
                </c:pt>
                <c:pt idx="10">
                  <c:v>1354.72686</c:v>
                </c:pt>
                <c:pt idx="11">
                  <c:v>1357.02955</c:v>
                </c:pt>
                <c:pt idx="12">
                  <c:v>1359.33224</c:v>
                </c:pt>
                <c:pt idx="13">
                  <c:v>1361.63492</c:v>
                </c:pt>
                <c:pt idx="14">
                  <c:v>1363.9376099999999</c:v>
                </c:pt>
                <c:pt idx="15">
                  <c:v>1366.24029</c:v>
                </c:pt>
                <c:pt idx="16">
                  <c:v>1368.5429799999999</c:v>
                </c:pt>
                <c:pt idx="17">
                  <c:v>1370.8456699999999</c:v>
                </c:pt>
                <c:pt idx="18">
                  <c:v>1373.1483499999999</c:v>
                </c:pt>
                <c:pt idx="19">
                  <c:v>1375.4510399999999</c:v>
                </c:pt>
                <c:pt idx="20">
                  <c:v>1377.7537299999999</c:v>
                </c:pt>
                <c:pt idx="21">
                  <c:v>1380.0564099999999</c:v>
                </c:pt>
                <c:pt idx="22">
                  <c:v>1382.3590999999999</c:v>
                </c:pt>
                <c:pt idx="23">
                  <c:v>1384.6617799999999</c:v>
                </c:pt>
                <c:pt idx="24">
                  <c:v>1386.9644699999999</c:v>
                </c:pt>
                <c:pt idx="25">
                  <c:v>1389.2671600000001</c:v>
                </c:pt>
                <c:pt idx="26">
                  <c:v>1391.5698400000001</c:v>
                </c:pt>
                <c:pt idx="27">
                  <c:v>1393.8725300000001</c:v>
                </c:pt>
                <c:pt idx="28">
                  <c:v>1396.1752200000001</c:v>
                </c:pt>
                <c:pt idx="29">
                  <c:v>1398.4779000000001</c:v>
                </c:pt>
                <c:pt idx="30">
                  <c:v>1400.7805900000001</c:v>
                </c:pt>
                <c:pt idx="31">
                  <c:v>1403.0832800000001</c:v>
                </c:pt>
                <c:pt idx="32">
                  <c:v>1405.3859600000001</c:v>
                </c:pt>
                <c:pt idx="33">
                  <c:v>1407.6886500000001</c:v>
                </c:pt>
                <c:pt idx="34">
                  <c:v>1409.9913300000001</c:v>
                </c:pt>
                <c:pt idx="35">
                  <c:v>1412.29402</c:v>
                </c:pt>
                <c:pt idx="36">
                  <c:v>1414.59671</c:v>
                </c:pt>
                <c:pt idx="37">
                  <c:v>1416.89939</c:v>
                </c:pt>
                <c:pt idx="38">
                  <c:v>1419.20208</c:v>
                </c:pt>
                <c:pt idx="39">
                  <c:v>1421.50477</c:v>
                </c:pt>
                <c:pt idx="40">
                  <c:v>1423.80745</c:v>
                </c:pt>
                <c:pt idx="41">
                  <c:v>1426.11014</c:v>
                </c:pt>
                <c:pt idx="42">
                  <c:v>1428.41282</c:v>
                </c:pt>
                <c:pt idx="43">
                  <c:v>1430.71551</c:v>
                </c:pt>
                <c:pt idx="44">
                  <c:v>1433.0182</c:v>
                </c:pt>
                <c:pt idx="45">
                  <c:v>1435.32088</c:v>
                </c:pt>
                <c:pt idx="46">
                  <c:v>1437.62357</c:v>
                </c:pt>
                <c:pt idx="47">
                  <c:v>1439.92626</c:v>
                </c:pt>
                <c:pt idx="48">
                  <c:v>1442.22894</c:v>
                </c:pt>
                <c:pt idx="49">
                  <c:v>1444.53163</c:v>
                </c:pt>
                <c:pt idx="50">
                  <c:v>1446.83431</c:v>
                </c:pt>
                <c:pt idx="51">
                  <c:v>1449.1369999999999</c:v>
                </c:pt>
                <c:pt idx="52">
                  <c:v>1451.4396899999999</c:v>
                </c:pt>
                <c:pt idx="53">
                  <c:v>1453.7423699999999</c:v>
                </c:pt>
                <c:pt idx="54">
                  <c:v>1456.0450599999999</c:v>
                </c:pt>
                <c:pt idx="55">
                  <c:v>1458.3477499999999</c:v>
                </c:pt>
                <c:pt idx="56">
                  <c:v>1460.6504299999999</c:v>
                </c:pt>
                <c:pt idx="57">
                  <c:v>1462.9531199999999</c:v>
                </c:pt>
                <c:pt idx="58">
                  <c:v>1465.2558100000001</c:v>
                </c:pt>
                <c:pt idx="59">
                  <c:v>1467.5584899999999</c:v>
                </c:pt>
                <c:pt idx="60">
                  <c:v>1469.8611800000001</c:v>
                </c:pt>
                <c:pt idx="61">
                  <c:v>1472.1638600000001</c:v>
                </c:pt>
                <c:pt idx="62">
                  <c:v>1474.4665500000001</c:v>
                </c:pt>
                <c:pt idx="63">
                  <c:v>1476.7692400000001</c:v>
                </c:pt>
                <c:pt idx="64">
                  <c:v>1479.0719200000001</c:v>
                </c:pt>
                <c:pt idx="65">
                  <c:v>1481.3746100000001</c:v>
                </c:pt>
                <c:pt idx="66">
                  <c:v>1483.6773000000001</c:v>
                </c:pt>
                <c:pt idx="67">
                  <c:v>1485.9799800000001</c:v>
                </c:pt>
                <c:pt idx="68">
                  <c:v>1488.2826700000001</c:v>
                </c:pt>
                <c:pt idx="69">
                  <c:v>1490.5853500000001</c:v>
                </c:pt>
                <c:pt idx="70">
                  <c:v>1492.88804</c:v>
                </c:pt>
                <c:pt idx="71">
                  <c:v>1495.19073</c:v>
                </c:pt>
                <c:pt idx="72">
                  <c:v>1497.49341</c:v>
                </c:pt>
                <c:pt idx="73">
                  <c:v>1499.7961</c:v>
                </c:pt>
                <c:pt idx="74">
                  <c:v>1502.09879</c:v>
                </c:pt>
                <c:pt idx="75">
                  <c:v>1504.40147</c:v>
                </c:pt>
                <c:pt idx="76">
                  <c:v>1506.70416</c:v>
                </c:pt>
                <c:pt idx="77">
                  <c:v>1509.00684</c:v>
                </c:pt>
                <c:pt idx="78">
                  <c:v>1511.30953</c:v>
                </c:pt>
                <c:pt idx="79">
                  <c:v>1513.61222</c:v>
                </c:pt>
                <c:pt idx="80">
                  <c:v>1515.9149</c:v>
                </c:pt>
                <c:pt idx="81">
                  <c:v>1518.21759</c:v>
                </c:pt>
                <c:pt idx="82">
                  <c:v>1520.52028</c:v>
                </c:pt>
                <c:pt idx="83">
                  <c:v>1522.82296</c:v>
                </c:pt>
                <c:pt idx="84">
                  <c:v>1525.12565</c:v>
                </c:pt>
                <c:pt idx="85">
                  <c:v>1527.42833</c:v>
                </c:pt>
                <c:pt idx="86">
                  <c:v>1529.7310199999999</c:v>
                </c:pt>
                <c:pt idx="87">
                  <c:v>1532.0337099999999</c:v>
                </c:pt>
                <c:pt idx="88">
                  <c:v>1534.3363899999999</c:v>
                </c:pt>
                <c:pt idx="89">
                  <c:v>1536.6390799999999</c:v>
                </c:pt>
                <c:pt idx="90">
                  <c:v>1538.9417699999999</c:v>
                </c:pt>
                <c:pt idx="91">
                  <c:v>1541.2444499999999</c:v>
                </c:pt>
                <c:pt idx="92">
                  <c:v>1543.5471399999999</c:v>
                </c:pt>
                <c:pt idx="93">
                  <c:v>1545.8498300000001</c:v>
                </c:pt>
                <c:pt idx="94">
                  <c:v>1548.1525099999999</c:v>
                </c:pt>
                <c:pt idx="95">
                  <c:v>1550.4552000000001</c:v>
                </c:pt>
              </c:numCache>
            </c:numRef>
          </c:xVal>
          <c:yVal>
            <c:numRef>
              <c:f>'Model A'!$H$2:$H$97</c:f>
              <c:numCache>
                <c:formatCode>0.00E+00</c:formatCode>
                <c:ptCount val="96"/>
                <c:pt idx="0">
                  <c:v>0</c:v>
                </c:pt>
                <c:pt idx="1">
                  <c:v>0.295711</c:v>
                </c:pt>
                <c:pt idx="2">
                  <c:v>0.45012400000000002</c:v>
                </c:pt>
                <c:pt idx="3">
                  <c:v>0.59635400000000005</c:v>
                </c:pt>
                <c:pt idx="4">
                  <c:v>0.746</c:v>
                </c:pt>
                <c:pt idx="5">
                  <c:v>0.903582</c:v>
                </c:pt>
                <c:pt idx="6">
                  <c:v>1.07155</c:v>
                </c:pt>
                <c:pt idx="7">
                  <c:v>1.2515799999999999</c:v>
                </c:pt>
                <c:pt idx="8">
                  <c:v>1.4442200000000001</c:v>
                </c:pt>
                <c:pt idx="9">
                  <c:v>1.65056</c:v>
                </c:pt>
                <c:pt idx="10">
                  <c:v>1.87134</c:v>
                </c:pt>
                <c:pt idx="11">
                  <c:v>2.1078399999999999</c:v>
                </c:pt>
                <c:pt idx="12">
                  <c:v>2.3605299999999998</c:v>
                </c:pt>
                <c:pt idx="13">
                  <c:v>2.6284800000000001</c:v>
                </c:pt>
                <c:pt idx="14">
                  <c:v>2.9115000000000002</c:v>
                </c:pt>
                <c:pt idx="15">
                  <c:v>3.2071499999999999</c:v>
                </c:pt>
                <c:pt idx="16">
                  <c:v>3.5133299999999998</c:v>
                </c:pt>
                <c:pt idx="17">
                  <c:v>3.8277899999999998</c:v>
                </c:pt>
                <c:pt idx="18">
                  <c:v>4.1472199999999999</c:v>
                </c:pt>
                <c:pt idx="19">
                  <c:v>4.4689100000000002</c:v>
                </c:pt>
                <c:pt idx="20">
                  <c:v>4.7902699999999996</c:v>
                </c:pt>
                <c:pt idx="21">
                  <c:v>5.1089000000000002</c:v>
                </c:pt>
                <c:pt idx="22">
                  <c:v>5.4261699999999999</c:v>
                </c:pt>
                <c:pt idx="23">
                  <c:v>5.7428299999999997</c:v>
                </c:pt>
                <c:pt idx="24">
                  <c:v>6.0608000000000004</c:v>
                </c:pt>
                <c:pt idx="25">
                  <c:v>6.3750900000000001</c:v>
                </c:pt>
                <c:pt idx="26">
                  <c:v>6.6822400000000002</c:v>
                </c:pt>
                <c:pt idx="27">
                  <c:v>6.9796300000000002</c:v>
                </c:pt>
                <c:pt idx="28">
                  <c:v>7.2660299999999998</c:v>
                </c:pt>
                <c:pt idx="29">
                  <c:v>7.5412800000000004</c:v>
                </c:pt>
                <c:pt idx="30">
                  <c:v>7.8046800000000003</c:v>
                </c:pt>
                <c:pt idx="31">
                  <c:v>8.0572300000000006</c:v>
                </c:pt>
                <c:pt idx="32">
                  <c:v>8.2981599999999993</c:v>
                </c:pt>
                <c:pt idx="33">
                  <c:v>8.5289300000000008</c:v>
                </c:pt>
                <c:pt idx="34">
                  <c:v>8.7489100000000004</c:v>
                </c:pt>
                <c:pt idx="35">
                  <c:v>8.9590700000000005</c:v>
                </c:pt>
                <c:pt idx="36">
                  <c:v>9.1603399999999997</c:v>
                </c:pt>
                <c:pt idx="37">
                  <c:v>9.3525200000000002</c:v>
                </c:pt>
                <c:pt idx="38">
                  <c:v>9.5378299999999996</c:v>
                </c:pt>
                <c:pt idx="39">
                  <c:v>9.72119</c:v>
                </c:pt>
                <c:pt idx="40">
                  <c:v>9.9053000000000004</c:v>
                </c:pt>
                <c:pt idx="41">
                  <c:v>10.085699999999999</c:v>
                </c:pt>
                <c:pt idx="42">
                  <c:v>10.235900000000001</c:v>
                </c:pt>
                <c:pt idx="43">
                  <c:v>10.2761</c:v>
                </c:pt>
                <c:pt idx="44">
                  <c:v>8.8516700000000004</c:v>
                </c:pt>
                <c:pt idx="45">
                  <c:v>9.9294499999999992</c:v>
                </c:pt>
                <c:pt idx="46">
                  <c:v>11.0625</c:v>
                </c:pt>
                <c:pt idx="47">
                  <c:v>12.1374</c:v>
                </c:pt>
                <c:pt idx="48">
                  <c:v>13.111800000000001</c:v>
                </c:pt>
                <c:pt idx="49">
                  <c:v>13.929600000000001</c:v>
                </c:pt>
                <c:pt idx="50">
                  <c:v>14.533200000000001</c:v>
                </c:pt>
                <c:pt idx="51">
                  <c:v>14.8605</c:v>
                </c:pt>
                <c:pt idx="52">
                  <c:v>14.8619</c:v>
                </c:pt>
                <c:pt idx="53">
                  <c:v>14.513500000000001</c:v>
                </c:pt>
                <c:pt idx="54">
                  <c:v>13.8401</c:v>
                </c:pt>
                <c:pt idx="55">
                  <c:v>12.914899999999999</c:v>
                </c:pt>
                <c:pt idx="56">
                  <c:v>11.8453</c:v>
                </c:pt>
                <c:pt idx="57">
                  <c:v>10.725899999999999</c:v>
                </c:pt>
                <c:pt idx="58">
                  <c:v>9.6386299999999991</c:v>
                </c:pt>
                <c:pt idx="59">
                  <c:v>8.6181900000000002</c:v>
                </c:pt>
                <c:pt idx="60">
                  <c:v>7.6920999999999999</c:v>
                </c:pt>
                <c:pt idx="61">
                  <c:v>6.8667999999999996</c:v>
                </c:pt>
                <c:pt idx="62">
                  <c:v>6.1323699999999999</c:v>
                </c:pt>
                <c:pt idx="63">
                  <c:v>5.4839599999999997</c:v>
                </c:pt>
                <c:pt idx="64">
                  <c:v>4.9125300000000003</c:v>
                </c:pt>
                <c:pt idx="65">
                  <c:v>4.4087899999999998</c:v>
                </c:pt>
                <c:pt idx="66">
                  <c:v>3.9626399999999999</c:v>
                </c:pt>
                <c:pt idx="67">
                  <c:v>3.5676999999999999</c:v>
                </c:pt>
                <c:pt idx="68">
                  <c:v>3.2175799999999999</c:v>
                </c:pt>
                <c:pt idx="69">
                  <c:v>2.90795</c:v>
                </c:pt>
                <c:pt idx="70">
                  <c:v>2.6368999999999998</c:v>
                </c:pt>
                <c:pt idx="71">
                  <c:v>2.4055900000000001</c:v>
                </c:pt>
                <c:pt idx="72">
                  <c:v>2.2015899999999999</c:v>
                </c:pt>
                <c:pt idx="73">
                  <c:v>2.0186299999999999</c:v>
                </c:pt>
                <c:pt idx="74">
                  <c:v>1.85104</c:v>
                </c:pt>
                <c:pt idx="75">
                  <c:v>1.7045399999999999</c:v>
                </c:pt>
                <c:pt idx="76">
                  <c:v>1.57931</c:v>
                </c:pt>
                <c:pt idx="77">
                  <c:v>1.4740899999999999</c:v>
                </c:pt>
                <c:pt idx="78">
                  <c:v>1.3848100000000001</c:v>
                </c:pt>
                <c:pt idx="79">
                  <c:v>1.3141099999999999</c:v>
                </c:pt>
                <c:pt idx="80">
                  <c:v>1.2424900000000001</c:v>
                </c:pt>
                <c:pt idx="81">
                  <c:v>1.14859</c:v>
                </c:pt>
                <c:pt idx="82">
                  <c:v>1.0406500000000001</c:v>
                </c:pt>
                <c:pt idx="83">
                  <c:v>0.94295499999999999</c:v>
                </c:pt>
                <c:pt idx="84">
                  <c:v>0.85423000000000004</c:v>
                </c:pt>
                <c:pt idx="85">
                  <c:v>0.77692499999999998</c:v>
                </c:pt>
                <c:pt idx="86">
                  <c:v>0.709036</c:v>
                </c:pt>
                <c:pt idx="87">
                  <c:v>0.65113299999999996</c:v>
                </c:pt>
                <c:pt idx="88">
                  <c:v>0.60036699999999998</c:v>
                </c:pt>
                <c:pt idx="89">
                  <c:v>0.55338600000000004</c:v>
                </c:pt>
                <c:pt idx="90">
                  <c:v>0.51316499999999998</c:v>
                </c:pt>
                <c:pt idx="91">
                  <c:v>0.47663899999999998</c:v>
                </c:pt>
                <c:pt idx="92">
                  <c:v>0.44351800000000002</c:v>
                </c:pt>
                <c:pt idx="93">
                  <c:v>0.41315400000000002</c:v>
                </c:pt>
                <c:pt idx="94">
                  <c:v>0.38560299999999997</c:v>
                </c:pt>
                <c:pt idx="95">
                  <c:v>0.36003000000000002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7D-4704-BF65-3BFC30D0E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611007"/>
        <c:axId val="1085613919"/>
      </c:scatterChart>
      <c:valAx>
        <c:axId val="1085611007"/>
        <c:scaling>
          <c:orientation val="minMax"/>
          <c:max val="1500"/>
          <c:min val="1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600">
                    <a:latin typeface="Symbol" panose="05050102010706020507" pitchFamily="18" charset="2"/>
                  </a:rPr>
                  <a:t>pS</a:t>
                </a:r>
                <a:r>
                  <a:rPr lang="en-US" altLang="ja-JP" sz="1600" baseline="0"/>
                  <a:t> inv. mass [MeV/c</a:t>
                </a:r>
                <a:r>
                  <a:rPr lang="en-US" altLang="ja-JP" sz="1600" baseline="30000"/>
                  <a:t>2</a:t>
                </a:r>
                <a:r>
                  <a:rPr lang="en-US" altLang="ja-JP" sz="1600" baseline="0"/>
                  <a:t>]</a:t>
                </a:r>
                <a:endParaRPr lang="ja-JP" alt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13919"/>
        <c:crosses val="autoZero"/>
        <c:crossBetween val="midCat"/>
      </c:valAx>
      <c:valAx>
        <c:axId val="108561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600"/>
                  <a:t>d</a:t>
                </a:r>
                <a:r>
                  <a:rPr lang="en-US" altLang="ja-JP" sz="1600" baseline="30000"/>
                  <a:t>2</a:t>
                </a:r>
                <a:r>
                  <a:rPr lang="en-US" altLang="ja-JP" sz="1600">
                    <a:latin typeface="Symbol" panose="05050102010706020507" pitchFamily="18" charset="2"/>
                  </a:rPr>
                  <a:t>s</a:t>
                </a:r>
                <a:r>
                  <a:rPr lang="en-US" altLang="ja-JP" sz="1600"/>
                  <a:t>/dMd</a:t>
                </a:r>
                <a:r>
                  <a:rPr lang="en-US" altLang="ja-JP" sz="1600">
                    <a:latin typeface="Symbol" panose="05050102010706020507" pitchFamily="18" charset="2"/>
                  </a:rPr>
                  <a:t>W</a:t>
                </a:r>
                <a:r>
                  <a:rPr lang="en-US" altLang="ja-JP" sz="1600"/>
                  <a:t> [</a:t>
                </a:r>
                <a:r>
                  <a:rPr lang="en-US" altLang="ja-JP" sz="1600">
                    <a:latin typeface="Symbol" panose="05050102010706020507" pitchFamily="18" charset="2"/>
                  </a:rPr>
                  <a:t>m</a:t>
                </a:r>
                <a:r>
                  <a:rPr lang="en-US" altLang="ja-JP" sz="1600"/>
                  <a:t>b/sr MeV]</a:t>
                </a:r>
                <a:endParaRPr lang="ja-JP" alt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11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'Model B'!$A$2:$A$97</c:f>
              <c:numCache>
                <c:formatCode>General</c:formatCode>
                <c:ptCount val="96"/>
                <c:pt idx="0">
                  <c:v>1331.7</c:v>
                </c:pt>
                <c:pt idx="1">
                  <c:v>1334.00269</c:v>
                </c:pt>
                <c:pt idx="2">
                  <c:v>1336.30537</c:v>
                </c:pt>
                <c:pt idx="3">
                  <c:v>1338.60806</c:v>
                </c:pt>
                <c:pt idx="4">
                  <c:v>1340.91075</c:v>
                </c:pt>
                <c:pt idx="5">
                  <c:v>1343.21343</c:v>
                </c:pt>
                <c:pt idx="6">
                  <c:v>1345.51612</c:v>
                </c:pt>
                <c:pt idx="7">
                  <c:v>1347.8188</c:v>
                </c:pt>
                <c:pt idx="8">
                  <c:v>1350.12149</c:v>
                </c:pt>
                <c:pt idx="9">
                  <c:v>1352.42418</c:v>
                </c:pt>
                <c:pt idx="10">
                  <c:v>1354.72686</c:v>
                </c:pt>
                <c:pt idx="11">
                  <c:v>1357.02955</c:v>
                </c:pt>
                <c:pt idx="12">
                  <c:v>1359.33224</c:v>
                </c:pt>
                <c:pt idx="13">
                  <c:v>1361.63492</c:v>
                </c:pt>
                <c:pt idx="14">
                  <c:v>1363.9376099999999</c:v>
                </c:pt>
                <c:pt idx="15">
                  <c:v>1366.24029</c:v>
                </c:pt>
                <c:pt idx="16">
                  <c:v>1368.5429799999999</c:v>
                </c:pt>
                <c:pt idx="17">
                  <c:v>1370.8456699999999</c:v>
                </c:pt>
                <c:pt idx="18">
                  <c:v>1373.1483499999999</c:v>
                </c:pt>
                <c:pt idx="19">
                  <c:v>1375.4510399999999</c:v>
                </c:pt>
                <c:pt idx="20">
                  <c:v>1377.7537299999999</c:v>
                </c:pt>
                <c:pt idx="21">
                  <c:v>1380.0564099999999</c:v>
                </c:pt>
                <c:pt idx="22">
                  <c:v>1382.3590999999999</c:v>
                </c:pt>
                <c:pt idx="23">
                  <c:v>1384.6617799999999</c:v>
                </c:pt>
                <c:pt idx="24">
                  <c:v>1386.9644699999999</c:v>
                </c:pt>
                <c:pt idx="25">
                  <c:v>1389.2671600000001</c:v>
                </c:pt>
                <c:pt idx="26">
                  <c:v>1391.5698400000001</c:v>
                </c:pt>
                <c:pt idx="27">
                  <c:v>1393.8725300000001</c:v>
                </c:pt>
                <c:pt idx="28">
                  <c:v>1396.1752200000001</c:v>
                </c:pt>
                <c:pt idx="29">
                  <c:v>1398.4779000000001</c:v>
                </c:pt>
                <c:pt idx="30">
                  <c:v>1400.7805900000001</c:v>
                </c:pt>
                <c:pt idx="31">
                  <c:v>1403.0832800000001</c:v>
                </c:pt>
                <c:pt idx="32">
                  <c:v>1405.3859600000001</c:v>
                </c:pt>
                <c:pt idx="33">
                  <c:v>1407.6886500000001</c:v>
                </c:pt>
                <c:pt idx="34">
                  <c:v>1409.9913300000001</c:v>
                </c:pt>
                <c:pt idx="35">
                  <c:v>1412.29402</c:v>
                </c:pt>
                <c:pt idx="36">
                  <c:v>1414.59671</c:v>
                </c:pt>
                <c:pt idx="37">
                  <c:v>1416.89939</c:v>
                </c:pt>
                <c:pt idx="38">
                  <c:v>1419.20208</c:v>
                </c:pt>
                <c:pt idx="39">
                  <c:v>1421.50477</c:v>
                </c:pt>
                <c:pt idx="40">
                  <c:v>1423.80745</c:v>
                </c:pt>
                <c:pt idx="41">
                  <c:v>1426.11014</c:v>
                </c:pt>
                <c:pt idx="42">
                  <c:v>1428.41282</c:v>
                </c:pt>
                <c:pt idx="43">
                  <c:v>1430.71551</c:v>
                </c:pt>
                <c:pt idx="44">
                  <c:v>1433.0182</c:v>
                </c:pt>
                <c:pt idx="45">
                  <c:v>1435.32088</c:v>
                </c:pt>
                <c:pt idx="46">
                  <c:v>1437.62357</c:v>
                </c:pt>
                <c:pt idx="47">
                  <c:v>1439.92626</c:v>
                </c:pt>
                <c:pt idx="48">
                  <c:v>1442.22894</c:v>
                </c:pt>
                <c:pt idx="49">
                  <c:v>1444.53163</c:v>
                </c:pt>
                <c:pt idx="50">
                  <c:v>1446.83431</c:v>
                </c:pt>
                <c:pt idx="51">
                  <c:v>1449.1369999999999</c:v>
                </c:pt>
                <c:pt idx="52">
                  <c:v>1451.4396899999999</c:v>
                </c:pt>
                <c:pt idx="53">
                  <c:v>1453.7423699999999</c:v>
                </c:pt>
                <c:pt idx="54">
                  <c:v>1456.0450599999999</c:v>
                </c:pt>
                <c:pt idx="55">
                  <c:v>1458.3477499999999</c:v>
                </c:pt>
                <c:pt idx="56">
                  <c:v>1460.6504299999999</c:v>
                </c:pt>
                <c:pt idx="57">
                  <c:v>1462.9531199999999</c:v>
                </c:pt>
                <c:pt idx="58">
                  <c:v>1465.2558100000001</c:v>
                </c:pt>
                <c:pt idx="59">
                  <c:v>1467.5584899999999</c:v>
                </c:pt>
                <c:pt idx="60">
                  <c:v>1469.8611800000001</c:v>
                </c:pt>
                <c:pt idx="61">
                  <c:v>1472.1638600000001</c:v>
                </c:pt>
                <c:pt idx="62">
                  <c:v>1474.4665500000001</c:v>
                </c:pt>
                <c:pt idx="63">
                  <c:v>1476.7692400000001</c:v>
                </c:pt>
                <c:pt idx="64">
                  <c:v>1479.0719200000001</c:v>
                </c:pt>
                <c:pt idx="65">
                  <c:v>1481.3746100000001</c:v>
                </c:pt>
                <c:pt idx="66">
                  <c:v>1483.6773000000001</c:v>
                </c:pt>
                <c:pt idx="67">
                  <c:v>1485.9799800000001</c:v>
                </c:pt>
                <c:pt idx="68">
                  <c:v>1488.2826700000001</c:v>
                </c:pt>
                <c:pt idx="69">
                  <c:v>1490.5853500000001</c:v>
                </c:pt>
                <c:pt idx="70">
                  <c:v>1492.88804</c:v>
                </c:pt>
                <c:pt idx="71">
                  <c:v>1495.19073</c:v>
                </c:pt>
                <c:pt idx="72">
                  <c:v>1497.49341</c:v>
                </c:pt>
                <c:pt idx="73">
                  <c:v>1499.7961</c:v>
                </c:pt>
                <c:pt idx="74">
                  <c:v>1502.09879</c:v>
                </c:pt>
                <c:pt idx="75">
                  <c:v>1504.40147</c:v>
                </c:pt>
                <c:pt idx="76">
                  <c:v>1506.70416</c:v>
                </c:pt>
                <c:pt idx="77">
                  <c:v>1509.00684</c:v>
                </c:pt>
                <c:pt idx="78">
                  <c:v>1511.30953</c:v>
                </c:pt>
                <c:pt idx="79">
                  <c:v>1513.61222</c:v>
                </c:pt>
                <c:pt idx="80">
                  <c:v>1515.9149</c:v>
                </c:pt>
                <c:pt idx="81">
                  <c:v>1518.21759</c:v>
                </c:pt>
                <c:pt idx="82">
                  <c:v>1520.52028</c:v>
                </c:pt>
                <c:pt idx="83">
                  <c:v>1522.82296</c:v>
                </c:pt>
                <c:pt idx="84">
                  <c:v>1525.12565</c:v>
                </c:pt>
                <c:pt idx="85">
                  <c:v>1527.42833</c:v>
                </c:pt>
                <c:pt idx="86">
                  <c:v>1529.7310199999999</c:v>
                </c:pt>
                <c:pt idx="87">
                  <c:v>1532.0337099999999</c:v>
                </c:pt>
                <c:pt idx="88">
                  <c:v>1534.3363899999999</c:v>
                </c:pt>
                <c:pt idx="89">
                  <c:v>1536.6390799999999</c:v>
                </c:pt>
                <c:pt idx="90">
                  <c:v>1538.9417699999999</c:v>
                </c:pt>
                <c:pt idx="91">
                  <c:v>1541.2444499999999</c:v>
                </c:pt>
                <c:pt idx="92">
                  <c:v>1543.5471399999999</c:v>
                </c:pt>
                <c:pt idx="93">
                  <c:v>1545.8498300000001</c:v>
                </c:pt>
                <c:pt idx="94">
                  <c:v>1548.1525099999999</c:v>
                </c:pt>
                <c:pt idx="95">
                  <c:v>1550.4552000000001</c:v>
                </c:pt>
              </c:numCache>
            </c:numRef>
          </c:xVal>
          <c:yVal>
            <c:numRef>
              <c:f>'Model B'!$B$2:$B$97</c:f>
              <c:numCache>
                <c:formatCode>0.00E+00</c:formatCode>
                <c:ptCount val="96"/>
                <c:pt idx="0">
                  <c:v>0</c:v>
                </c:pt>
                <c:pt idx="1">
                  <c:v>0.102976</c:v>
                </c:pt>
                <c:pt idx="2">
                  <c:v>0.15370400000000001</c:v>
                </c:pt>
                <c:pt idx="3">
                  <c:v>0.20058899999999999</c:v>
                </c:pt>
                <c:pt idx="4">
                  <c:v>0.24766199999999999</c:v>
                </c:pt>
                <c:pt idx="5">
                  <c:v>0.296848</c:v>
                </c:pt>
                <c:pt idx="6">
                  <c:v>0.34923799999999999</c:v>
                </c:pt>
                <c:pt idx="7">
                  <c:v>0.40626800000000002</c:v>
                </c:pt>
                <c:pt idx="8">
                  <c:v>0.467837</c:v>
                </c:pt>
                <c:pt idx="9">
                  <c:v>0.53512700000000002</c:v>
                </c:pt>
                <c:pt idx="10">
                  <c:v>0.60907599999999995</c:v>
                </c:pt>
                <c:pt idx="11">
                  <c:v>0.69095600000000001</c:v>
                </c:pt>
                <c:pt idx="12">
                  <c:v>0.78196200000000005</c:v>
                </c:pt>
                <c:pt idx="13">
                  <c:v>0.88293699999999997</c:v>
                </c:pt>
                <c:pt idx="14">
                  <c:v>0.99521999999999999</c:v>
                </c:pt>
                <c:pt idx="15">
                  <c:v>1.1196600000000001</c:v>
                </c:pt>
                <c:pt idx="16">
                  <c:v>1.25759</c:v>
                </c:pt>
                <c:pt idx="17">
                  <c:v>1.4101999999999999</c:v>
                </c:pt>
                <c:pt idx="18">
                  <c:v>1.57877</c:v>
                </c:pt>
                <c:pt idx="19">
                  <c:v>1.76488</c:v>
                </c:pt>
                <c:pt idx="20">
                  <c:v>1.9701200000000001</c:v>
                </c:pt>
                <c:pt idx="21">
                  <c:v>2.1962299999999999</c:v>
                </c:pt>
                <c:pt idx="22">
                  <c:v>2.4468200000000002</c:v>
                </c:pt>
                <c:pt idx="23">
                  <c:v>2.7255099999999999</c:v>
                </c:pt>
                <c:pt idx="24">
                  <c:v>3.0383200000000001</c:v>
                </c:pt>
                <c:pt idx="25">
                  <c:v>3.3914</c:v>
                </c:pt>
                <c:pt idx="26">
                  <c:v>3.7816999999999998</c:v>
                </c:pt>
                <c:pt idx="27">
                  <c:v>4.21441</c:v>
                </c:pt>
                <c:pt idx="28">
                  <c:v>4.6925800000000004</c:v>
                </c:pt>
                <c:pt idx="29">
                  <c:v>5.2189500000000004</c:v>
                </c:pt>
                <c:pt idx="30">
                  <c:v>5.7956000000000003</c:v>
                </c:pt>
                <c:pt idx="31">
                  <c:v>6.4250400000000001</c:v>
                </c:pt>
                <c:pt idx="32">
                  <c:v>7.1046100000000001</c:v>
                </c:pt>
                <c:pt idx="33">
                  <c:v>7.8325800000000001</c:v>
                </c:pt>
                <c:pt idx="34">
                  <c:v>8.6017100000000006</c:v>
                </c:pt>
                <c:pt idx="35">
                  <c:v>9.4026200000000006</c:v>
                </c:pt>
                <c:pt idx="36">
                  <c:v>10.220000000000001</c:v>
                </c:pt>
                <c:pt idx="37">
                  <c:v>11.0321</c:v>
                </c:pt>
                <c:pt idx="38">
                  <c:v>11.813000000000001</c:v>
                </c:pt>
                <c:pt idx="39">
                  <c:v>12.5382</c:v>
                </c:pt>
                <c:pt idx="40">
                  <c:v>13.173400000000001</c:v>
                </c:pt>
                <c:pt idx="41">
                  <c:v>13.6761</c:v>
                </c:pt>
                <c:pt idx="42">
                  <c:v>13.9678</c:v>
                </c:pt>
                <c:pt idx="43">
                  <c:v>13.871700000000001</c:v>
                </c:pt>
                <c:pt idx="44">
                  <c:v>8.9787800000000004</c:v>
                </c:pt>
                <c:pt idx="45">
                  <c:v>8.1556800000000003</c:v>
                </c:pt>
                <c:pt idx="46">
                  <c:v>8.0973400000000009</c:v>
                </c:pt>
                <c:pt idx="47">
                  <c:v>8.1548099999999994</c:v>
                </c:pt>
                <c:pt idx="48">
                  <c:v>8.1879000000000008</c:v>
                </c:pt>
                <c:pt idx="49">
                  <c:v>8.1364999999999998</c:v>
                </c:pt>
                <c:pt idx="50">
                  <c:v>7.9723199999999999</c:v>
                </c:pt>
                <c:pt idx="51">
                  <c:v>7.6841499999999998</c:v>
                </c:pt>
                <c:pt idx="52">
                  <c:v>7.2782299999999998</c:v>
                </c:pt>
                <c:pt idx="53">
                  <c:v>6.7747000000000002</c:v>
                </c:pt>
                <c:pt idx="54">
                  <c:v>6.2099799999999998</c:v>
                </c:pt>
                <c:pt idx="55">
                  <c:v>5.6238999999999999</c:v>
                </c:pt>
                <c:pt idx="56">
                  <c:v>5.0646699999999996</c:v>
                </c:pt>
                <c:pt idx="57">
                  <c:v>4.5496600000000003</c:v>
                </c:pt>
                <c:pt idx="58">
                  <c:v>4.0896600000000003</c:v>
                </c:pt>
                <c:pt idx="59">
                  <c:v>3.6881400000000002</c:v>
                </c:pt>
                <c:pt idx="60">
                  <c:v>3.3379300000000001</c:v>
                </c:pt>
                <c:pt idx="61">
                  <c:v>3.0315500000000002</c:v>
                </c:pt>
                <c:pt idx="62">
                  <c:v>2.75644</c:v>
                </c:pt>
                <c:pt idx="63">
                  <c:v>2.5091100000000002</c:v>
                </c:pt>
                <c:pt idx="64">
                  <c:v>2.28559</c:v>
                </c:pt>
                <c:pt idx="65">
                  <c:v>2.0817800000000002</c:v>
                </c:pt>
                <c:pt idx="66">
                  <c:v>1.8940600000000001</c:v>
                </c:pt>
                <c:pt idx="67">
                  <c:v>1.7219899999999999</c:v>
                </c:pt>
                <c:pt idx="68">
                  <c:v>1.56406</c:v>
                </c:pt>
                <c:pt idx="69">
                  <c:v>1.4205300000000001</c:v>
                </c:pt>
                <c:pt idx="70">
                  <c:v>1.29433</c:v>
                </c:pt>
                <c:pt idx="71">
                  <c:v>1.1898599999999999</c:v>
                </c:pt>
                <c:pt idx="72">
                  <c:v>1.0944799999999999</c:v>
                </c:pt>
                <c:pt idx="73">
                  <c:v>1.0064599999999999</c:v>
                </c:pt>
                <c:pt idx="74">
                  <c:v>0.92627099999999996</c:v>
                </c:pt>
                <c:pt idx="75">
                  <c:v>0.85794899999999996</c:v>
                </c:pt>
                <c:pt idx="76">
                  <c:v>0.80445599999999995</c:v>
                </c:pt>
                <c:pt idx="77">
                  <c:v>0.76456299999999999</c:v>
                </c:pt>
                <c:pt idx="78">
                  <c:v>0.74007699999999998</c:v>
                </c:pt>
                <c:pt idx="79">
                  <c:v>0.72583900000000001</c:v>
                </c:pt>
                <c:pt idx="80">
                  <c:v>0.705735</c:v>
                </c:pt>
                <c:pt idx="81">
                  <c:v>0.66116699999999995</c:v>
                </c:pt>
                <c:pt idx="82">
                  <c:v>0.59395699999999996</c:v>
                </c:pt>
                <c:pt idx="83">
                  <c:v>0.52506900000000001</c:v>
                </c:pt>
                <c:pt idx="84">
                  <c:v>0.46315400000000001</c:v>
                </c:pt>
                <c:pt idx="85">
                  <c:v>0.41122300000000001</c:v>
                </c:pt>
                <c:pt idx="86">
                  <c:v>0.36935899999999999</c:v>
                </c:pt>
                <c:pt idx="87">
                  <c:v>0.33412199999999997</c:v>
                </c:pt>
                <c:pt idx="88">
                  <c:v>0.304504</c:v>
                </c:pt>
                <c:pt idx="89">
                  <c:v>0.27942899999999998</c:v>
                </c:pt>
                <c:pt idx="90">
                  <c:v>0.25684000000000001</c:v>
                </c:pt>
                <c:pt idx="91">
                  <c:v>0.236707</c:v>
                </c:pt>
                <c:pt idx="92">
                  <c:v>0.21889500000000001</c:v>
                </c:pt>
                <c:pt idx="93">
                  <c:v>0.202684</c:v>
                </c:pt>
                <c:pt idx="94">
                  <c:v>0.18786</c:v>
                </c:pt>
                <c:pt idx="95">
                  <c:v>0.17403399999999999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E5-43DD-BE6A-98941CDC21C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'Model B'!$A$2:$A$97</c:f>
              <c:numCache>
                <c:formatCode>General</c:formatCode>
                <c:ptCount val="96"/>
                <c:pt idx="0">
                  <c:v>1331.7</c:v>
                </c:pt>
                <c:pt idx="1">
                  <c:v>1334.00269</c:v>
                </c:pt>
                <c:pt idx="2">
                  <c:v>1336.30537</c:v>
                </c:pt>
                <c:pt idx="3">
                  <c:v>1338.60806</c:v>
                </c:pt>
                <c:pt idx="4">
                  <c:v>1340.91075</c:v>
                </c:pt>
                <c:pt idx="5">
                  <c:v>1343.21343</c:v>
                </c:pt>
                <c:pt idx="6">
                  <c:v>1345.51612</c:v>
                </c:pt>
                <c:pt idx="7">
                  <c:v>1347.8188</c:v>
                </c:pt>
                <c:pt idx="8">
                  <c:v>1350.12149</c:v>
                </c:pt>
                <c:pt idx="9">
                  <c:v>1352.42418</c:v>
                </c:pt>
                <c:pt idx="10">
                  <c:v>1354.72686</c:v>
                </c:pt>
                <c:pt idx="11">
                  <c:v>1357.02955</c:v>
                </c:pt>
                <c:pt idx="12">
                  <c:v>1359.33224</c:v>
                </c:pt>
                <c:pt idx="13">
                  <c:v>1361.63492</c:v>
                </c:pt>
                <c:pt idx="14">
                  <c:v>1363.9376099999999</c:v>
                </c:pt>
                <c:pt idx="15">
                  <c:v>1366.24029</c:v>
                </c:pt>
                <c:pt idx="16">
                  <c:v>1368.5429799999999</c:v>
                </c:pt>
                <c:pt idx="17">
                  <c:v>1370.8456699999999</c:v>
                </c:pt>
                <c:pt idx="18">
                  <c:v>1373.1483499999999</c:v>
                </c:pt>
                <c:pt idx="19">
                  <c:v>1375.4510399999999</c:v>
                </c:pt>
                <c:pt idx="20">
                  <c:v>1377.7537299999999</c:v>
                </c:pt>
                <c:pt idx="21">
                  <c:v>1380.0564099999999</c:v>
                </c:pt>
                <c:pt idx="22">
                  <c:v>1382.3590999999999</c:v>
                </c:pt>
                <c:pt idx="23">
                  <c:v>1384.6617799999999</c:v>
                </c:pt>
                <c:pt idx="24">
                  <c:v>1386.9644699999999</c:v>
                </c:pt>
                <c:pt idx="25">
                  <c:v>1389.2671600000001</c:v>
                </c:pt>
                <c:pt idx="26">
                  <c:v>1391.5698400000001</c:v>
                </c:pt>
                <c:pt idx="27">
                  <c:v>1393.8725300000001</c:v>
                </c:pt>
                <c:pt idx="28">
                  <c:v>1396.1752200000001</c:v>
                </c:pt>
                <c:pt idx="29">
                  <c:v>1398.4779000000001</c:v>
                </c:pt>
                <c:pt idx="30">
                  <c:v>1400.7805900000001</c:v>
                </c:pt>
                <c:pt idx="31">
                  <c:v>1403.0832800000001</c:v>
                </c:pt>
                <c:pt idx="32">
                  <c:v>1405.3859600000001</c:v>
                </c:pt>
                <c:pt idx="33">
                  <c:v>1407.6886500000001</c:v>
                </c:pt>
                <c:pt idx="34">
                  <c:v>1409.9913300000001</c:v>
                </c:pt>
                <c:pt idx="35">
                  <c:v>1412.29402</c:v>
                </c:pt>
                <c:pt idx="36">
                  <c:v>1414.59671</c:v>
                </c:pt>
                <c:pt idx="37">
                  <c:v>1416.89939</c:v>
                </c:pt>
                <c:pt idx="38">
                  <c:v>1419.20208</c:v>
                </c:pt>
                <c:pt idx="39">
                  <c:v>1421.50477</c:v>
                </c:pt>
                <c:pt idx="40">
                  <c:v>1423.80745</c:v>
                </c:pt>
                <c:pt idx="41">
                  <c:v>1426.11014</c:v>
                </c:pt>
                <c:pt idx="42">
                  <c:v>1428.41282</c:v>
                </c:pt>
                <c:pt idx="43">
                  <c:v>1430.71551</c:v>
                </c:pt>
                <c:pt idx="44">
                  <c:v>1433.0182</c:v>
                </c:pt>
                <c:pt idx="45">
                  <c:v>1435.32088</c:v>
                </c:pt>
                <c:pt idx="46">
                  <c:v>1437.62357</c:v>
                </c:pt>
                <c:pt idx="47">
                  <c:v>1439.92626</c:v>
                </c:pt>
                <c:pt idx="48">
                  <c:v>1442.22894</c:v>
                </c:pt>
                <c:pt idx="49">
                  <c:v>1444.53163</c:v>
                </c:pt>
                <c:pt idx="50">
                  <c:v>1446.83431</c:v>
                </c:pt>
                <c:pt idx="51">
                  <c:v>1449.1369999999999</c:v>
                </c:pt>
                <c:pt idx="52">
                  <c:v>1451.4396899999999</c:v>
                </c:pt>
                <c:pt idx="53">
                  <c:v>1453.7423699999999</c:v>
                </c:pt>
                <c:pt idx="54">
                  <c:v>1456.0450599999999</c:v>
                </c:pt>
                <c:pt idx="55">
                  <c:v>1458.3477499999999</c:v>
                </c:pt>
                <c:pt idx="56">
                  <c:v>1460.6504299999999</c:v>
                </c:pt>
                <c:pt idx="57">
                  <c:v>1462.9531199999999</c:v>
                </c:pt>
                <c:pt idx="58">
                  <c:v>1465.2558100000001</c:v>
                </c:pt>
                <c:pt idx="59">
                  <c:v>1467.5584899999999</c:v>
                </c:pt>
                <c:pt idx="60">
                  <c:v>1469.8611800000001</c:v>
                </c:pt>
                <c:pt idx="61">
                  <c:v>1472.1638600000001</c:v>
                </c:pt>
                <c:pt idx="62">
                  <c:v>1474.4665500000001</c:v>
                </c:pt>
                <c:pt idx="63">
                  <c:v>1476.7692400000001</c:v>
                </c:pt>
                <c:pt idx="64">
                  <c:v>1479.0719200000001</c:v>
                </c:pt>
                <c:pt idx="65">
                  <c:v>1481.3746100000001</c:v>
                </c:pt>
                <c:pt idx="66">
                  <c:v>1483.6773000000001</c:v>
                </c:pt>
                <c:pt idx="67">
                  <c:v>1485.9799800000001</c:v>
                </c:pt>
                <c:pt idx="68">
                  <c:v>1488.2826700000001</c:v>
                </c:pt>
                <c:pt idx="69">
                  <c:v>1490.5853500000001</c:v>
                </c:pt>
                <c:pt idx="70">
                  <c:v>1492.88804</c:v>
                </c:pt>
                <c:pt idx="71">
                  <c:v>1495.19073</c:v>
                </c:pt>
                <c:pt idx="72">
                  <c:v>1497.49341</c:v>
                </c:pt>
                <c:pt idx="73">
                  <c:v>1499.7961</c:v>
                </c:pt>
                <c:pt idx="74">
                  <c:v>1502.09879</c:v>
                </c:pt>
                <c:pt idx="75">
                  <c:v>1504.40147</c:v>
                </c:pt>
                <c:pt idx="76">
                  <c:v>1506.70416</c:v>
                </c:pt>
                <c:pt idx="77">
                  <c:v>1509.00684</c:v>
                </c:pt>
                <c:pt idx="78">
                  <c:v>1511.30953</c:v>
                </c:pt>
                <c:pt idx="79">
                  <c:v>1513.61222</c:v>
                </c:pt>
                <c:pt idx="80">
                  <c:v>1515.9149</c:v>
                </c:pt>
                <c:pt idx="81">
                  <c:v>1518.21759</c:v>
                </c:pt>
                <c:pt idx="82">
                  <c:v>1520.52028</c:v>
                </c:pt>
                <c:pt idx="83">
                  <c:v>1522.82296</c:v>
                </c:pt>
                <c:pt idx="84">
                  <c:v>1525.12565</c:v>
                </c:pt>
                <c:pt idx="85">
                  <c:v>1527.42833</c:v>
                </c:pt>
                <c:pt idx="86">
                  <c:v>1529.7310199999999</c:v>
                </c:pt>
                <c:pt idx="87">
                  <c:v>1532.0337099999999</c:v>
                </c:pt>
                <c:pt idx="88">
                  <c:v>1534.3363899999999</c:v>
                </c:pt>
                <c:pt idx="89">
                  <c:v>1536.6390799999999</c:v>
                </c:pt>
                <c:pt idx="90">
                  <c:v>1538.9417699999999</c:v>
                </c:pt>
                <c:pt idx="91">
                  <c:v>1541.2444499999999</c:v>
                </c:pt>
                <c:pt idx="92">
                  <c:v>1543.5471399999999</c:v>
                </c:pt>
                <c:pt idx="93">
                  <c:v>1545.8498300000001</c:v>
                </c:pt>
                <c:pt idx="94">
                  <c:v>1548.1525099999999</c:v>
                </c:pt>
                <c:pt idx="95">
                  <c:v>1550.4552000000001</c:v>
                </c:pt>
              </c:numCache>
            </c:numRef>
          </c:xVal>
          <c:yVal>
            <c:numRef>
              <c:f>'Model B'!$E$2:$E$97</c:f>
              <c:numCache>
                <c:formatCode>0.00E+00</c:formatCode>
                <c:ptCount val="96"/>
                <c:pt idx="0">
                  <c:v>0</c:v>
                </c:pt>
                <c:pt idx="1">
                  <c:v>0.103877</c:v>
                </c:pt>
                <c:pt idx="2">
                  <c:v>0.15868299999999999</c:v>
                </c:pt>
                <c:pt idx="3">
                  <c:v>0.21071000000000001</c:v>
                </c:pt>
                <c:pt idx="4">
                  <c:v>0.26437300000000002</c:v>
                </c:pt>
                <c:pt idx="5">
                  <c:v>0.32158900000000001</c:v>
                </c:pt>
                <c:pt idx="6">
                  <c:v>0.38364799999999999</c:v>
                </c:pt>
                <c:pt idx="7">
                  <c:v>0.45193100000000003</c:v>
                </c:pt>
                <c:pt idx="8">
                  <c:v>0.52711200000000002</c:v>
                </c:pt>
                <c:pt idx="9">
                  <c:v>0.61045899999999997</c:v>
                </c:pt>
                <c:pt idx="10">
                  <c:v>0.70325800000000005</c:v>
                </c:pt>
                <c:pt idx="11">
                  <c:v>0.807141</c:v>
                </c:pt>
                <c:pt idx="12">
                  <c:v>0.92374699999999998</c:v>
                </c:pt>
                <c:pt idx="13">
                  <c:v>1.05447</c:v>
                </c:pt>
                <c:pt idx="14">
                  <c:v>1.20129</c:v>
                </c:pt>
                <c:pt idx="15">
                  <c:v>1.36589</c:v>
                </c:pt>
                <c:pt idx="16">
                  <c:v>1.55047</c:v>
                </c:pt>
                <c:pt idx="17">
                  <c:v>1.7572099999999999</c:v>
                </c:pt>
                <c:pt idx="18">
                  <c:v>1.9885200000000001</c:v>
                </c:pt>
                <c:pt idx="19">
                  <c:v>2.2471399999999999</c:v>
                </c:pt>
                <c:pt idx="20">
                  <c:v>2.5360100000000001</c:v>
                </c:pt>
                <c:pt idx="21">
                  <c:v>2.8582399999999999</c:v>
                </c:pt>
                <c:pt idx="22">
                  <c:v>3.2188300000000001</c:v>
                </c:pt>
                <c:pt idx="23">
                  <c:v>3.62303</c:v>
                </c:pt>
                <c:pt idx="24">
                  <c:v>4.0782800000000003</c:v>
                </c:pt>
                <c:pt idx="25">
                  <c:v>4.5914299999999999</c:v>
                </c:pt>
                <c:pt idx="26">
                  <c:v>5.1627200000000002</c:v>
                </c:pt>
                <c:pt idx="27">
                  <c:v>5.7991700000000002</c:v>
                </c:pt>
                <c:pt idx="28">
                  <c:v>6.5064299999999999</c:v>
                </c:pt>
                <c:pt idx="29">
                  <c:v>7.2895899999999996</c:v>
                </c:pt>
                <c:pt idx="30">
                  <c:v>8.1532400000000003</c:v>
                </c:pt>
                <c:pt idx="31">
                  <c:v>9.1020199999999996</c:v>
                </c:pt>
                <c:pt idx="32">
                  <c:v>10.1333</c:v>
                </c:pt>
                <c:pt idx="33">
                  <c:v>11.2453</c:v>
                </c:pt>
                <c:pt idx="34">
                  <c:v>12.429500000000001</c:v>
                </c:pt>
                <c:pt idx="35">
                  <c:v>13.6729</c:v>
                </c:pt>
                <c:pt idx="36">
                  <c:v>14.9535</c:v>
                </c:pt>
                <c:pt idx="37">
                  <c:v>16.2424</c:v>
                </c:pt>
                <c:pt idx="38">
                  <c:v>17.507100000000001</c:v>
                </c:pt>
                <c:pt idx="39">
                  <c:v>18.706700000000001</c:v>
                </c:pt>
                <c:pt idx="40">
                  <c:v>19.7971</c:v>
                </c:pt>
                <c:pt idx="41">
                  <c:v>20.715800000000002</c:v>
                </c:pt>
                <c:pt idx="42">
                  <c:v>21.375499999999999</c:v>
                </c:pt>
                <c:pt idx="43">
                  <c:v>21.558</c:v>
                </c:pt>
                <c:pt idx="44">
                  <c:v>19.6433</c:v>
                </c:pt>
                <c:pt idx="45">
                  <c:v>22.144100000000002</c:v>
                </c:pt>
                <c:pt idx="46">
                  <c:v>24.4254</c:v>
                </c:pt>
                <c:pt idx="47">
                  <c:v>26.533000000000001</c:v>
                </c:pt>
                <c:pt idx="48">
                  <c:v>28.506399999999999</c:v>
                </c:pt>
                <c:pt idx="49">
                  <c:v>30.2319</c:v>
                </c:pt>
                <c:pt idx="50">
                  <c:v>31.5913</c:v>
                </c:pt>
                <c:pt idx="51">
                  <c:v>32.436700000000002</c:v>
                </c:pt>
                <c:pt idx="52">
                  <c:v>32.626300000000001</c:v>
                </c:pt>
                <c:pt idx="53">
                  <c:v>32.065600000000003</c:v>
                </c:pt>
                <c:pt idx="54">
                  <c:v>30.757000000000001</c:v>
                </c:pt>
                <c:pt idx="55">
                  <c:v>28.838999999999999</c:v>
                </c:pt>
                <c:pt idx="56">
                  <c:v>26.527100000000001</c:v>
                </c:pt>
                <c:pt idx="57">
                  <c:v>24.025400000000001</c:v>
                </c:pt>
                <c:pt idx="58">
                  <c:v>21.5396</c:v>
                </c:pt>
                <c:pt idx="59">
                  <c:v>19.1661</c:v>
                </c:pt>
                <c:pt idx="60">
                  <c:v>16.9833</c:v>
                </c:pt>
                <c:pt idx="61">
                  <c:v>15.021100000000001</c:v>
                </c:pt>
                <c:pt idx="62">
                  <c:v>13.2759</c:v>
                </c:pt>
                <c:pt idx="63">
                  <c:v>11.738899999999999</c:v>
                </c:pt>
                <c:pt idx="64">
                  <c:v>10.391500000000001</c:v>
                </c:pt>
                <c:pt idx="65">
                  <c:v>9.2143200000000007</c:v>
                </c:pt>
                <c:pt idx="66">
                  <c:v>8.1887500000000006</c:v>
                </c:pt>
                <c:pt idx="67">
                  <c:v>7.2956599999999998</c:v>
                </c:pt>
                <c:pt idx="68">
                  <c:v>6.5188600000000001</c:v>
                </c:pt>
                <c:pt idx="69">
                  <c:v>5.8445299999999998</c:v>
                </c:pt>
                <c:pt idx="70">
                  <c:v>5.2581800000000003</c:v>
                </c:pt>
                <c:pt idx="71">
                  <c:v>4.7519</c:v>
                </c:pt>
                <c:pt idx="72">
                  <c:v>4.3156400000000001</c:v>
                </c:pt>
                <c:pt idx="73">
                  <c:v>3.9358</c:v>
                </c:pt>
                <c:pt idx="74">
                  <c:v>3.5961500000000002</c:v>
                </c:pt>
                <c:pt idx="75">
                  <c:v>3.2971200000000001</c:v>
                </c:pt>
                <c:pt idx="76">
                  <c:v>3.0380799999999999</c:v>
                </c:pt>
                <c:pt idx="77">
                  <c:v>2.8152699999999999</c:v>
                </c:pt>
                <c:pt idx="78">
                  <c:v>2.6161799999999999</c:v>
                </c:pt>
                <c:pt idx="79">
                  <c:v>2.44259</c:v>
                </c:pt>
                <c:pt idx="80">
                  <c:v>2.2801</c:v>
                </c:pt>
                <c:pt idx="81">
                  <c:v>2.1064799999999999</c:v>
                </c:pt>
                <c:pt idx="82">
                  <c:v>1.9282999999999999</c:v>
                </c:pt>
                <c:pt idx="83">
                  <c:v>1.76003</c:v>
                </c:pt>
                <c:pt idx="84">
                  <c:v>1.6069100000000001</c:v>
                </c:pt>
                <c:pt idx="85">
                  <c:v>1.4705699999999999</c:v>
                </c:pt>
                <c:pt idx="86">
                  <c:v>1.34829</c:v>
                </c:pt>
                <c:pt idx="87">
                  <c:v>1.24295</c:v>
                </c:pt>
                <c:pt idx="88">
                  <c:v>1.1495500000000001</c:v>
                </c:pt>
                <c:pt idx="89">
                  <c:v>1.06206</c:v>
                </c:pt>
                <c:pt idx="90">
                  <c:v>0.98752600000000001</c:v>
                </c:pt>
                <c:pt idx="91">
                  <c:v>0.91978599999999999</c:v>
                </c:pt>
                <c:pt idx="92">
                  <c:v>0.85860700000000001</c:v>
                </c:pt>
                <c:pt idx="93">
                  <c:v>0.80288899999999996</c:v>
                </c:pt>
                <c:pt idx="94">
                  <c:v>0.75249500000000002</c:v>
                </c:pt>
                <c:pt idx="95">
                  <c:v>0.70532099999999998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E5-43DD-BE6A-98941CDC21C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'Model B'!$A$2:$A$97</c:f>
              <c:numCache>
                <c:formatCode>General</c:formatCode>
                <c:ptCount val="96"/>
                <c:pt idx="0">
                  <c:v>1331.7</c:v>
                </c:pt>
                <c:pt idx="1">
                  <c:v>1334.00269</c:v>
                </c:pt>
                <c:pt idx="2">
                  <c:v>1336.30537</c:v>
                </c:pt>
                <c:pt idx="3">
                  <c:v>1338.60806</c:v>
                </c:pt>
                <c:pt idx="4">
                  <c:v>1340.91075</c:v>
                </c:pt>
                <c:pt idx="5">
                  <c:v>1343.21343</c:v>
                </c:pt>
                <c:pt idx="6">
                  <c:v>1345.51612</c:v>
                </c:pt>
                <c:pt idx="7">
                  <c:v>1347.8188</c:v>
                </c:pt>
                <c:pt idx="8">
                  <c:v>1350.12149</c:v>
                </c:pt>
                <c:pt idx="9">
                  <c:v>1352.42418</c:v>
                </c:pt>
                <c:pt idx="10">
                  <c:v>1354.72686</c:v>
                </c:pt>
                <c:pt idx="11">
                  <c:v>1357.02955</c:v>
                </c:pt>
                <c:pt idx="12">
                  <c:v>1359.33224</c:v>
                </c:pt>
                <c:pt idx="13">
                  <c:v>1361.63492</c:v>
                </c:pt>
                <c:pt idx="14">
                  <c:v>1363.9376099999999</c:v>
                </c:pt>
                <c:pt idx="15">
                  <c:v>1366.24029</c:v>
                </c:pt>
                <c:pt idx="16">
                  <c:v>1368.5429799999999</c:v>
                </c:pt>
                <c:pt idx="17">
                  <c:v>1370.8456699999999</c:v>
                </c:pt>
                <c:pt idx="18">
                  <c:v>1373.1483499999999</c:v>
                </c:pt>
                <c:pt idx="19">
                  <c:v>1375.4510399999999</c:v>
                </c:pt>
                <c:pt idx="20">
                  <c:v>1377.7537299999999</c:v>
                </c:pt>
                <c:pt idx="21">
                  <c:v>1380.0564099999999</c:v>
                </c:pt>
                <c:pt idx="22">
                  <c:v>1382.3590999999999</c:v>
                </c:pt>
                <c:pt idx="23">
                  <c:v>1384.6617799999999</c:v>
                </c:pt>
                <c:pt idx="24">
                  <c:v>1386.9644699999999</c:v>
                </c:pt>
                <c:pt idx="25">
                  <c:v>1389.2671600000001</c:v>
                </c:pt>
                <c:pt idx="26">
                  <c:v>1391.5698400000001</c:v>
                </c:pt>
                <c:pt idx="27">
                  <c:v>1393.8725300000001</c:v>
                </c:pt>
                <c:pt idx="28">
                  <c:v>1396.1752200000001</c:v>
                </c:pt>
                <c:pt idx="29">
                  <c:v>1398.4779000000001</c:v>
                </c:pt>
                <c:pt idx="30">
                  <c:v>1400.7805900000001</c:v>
                </c:pt>
                <c:pt idx="31">
                  <c:v>1403.0832800000001</c:v>
                </c:pt>
                <c:pt idx="32">
                  <c:v>1405.3859600000001</c:v>
                </c:pt>
                <c:pt idx="33">
                  <c:v>1407.6886500000001</c:v>
                </c:pt>
                <c:pt idx="34">
                  <c:v>1409.9913300000001</c:v>
                </c:pt>
                <c:pt idx="35">
                  <c:v>1412.29402</c:v>
                </c:pt>
                <c:pt idx="36">
                  <c:v>1414.59671</c:v>
                </c:pt>
                <c:pt idx="37">
                  <c:v>1416.89939</c:v>
                </c:pt>
                <c:pt idx="38">
                  <c:v>1419.20208</c:v>
                </c:pt>
                <c:pt idx="39">
                  <c:v>1421.50477</c:v>
                </c:pt>
                <c:pt idx="40">
                  <c:v>1423.80745</c:v>
                </c:pt>
                <c:pt idx="41">
                  <c:v>1426.11014</c:v>
                </c:pt>
                <c:pt idx="42">
                  <c:v>1428.41282</c:v>
                </c:pt>
                <c:pt idx="43">
                  <c:v>1430.71551</c:v>
                </c:pt>
                <c:pt idx="44">
                  <c:v>1433.0182</c:v>
                </c:pt>
                <c:pt idx="45">
                  <c:v>1435.32088</c:v>
                </c:pt>
                <c:pt idx="46">
                  <c:v>1437.62357</c:v>
                </c:pt>
                <c:pt idx="47">
                  <c:v>1439.92626</c:v>
                </c:pt>
                <c:pt idx="48">
                  <c:v>1442.22894</c:v>
                </c:pt>
                <c:pt idx="49">
                  <c:v>1444.53163</c:v>
                </c:pt>
                <c:pt idx="50">
                  <c:v>1446.83431</c:v>
                </c:pt>
                <c:pt idx="51">
                  <c:v>1449.1369999999999</c:v>
                </c:pt>
                <c:pt idx="52">
                  <c:v>1451.4396899999999</c:v>
                </c:pt>
                <c:pt idx="53">
                  <c:v>1453.7423699999999</c:v>
                </c:pt>
                <c:pt idx="54">
                  <c:v>1456.0450599999999</c:v>
                </c:pt>
                <c:pt idx="55">
                  <c:v>1458.3477499999999</c:v>
                </c:pt>
                <c:pt idx="56">
                  <c:v>1460.6504299999999</c:v>
                </c:pt>
                <c:pt idx="57">
                  <c:v>1462.9531199999999</c:v>
                </c:pt>
                <c:pt idx="58">
                  <c:v>1465.2558100000001</c:v>
                </c:pt>
                <c:pt idx="59">
                  <c:v>1467.5584899999999</c:v>
                </c:pt>
                <c:pt idx="60">
                  <c:v>1469.8611800000001</c:v>
                </c:pt>
                <c:pt idx="61">
                  <c:v>1472.1638600000001</c:v>
                </c:pt>
                <c:pt idx="62">
                  <c:v>1474.4665500000001</c:v>
                </c:pt>
                <c:pt idx="63">
                  <c:v>1476.7692400000001</c:v>
                </c:pt>
                <c:pt idx="64">
                  <c:v>1479.0719200000001</c:v>
                </c:pt>
                <c:pt idx="65">
                  <c:v>1481.3746100000001</c:v>
                </c:pt>
                <c:pt idx="66">
                  <c:v>1483.6773000000001</c:v>
                </c:pt>
                <c:pt idx="67">
                  <c:v>1485.9799800000001</c:v>
                </c:pt>
                <c:pt idx="68">
                  <c:v>1488.2826700000001</c:v>
                </c:pt>
                <c:pt idx="69">
                  <c:v>1490.5853500000001</c:v>
                </c:pt>
                <c:pt idx="70">
                  <c:v>1492.88804</c:v>
                </c:pt>
                <c:pt idx="71">
                  <c:v>1495.19073</c:v>
                </c:pt>
                <c:pt idx="72">
                  <c:v>1497.49341</c:v>
                </c:pt>
                <c:pt idx="73">
                  <c:v>1499.7961</c:v>
                </c:pt>
                <c:pt idx="74">
                  <c:v>1502.09879</c:v>
                </c:pt>
                <c:pt idx="75">
                  <c:v>1504.40147</c:v>
                </c:pt>
                <c:pt idx="76">
                  <c:v>1506.70416</c:v>
                </c:pt>
                <c:pt idx="77">
                  <c:v>1509.00684</c:v>
                </c:pt>
                <c:pt idx="78">
                  <c:v>1511.30953</c:v>
                </c:pt>
                <c:pt idx="79">
                  <c:v>1513.61222</c:v>
                </c:pt>
                <c:pt idx="80">
                  <c:v>1515.9149</c:v>
                </c:pt>
                <c:pt idx="81">
                  <c:v>1518.21759</c:v>
                </c:pt>
                <c:pt idx="82">
                  <c:v>1520.52028</c:v>
                </c:pt>
                <c:pt idx="83">
                  <c:v>1522.82296</c:v>
                </c:pt>
                <c:pt idx="84">
                  <c:v>1525.12565</c:v>
                </c:pt>
                <c:pt idx="85">
                  <c:v>1527.42833</c:v>
                </c:pt>
                <c:pt idx="86">
                  <c:v>1529.7310199999999</c:v>
                </c:pt>
                <c:pt idx="87">
                  <c:v>1532.0337099999999</c:v>
                </c:pt>
                <c:pt idx="88">
                  <c:v>1534.3363899999999</c:v>
                </c:pt>
                <c:pt idx="89">
                  <c:v>1536.6390799999999</c:v>
                </c:pt>
                <c:pt idx="90">
                  <c:v>1538.9417699999999</c:v>
                </c:pt>
                <c:pt idx="91">
                  <c:v>1541.2444499999999</c:v>
                </c:pt>
                <c:pt idx="92">
                  <c:v>1543.5471399999999</c:v>
                </c:pt>
                <c:pt idx="93">
                  <c:v>1545.8498300000001</c:v>
                </c:pt>
                <c:pt idx="94">
                  <c:v>1548.1525099999999</c:v>
                </c:pt>
                <c:pt idx="95">
                  <c:v>1550.4552000000001</c:v>
                </c:pt>
              </c:numCache>
            </c:numRef>
          </c:xVal>
          <c:yVal>
            <c:numRef>
              <c:f>'Model B'!$H$2:$H$97</c:f>
              <c:numCache>
                <c:formatCode>0.00E+00</c:formatCode>
                <c:ptCount val="96"/>
                <c:pt idx="0">
                  <c:v>0</c:v>
                </c:pt>
                <c:pt idx="1">
                  <c:v>0.102946</c:v>
                </c:pt>
                <c:pt idx="2">
                  <c:v>0.155418</c:v>
                </c:pt>
                <c:pt idx="3">
                  <c:v>0.20456199999999999</c:v>
                </c:pt>
                <c:pt idx="4">
                  <c:v>0.25458900000000001</c:v>
                </c:pt>
                <c:pt idx="5">
                  <c:v>0.30740499999999998</c:v>
                </c:pt>
                <c:pt idx="6">
                  <c:v>0.36417899999999997</c:v>
                </c:pt>
                <c:pt idx="7">
                  <c:v>0.42628700000000003</c:v>
                </c:pt>
                <c:pt idx="8">
                  <c:v>0.494037</c:v>
                </c:pt>
                <c:pt idx="9">
                  <c:v>0.56860599999999994</c:v>
                </c:pt>
                <c:pt idx="10">
                  <c:v>0.65107400000000004</c:v>
                </c:pt>
                <c:pt idx="11">
                  <c:v>0.74286200000000002</c:v>
                </c:pt>
                <c:pt idx="12">
                  <c:v>0.84535700000000003</c:v>
                </c:pt>
                <c:pt idx="13">
                  <c:v>0.95963799999999999</c:v>
                </c:pt>
                <c:pt idx="14">
                  <c:v>1.0873299999999999</c:v>
                </c:pt>
                <c:pt idx="15">
                  <c:v>1.2296800000000001</c:v>
                </c:pt>
                <c:pt idx="16">
                  <c:v>1.3884000000000001</c:v>
                </c:pt>
                <c:pt idx="17">
                  <c:v>1.5651999999999999</c:v>
                </c:pt>
                <c:pt idx="18">
                  <c:v>1.7619400000000001</c:v>
                </c:pt>
                <c:pt idx="19">
                  <c:v>1.9808399999999999</c:v>
                </c:pt>
                <c:pt idx="20">
                  <c:v>2.2242899999999999</c:v>
                </c:pt>
                <c:pt idx="21">
                  <c:v>2.4948199999999998</c:v>
                </c:pt>
                <c:pt idx="22">
                  <c:v>2.7968299999999999</c:v>
                </c:pt>
                <c:pt idx="23">
                  <c:v>3.1348199999999999</c:v>
                </c:pt>
                <c:pt idx="24">
                  <c:v>3.5156299999999998</c:v>
                </c:pt>
                <c:pt idx="25">
                  <c:v>3.9454199999999999</c:v>
                </c:pt>
                <c:pt idx="26">
                  <c:v>4.4231499999999997</c:v>
                </c:pt>
                <c:pt idx="27">
                  <c:v>4.9545000000000003</c:v>
                </c:pt>
                <c:pt idx="28">
                  <c:v>5.5436500000000004</c:v>
                </c:pt>
                <c:pt idx="29">
                  <c:v>6.1943099999999998</c:v>
                </c:pt>
                <c:pt idx="30">
                  <c:v>6.9096000000000002</c:v>
                </c:pt>
                <c:pt idx="31">
                  <c:v>7.6925699999999999</c:v>
                </c:pt>
                <c:pt idx="32">
                  <c:v>8.5409400000000009</c:v>
                </c:pt>
                <c:pt idx="33">
                  <c:v>9.4523700000000002</c:v>
                </c:pt>
                <c:pt idx="34">
                  <c:v>10.4184</c:v>
                </c:pt>
                <c:pt idx="35">
                  <c:v>11.4275</c:v>
                </c:pt>
                <c:pt idx="36">
                  <c:v>12.4598</c:v>
                </c:pt>
                <c:pt idx="37">
                  <c:v>13.489000000000001</c:v>
                </c:pt>
                <c:pt idx="38">
                  <c:v>14.4838</c:v>
                </c:pt>
                <c:pt idx="39">
                  <c:v>15.4087</c:v>
                </c:pt>
                <c:pt idx="40">
                  <c:v>16.219799999999999</c:v>
                </c:pt>
                <c:pt idx="41">
                  <c:v>16.856300000000001</c:v>
                </c:pt>
                <c:pt idx="42">
                  <c:v>17.216999999999999</c:v>
                </c:pt>
                <c:pt idx="43">
                  <c:v>17.046900000000001</c:v>
                </c:pt>
                <c:pt idx="44">
                  <c:v>13.0932</c:v>
                </c:pt>
                <c:pt idx="45">
                  <c:v>13.763199999999999</c:v>
                </c:pt>
                <c:pt idx="46">
                  <c:v>14.712300000000001</c:v>
                </c:pt>
                <c:pt idx="47">
                  <c:v>15.621600000000001</c:v>
                </c:pt>
                <c:pt idx="48">
                  <c:v>16.437100000000001</c:v>
                </c:pt>
                <c:pt idx="49">
                  <c:v>17.083600000000001</c:v>
                </c:pt>
                <c:pt idx="50">
                  <c:v>17.5029</c:v>
                </c:pt>
                <c:pt idx="51">
                  <c:v>17.634399999999999</c:v>
                </c:pt>
                <c:pt idx="52">
                  <c:v>17.4312</c:v>
                </c:pt>
                <c:pt idx="53">
                  <c:v>16.8734</c:v>
                </c:pt>
                <c:pt idx="54">
                  <c:v>15.9887</c:v>
                </c:pt>
                <c:pt idx="55">
                  <c:v>14.858000000000001</c:v>
                </c:pt>
                <c:pt idx="56">
                  <c:v>13.598599999999999</c:v>
                </c:pt>
                <c:pt idx="57">
                  <c:v>12.297499999999999</c:v>
                </c:pt>
                <c:pt idx="58">
                  <c:v>11.039899999999999</c:v>
                </c:pt>
                <c:pt idx="59">
                  <c:v>9.8654600000000006</c:v>
                </c:pt>
                <c:pt idx="60">
                  <c:v>8.7982499999999995</c:v>
                </c:pt>
                <c:pt idx="61">
                  <c:v>7.8442800000000004</c:v>
                </c:pt>
                <c:pt idx="62">
                  <c:v>6.9929300000000003</c:v>
                </c:pt>
                <c:pt idx="63">
                  <c:v>6.2388000000000003</c:v>
                </c:pt>
                <c:pt idx="64">
                  <c:v>5.5722300000000002</c:v>
                </c:pt>
                <c:pt idx="65">
                  <c:v>4.9830899999999998</c:v>
                </c:pt>
                <c:pt idx="66">
                  <c:v>4.4617699999999996</c:v>
                </c:pt>
                <c:pt idx="67">
                  <c:v>4.0010000000000003</c:v>
                </c:pt>
                <c:pt idx="68">
                  <c:v>3.5936900000000001</c:v>
                </c:pt>
                <c:pt idx="69">
                  <c:v>3.2349399999999999</c:v>
                </c:pt>
                <c:pt idx="70">
                  <c:v>2.9214099999999998</c:v>
                </c:pt>
                <c:pt idx="71">
                  <c:v>2.6531099999999999</c:v>
                </c:pt>
                <c:pt idx="72">
                  <c:v>2.4174799999999999</c:v>
                </c:pt>
                <c:pt idx="73">
                  <c:v>2.20817</c:v>
                </c:pt>
                <c:pt idx="74">
                  <c:v>2.0194000000000001</c:v>
                </c:pt>
                <c:pt idx="75">
                  <c:v>1.8536699999999999</c:v>
                </c:pt>
                <c:pt idx="76">
                  <c:v>1.71262</c:v>
                </c:pt>
                <c:pt idx="77">
                  <c:v>1.5935999999999999</c:v>
                </c:pt>
                <c:pt idx="78">
                  <c:v>1.4926600000000001</c:v>
                </c:pt>
                <c:pt idx="79">
                  <c:v>1.4079600000000001</c:v>
                </c:pt>
                <c:pt idx="80">
                  <c:v>1.32568</c:v>
                </c:pt>
                <c:pt idx="81">
                  <c:v>1.2272400000000001</c:v>
                </c:pt>
                <c:pt idx="82">
                  <c:v>1.11643</c:v>
                </c:pt>
                <c:pt idx="83">
                  <c:v>1.0098499999999999</c:v>
                </c:pt>
                <c:pt idx="84">
                  <c:v>0.91312099999999996</c:v>
                </c:pt>
                <c:pt idx="85">
                  <c:v>0.82852000000000003</c:v>
                </c:pt>
                <c:pt idx="86">
                  <c:v>0.75537399999999999</c:v>
                </c:pt>
                <c:pt idx="87">
                  <c:v>0.69225800000000004</c:v>
                </c:pt>
                <c:pt idx="88">
                  <c:v>0.63702499999999995</c:v>
                </c:pt>
                <c:pt idx="89">
                  <c:v>0.58722300000000005</c:v>
                </c:pt>
                <c:pt idx="90">
                  <c:v>0.54351899999999997</c:v>
                </c:pt>
                <c:pt idx="91">
                  <c:v>0.50395800000000002</c:v>
                </c:pt>
                <c:pt idx="92">
                  <c:v>0.468447</c:v>
                </c:pt>
                <c:pt idx="93">
                  <c:v>0.43607499999999999</c:v>
                </c:pt>
                <c:pt idx="94">
                  <c:v>0.40663199999999999</c:v>
                </c:pt>
                <c:pt idx="95">
                  <c:v>0.37916800000000001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E5-43DD-BE6A-98941CDC2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611007"/>
        <c:axId val="1085613919"/>
      </c:scatterChart>
      <c:valAx>
        <c:axId val="1085611007"/>
        <c:scaling>
          <c:orientation val="minMax"/>
          <c:max val="1500"/>
          <c:min val="1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600" b="0" i="0" baseline="0">
                    <a:effectLst/>
                    <a:latin typeface="Symbol" panose="05050102010706020507" pitchFamily="18" charset="2"/>
                  </a:rPr>
                  <a:t>pS</a:t>
                </a:r>
                <a:r>
                  <a:rPr lang="en-US" altLang="ja-JP" sz="1600" b="0" i="0" baseline="0">
                    <a:effectLst/>
                  </a:rPr>
                  <a:t> inv. mass [MeV/c</a:t>
                </a:r>
                <a:r>
                  <a:rPr lang="en-US" altLang="ja-JP" sz="1600" b="0" i="0" baseline="30000">
                    <a:effectLst/>
                  </a:rPr>
                  <a:t>2</a:t>
                </a:r>
                <a:r>
                  <a:rPr lang="en-US" altLang="ja-JP" sz="1600" b="0" i="0" baseline="0">
                    <a:effectLst/>
                  </a:rPr>
                  <a:t>]</a:t>
                </a:r>
                <a:endParaRPr lang="ja-JP" altLang="ja-JP" sz="9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13919"/>
        <c:crosses val="autoZero"/>
        <c:crossBetween val="midCat"/>
      </c:valAx>
      <c:valAx>
        <c:axId val="108561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600" b="0" i="0" baseline="0">
                    <a:effectLst/>
                  </a:rPr>
                  <a:t>d</a:t>
                </a:r>
                <a:r>
                  <a:rPr lang="en-US" altLang="ja-JP" sz="1600" b="0" i="0" baseline="30000">
                    <a:effectLst/>
                  </a:rPr>
                  <a:t>2</a:t>
                </a:r>
                <a:r>
                  <a:rPr lang="en-US" altLang="ja-JP" sz="1600" b="0" i="0" baseline="0">
                    <a:effectLst/>
                  </a:rPr>
                  <a:t>s/dMdW [mb/sr MeV]</a:t>
                </a:r>
                <a:endParaRPr lang="ja-JP" altLang="ja-JP" sz="16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11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'Model B'!$A$2:$A$97</c:f>
              <c:numCache>
                <c:formatCode>General</c:formatCode>
                <c:ptCount val="96"/>
                <c:pt idx="0">
                  <c:v>1331.7</c:v>
                </c:pt>
                <c:pt idx="1">
                  <c:v>1334.00269</c:v>
                </c:pt>
                <c:pt idx="2">
                  <c:v>1336.30537</c:v>
                </c:pt>
                <c:pt idx="3">
                  <c:v>1338.60806</c:v>
                </c:pt>
                <c:pt idx="4">
                  <c:v>1340.91075</c:v>
                </c:pt>
                <c:pt idx="5">
                  <c:v>1343.21343</c:v>
                </c:pt>
                <c:pt idx="6">
                  <c:v>1345.51612</c:v>
                </c:pt>
                <c:pt idx="7">
                  <c:v>1347.8188</c:v>
                </c:pt>
                <c:pt idx="8">
                  <c:v>1350.12149</c:v>
                </c:pt>
                <c:pt idx="9">
                  <c:v>1352.42418</c:v>
                </c:pt>
                <c:pt idx="10">
                  <c:v>1354.72686</c:v>
                </c:pt>
                <c:pt idx="11">
                  <c:v>1357.02955</c:v>
                </c:pt>
                <c:pt idx="12">
                  <c:v>1359.33224</c:v>
                </c:pt>
                <c:pt idx="13">
                  <c:v>1361.63492</c:v>
                </c:pt>
                <c:pt idx="14">
                  <c:v>1363.9376099999999</c:v>
                </c:pt>
                <c:pt idx="15">
                  <c:v>1366.24029</c:v>
                </c:pt>
                <c:pt idx="16">
                  <c:v>1368.5429799999999</c:v>
                </c:pt>
                <c:pt idx="17">
                  <c:v>1370.8456699999999</c:v>
                </c:pt>
                <c:pt idx="18">
                  <c:v>1373.1483499999999</c:v>
                </c:pt>
                <c:pt idx="19">
                  <c:v>1375.4510399999999</c:v>
                </c:pt>
                <c:pt idx="20">
                  <c:v>1377.7537299999999</c:v>
                </c:pt>
                <c:pt idx="21">
                  <c:v>1380.0564099999999</c:v>
                </c:pt>
                <c:pt idx="22">
                  <c:v>1382.3590999999999</c:v>
                </c:pt>
                <c:pt idx="23">
                  <c:v>1384.6617799999999</c:v>
                </c:pt>
                <c:pt idx="24">
                  <c:v>1386.9644699999999</c:v>
                </c:pt>
                <c:pt idx="25">
                  <c:v>1389.2671600000001</c:v>
                </c:pt>
                <c:pt idx="26">
                  <c:v>1391.5698400000001</c:v>
                </c:pt>
                <c:pt idx="27">
                  <c:v>1393.8725300000001</c:v>
                </c:pt>
                <c:pt idx="28">
                  <c:v>1396.1752200000001</c:v>
                </c:pt>
                <c:pt idx="29">
                  <c:v>1398.4779000000001</c:v>
                </c:pt>
                <c:pt idx="30">
                  <c:v>1400.7805900000001</c:v>
                </c:pt>
                <c:pt idx="31">
                  <c:v>1403.0832800000001</c:v>
                </c:pt>
                <c:pt idx="32">
                  <c:v>1405.3859600000001</c:v>
                </c:pt>
                <c:pt idx="33">
                  <c:v>1407.6886500000001</c:v>
                </c:pt>
                <c:pt idx="34">
                  <c:v>1409.9913300000001</c:v>
                </c:pt>
                <c:pt idx="35">
                  <c:v>1412.29402</c:v>
                </c:pt>
                <c:pt idx="36">
                  <c:v>1414.59671</c:v>
                </c:pt>
                <c:pt idx="37">
                  <c:v>1416.89939</c:v>
                </c:pt>
                <c:pt idx="38">
                  <c:v>1419.20208</c:v>
                </c:pt>
                <c:pt idx="39">
                  <c:v>1421.50477</c:v>
                </c:pt>
                <c:pt idx="40">
                  <c:v>1423.80745</c:v>
                </c:pt>
                <c:pt idx="41">
                  <c:v>1426.11014</c:v>
                </c:pt>
                <c:pt idx="42">
                  <c:v>1428.41282</c:v>
                </c:pt>
                <c:pt idx="43">
                  <c:v>1430.71551</c:v>
                </c:pt>
                <c:pt idx="44">
                  <c:v>1433.0182</c:v>
                </c:pt>
                <c:pt idx="45">
                  <c:v>1435.32088</c:v>
                </c:pt>
                <c:pt idx="46">
                  <c:v>1437.62357</c:v>
                </c:pt>
                <c:pt idx="47">
                  <c:v>1439.92626</c:v>
                </c:pt>
                <c:pt idx="48">
                  <c:v>1442.22894</c:v>
                </c:pt>
                <c:pt idx="49">
                  <c:v>1444.53163</c:v>
                </c:pt>
                <c:pt idx="50">
                  <c:v>1446.83431</c:v>
                </c:pt>
                <c:pt idx="51">
                  <c:v>1449.1369999999999</c:v>
                </c:pt>
                <c:pt idx="52">
                  <c:v>1451.4396899999999</c:v>
                </c:pt>
                <c:pt idx="53">
                  <c:v>1453.7423699999999</c:v>
                </c:pt>
                <c:pt idx="54">
                  <c:v>1456.0450599999999</c:v>
                </c:pt>
                <c:pt idx="55">
                  <c:v>1458.3477499999999</c:v>
                </c:pt>
                <c:pt idx="56">
                  <c:v>1460.6504299999999</c:v>
                </c:pt>
                <c:pt idx="57">
                  <c:v>1462.9531199999999</c:v>
                </c:pt>
                <c:pt idx="58">
                  <c:v>1465.2558100000001</c:v>
                </c:pt>
                <c:pt idx="59">
                  <c:v>1467.5584899999999</c:v>
                </c:pt>
                <c:pt idx="60">
                  <c:v>1469.8611800000001</c:v>
                </c:pt>
                <c:pt idx="61">
                  <c:v>1472.1638600000001</c:v>
                </c:pt>
                <c:pt idx="62">
                  <c:v>1474.4665500000001</c:v>
                </c:pt>
                <c:pt idx="63">
                  <c:v>1476.7692400000001</c:v>
                </c:pt>
                <c:pt idx="64">
                  <c:v>1479.0719200000001</c:v>
                </c:pt>
                <c:pt idx="65">
                  <c:v>1481.3746100000001</c:v>
                </c:pt>
                <c:pt idx="66">
                  <c:v>1483.6773000000001</c:v>
                </c:pt>
                <c:pt idx="67">
                  <c:v>1485.9799800000001</c:v>
                </c:pt>
                <c:pt idx="68">
                  <c:v>1488.2826700000001</c:v>
                </c:pt>
                <c:pt idx="69">
                  <c:v>1490.5853500000001</c:v>
                </c:pt>
                <c:pt idx="70">
                  <c:v>1492.88804</c:v>
                </c:pt>
                <c:pt idx="71">
                  <c:v>1495.19073</c:v>
                </c:pt>
                <c:pt idx="72">
                  <c:v>1497.49341</c:v>
                </c:pt>
                <c:pt idx="73">
                  <c:v>1499.7961</c:v>
                </c:pt>
                <c:pt idx="74">
                  <c:v>1502.09879</c:v>
                </c:pt>
                <c:pt idx="75">
                  <c:v>1504.40147</c:v>
                </c:pt>
                <c:pt idx="76">
                  <c:v>1506.70416</c:v>
                </c:pt>
                <c:pt idx="77">
                  <c:v>1509.00684</c:v>
                </c:pt>
                <c:pt idx="78">
                  <c:v>1511.30953</c:v>
                </c:pt>
                <c:pt idx="79">
                  <c:v>1513.61222</c:v>
                </c:pt>
                <c:pt idx="80">
                  <c:v>1515.9149</c:v>
                </c:pt>
                <c:pt idx="81">
                  <c:v>1518.21759</c:v>
                </c:pt>
                <c:pt idx="82">
                  <c:v>1520.52028</c:v>
                </c:pt>
                <c:pt idx="83">
                  <c:v>1522.82296</c:v>
                </c:pt>
                <c:pt idx="84">
                  <c:v>1525.12565</c:v>
                </c:pt>
                <c:pt idx="85">
                  <c:v>1527.42833</c:v>
                </c:pt>
                <c:pt idx="86">
                  <c:v>1529.7310199999999</c:v>
                </c:pt>
                <c:pt idx="87">
                  <c:v>1532.0337099999999</c:v>
                </c:pt>
                <c:pt idx="88">
                  <c:v>1534.3363899999999</c:v>
                </c:pt>
                <c:pt idx="89">
                  <c:v>1536.6390799999999</c:v>
                </c:pt>
                <c:pt idx="90">
                  <c:v>1538.9417699999999</c:v>
                </c:pt>
                <c:pt idx="91">
                  <c:v>1541.2444499999999</c:v>
                </c:pt>
                <c:pt idx="92">
                  <c:v>1543.5471399999999</c:v>
                </c:pt>
                <c:pt idx="93">
                  <c:v>1545.8498300000001</c:v>
                </c:pt>
                <c:pt idx="94">
                  <c:v>1548.1525099999999</c:v>
                </c:pt>
                <c:pt idx="95">
                  <c:v>1550.4552000000001</c:v>
                </c:pt>
              </c:numCache>
            </c:numRef>
          </c:xVal>
          <c:yVal>
            <c:numRef>
              <c:f>'Model B'!$B$2:$B$97</c:f>
              <c:numCache>
                <c:formatCode>0.00E+00</c:formatCode>
                <c:ptCount val="96"/>
                <c:pt idx="0">
                  <c:v>0</c:v>
                </c:pt>
                <c:pt idx="1">
                  <c:v>0.102976</c:v>
                </c:pt>
                <c:pt idx="2">
                  <c:v>0.15370400000000001</c:v>
                </c:pt>
                <c:pt idx="3">
                  <c:v>0.20058899999999999</c:v>
                </c:pt>
                <c:pt idx="4">
                  <c:v>0.24766199999999999</c:v>
                </c:pt>
                <c:pt idx="5">
                  <c:v>0.296848</c:v>
                </c:pt>
                <c:pt idx="6">
                  <c:v>0.34923799999999999</c:v>
                </c:pt>
                <c:pt idx="7">
                  <c:v>0.40626800000000002</c:v>
                </c:pt>
                <c:pt idx="8">
                  <c:v>0.467837</c:v>
                </c:pt>
                <c:pt idx="9">
                  <c:v>0.53512700000000002</c:v>
                </c:pt>
                <c:pt idx="10">
                  <c:v>0.60907599999999995</c:v>
                </c:pt>
                <c:pt idx="11">
                  <c:v>0.69095600000000001</c:v>
                </c:pt>
                <c:pt idx="12">
                  <c:v>0.78196200000000005</c:v>
                </c:pt>
                <c:pt idx="13">
                  <c:v>0.88293699999999997</c:v>
                </c:pt>
                <c:pt idx="14">
                  <c:v>0.99521999999999999</c:v>
                </c:pt>
                <c:pt idx="15">
                  <c:v>1.1196600000000001</c:v>
                </c:pt>
                <c:pt idx="16">
                  <c:v>1.25759</c:v>
                </c:pt>
                <c:pt idx="17">
                  <c:v>1.4101999999999999</c:v>
                </c:pt>
                <c:pt idx="18">
                  <c:v>1.57877</c:v>
                </c:pt>
                <c:pt idx="19">
                  <c:v>1.76488</c:v>
                </c:pt>
                <c:pt idx="20">
                  <c:v>1.9701200000000001</c:v>
                </c:pt>
                <c:pt idx="21">
                  <c:v>2.1962299999999999</c:v>
                </c:pt>
                <c:pt idx="22">
                  <c:v>2.4468200000000002</c:v>
                </c:pt>
                <c:pt idx="23">
                  <c:v>2.7255099999999999</c:v>
                </c:pt>
                <c:pt idx="24">
                  <c:v>3.0383200000000001</c:v>
                </c:pt>
                <c:pt idx="25">
                  <c:v>3.3914</c:v>
                </c:pt>
                <c:pt idx="26">
                  <c:v>3.7816999999999998</c:v>
                </c:pt>
                <c:pt idx="27">
                  <c:v>4.21441</c:v>
                </c:pt>
                <c:pt idx="28">
                  <c:v>4.6925800000000004</c:v>
                </c:pt>
                <c:pt idx="29">
                  <c:v>5.2189500000000004</c:v>
                </c:pt>
                <c:pt idx="30">
                  <c:v>5.7956000000000003</c:v>
                </c:pt>
                <c:pt idx="31">
                  <c:v>6.4250400000000001</c:v>
                </c:pt>
                <c:pt idx="32">
                  <c:v>7.1046100000000001</c:v>
                </c:pt>
                <c:pt idx="33">
                  <c:v>7.8325800000000001</c:v>
                </c:pt>
                <c:pt idx="34">
                  <c:v>8.6017100000000006</c:v>
                </c:pt>
                <c:pt idx="35">
                  <c:v>9.4026200000000006</c:v>
                </c:pt>
                <c:pt idx="36">
                  <c:v>10.220000000000001</c:v>
                </c:pt>
                <c:pt idx="37">
                  <c:v>11.0321</c:v>
                </c:pt>
                <c:pt idx="38">
                  <c:v>11.813000000000001</c:v>
                </c:pt>
                <c:pt idx="39">
                  <c:v>12.5382</c:v>
                </c:pt>
                <c:pt idx="40">
                  <c:v>13.173400000000001</c:v>
                </c:pt>
                <c:pt idx="41">
                  <c:v>13.6761</c:v>
                </c:pt>
                <c:pt idx="42">
                  <c:v>13.9678</c:v>
                </c:pt>
                <c:pt idx="43">
                  <c:v>13.871700000000001</c:v>
                </c:pt>
                <c:pt idx="44">
                  <c:v>8.9787800000000004</c:v>
                </c:pt>
                <c:pt idx="45">
                  <c:v>8.1556800000000003</c:v>
                </c:pt>
                <c:pt idx="46">
                  <c:v>8.0973400000000009</c:v>
                </c:pt>
                <c:pt idx="47">
                  <c:v>8.1548099999999994</c:v>
                </c:pt>
                <c:pt idx="48">
                  <c:v>8.1879000000000008</c:v>
                </c:pt>
                <c:pt idx="49">
                  <c:v>8.1364999999999998</c:v>
                </c:pt>
                <c:pt idx="50">
                  <c:v>7.9723199999999999</c:v>
                </c:pt>
                <c:pt idx="51">
                  <c:v>7.6841499999999998</c:v>
                </c:pt>
                <c:pt idx="52">
                  <c:v>7.2782299999999998</c:v>
                </c:pt>
                <c:pt idx="53">
                  <c:v>6.7747000000000002</c:v>
                </c:pt>
                <c:pt idx="54">
                  <c:v>6.2099799999999998</c:v>
                </c:pt>
                <c:pt idx="55">
                  <c:v>5.6238999999999999</c:v>
                </c:pt>
                <c:pt idx="56">
                  <c:v>5.0646699999999996</c:v>
                </c:pt>
                <c:pt idx="57">
                  <c:v>4.5496600000000003</c:v>
                </c:pt>
                <c:pt idx="58">
                  <c:v>4.0896600000000003</c:v>
                </c:pt>
                <c:pt idx="59">
                  <c:v>3.6881400000000002</c:v>
                </c:pt>
                <c:pt idx="60">
                  <c:v>3.3379300000000001</c:v>
                </c:pt>
                <c:pt idx="61">
                  <c:v>3.0315500000000002</c:v>
                </c:pt>
                <c:pt idx="62">
                  <c:v>2.75644</c:v>
                </c:pt>
                <c:pt idx="63">
                  <c:v>2.5091100000000002</c:v>
                </c:pt>
                <c:pt idx="64">
                  <c:v>2.28559</c:v>
                </c:pt>
                <c:pt idx="65">
                  <c:v>2.0817800000000002</c:v>
                </c:pt>
                <c:pt idx="66">
                  <c:v>1.8940600000000001</c:v>
                </c:pt>
                <c:pt idx="67">
                  <c:v>1.7219899999999999</c:v>
                </c:pt>
                <c:pt idx="68">
                  <c:v>1.56406</c:v>
                </c:pt>
                <c:pt idx="69">
                  <c:v>1.4205300000000001</c:v>
                </c:pt>
                <c:pt idx="70">
                  <c:v>1.29433</c:v>
                </c:pt>
                <c:pt idx="71">
                  <c:v>1.1898599999999999</c:v>
                </c:pt>
                <c:pt idx="72">
                  <c:v>1.0944799999999999</c:v>
                </c:pt>
                <c:pt idx="73">
                  <c:v>1.0064599999999999</c:v>
                </c:pt>
                <c:pt idx="74">
                  <c:v>0.92627099999999996</c:v>
                </c:pt>
                <c:pt idx="75">
                  <c:v>0.85794899999999996</c:v>
                </c:pt>
                <c:pt idx="76">
                  <c:v>0.80445599999999995</c:v>
                </c:pt>
                <c:pt idx="77">
                  <c:v>0.76456299999999999</c:v>
                </c:pt>
                <c:pt idx="78">
                  <c:v>0.74007699999999998</c:v>
                </c:pt>
                <c:pt idx="79">
                  <c:v>0.72583900000000001</c:v>
                </c:pt>
                <c:pt idx="80">
                  <c:v>0.705735</c:v>
                </c:pt>
                <c:pt idx="81">
                  <c:v>0.66116699999999995</c:v>
                </c:pt>
                <c:pt idx="82">
                  <c:v>0.59395699999999996</c:v>
                </c:pt>
                <c:pt idx="83">
                  <c:v>0.52506900000000001</c:v>
                </c:pt>
                <c:pt idx="84">
                  <c:v>0.46315400000000001</c:v>
                </c:pt>
                <c:pt idx="85">
                  <c:v>0.41122300000000001</c:v>
                </c:pt>
                <c:pt idx="86">
                  <c:v>0.36935899999999999</c:v>
                </c:pt>
                <c:pt idx="87">
                  <c:v>0.33412199999999997</c:v>
                </c:pt>
                <c:pt idx="88">
                  <c:v>0.304504</c:v>
                </c:pt>
                <c:pt idx="89">
                  <c:v>0.27942899999999998</c:v>
                </c:pt>
                <c:pt idx="90">
                  <c:v>0.25684000000000001</c:v>
                </c:pt>
                <c:pt idx="91">
                  <c:v>0.236707</c:v>
                </c:pt>
                <c:pt idx="92">
                  <c:v>0.21889500000000001</c:v>
                </c:pt>
                <c:pt idx="93">
                  <c:v>0.202684</c:v>
                </c:pt>
                <c:pt idx="94">
                  <c:v>0.18786</c:v>
                </c:pt>
                <c:pt idx="95">
                  <c:v>0.17403399999999999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FE5-43DD-BE6A-98941CDC21C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'Model B'!$A$2:$A$97</c:f>
              <c:numCache>
                <c:formatCode>General</c:formatCode>
                <c:ptCount val="96"/>
                <c:pt idx="0">
                  <c:v>1331.7</c:v>
                </c:pt>
                <c:pt idx="1">
                  <c:v>1334.00269</c:v>
                </c:pt>
                <c:pt idx="2">
                  <c:v>1336.30537</c:v>
                </c:pt>
                <c:pt idx="3">
                  <c:v>1338.60806</c:v>
                </c:pt>
                <c:pt idx="4">
                  <c:v>1340.91075</c:v>
                </c:pt>
                <c:pt idx="5">
                  <c:v>1343.21343</c:v>
                </c:pt>
                <c:pt idx="6">
                  <c:v>1345.51612</c:v>
                </c:pt>
                <c:pt idx="7">
                  <c:v>1347.8188</c:v>
                </c:pt>
                <c:pt idx="8">
                  <c:v>1350.12149</c:v>
                </c:pt>
                <c:pt idx="9">
                  <c:v>1352.42418</c:v>
                </c:pt>
                <c:pt idx="10">
                  <c:v>1354.72686</c:v>
                </c:pt>
                <c:pt idx="11">
                  <c:v>1357.02955</c:v>
                </c:pt>
                <c:pt idx="12">
                  <c:v>1359.33224</c:v>
                </c:pt>
                <c:pt idx="13">
                  <c:v>1361.63492</c:v>
                </c:pt>
                <c:pt idx="14">
                  <c:v>1363.9376099999999</c:v>
                </c:pt>
                <c:pt idx="15">
                  <c:v>1366.24029</c:v>
                </c:pt>
                <c:pt idx="16">
                  <c:v>1368.5429799999999</c:v>
                </c:pt>
                <c:pt idx="17">
                  <c:v>1370.8456699999999</c:v>
                </c:pt>
                <c:pt idx="18">
                  <c:v>1373.1483499999999</c:v>
                </c:pt>
                <c:pt idx="19">
                  <c:v>1375.4510399999999</c:v>
                </c:pt>
                <c:pt idx="20">
                  <c:v>1377.7537299999999</c:v>
                </c:pt>
                <c:pt idx="21">
                  <c:v>1380.0564099999999</c:v>
                </c:pt>
                <c:pt idx="22">
                  <c:v>1382.3590999999999</c:v>
                </c:pt>
                <c:pt idx="23">
                  <c:v>1384.6617799999999</c:v>
                </c:pt>
                <c:pt idx="24">
                  <c:v>1386.9644699999999</c:v>
                </c:pt>
                <c:pt idx="25">
                  <c:v>1389.2671600000001</c:v>
                </c:pt>
                <c:pt idx="26">
                  <c:v>1391.5698400000001</c:v>
                </c:pt>
                <c:pt idx="27">
                  <c:v>1393.8725300000001</c:v>
                </c:pt>
                <c:pt idx="28">
                  <c:v>1396.1752200000001</c:v>
                </c:pt>
                <c:pt idx="29">
                  <c:v>1398.4779000000001</c:v>
                </c:pt>
                <c:pt idx="30">
                  <c:v>1400.7805900000001</c:v>
                </c:pt>
                <c:pt idx="31">
                  <c:v>1403.0832800000001</c:v>
                </c:pt>
                <c:pt idx="32">
                  <c:v>1405.3859600000001</c:v>
                </c:pt>
                <c:pt idx="33">
                  <c:v>1407.6886500000001</c:v>
                </c:pt>
                <c:pt idx="34">
                  <c:v>1409.9913300000001</c:v>
                </c:pt>
                <c:pt idx="35">
                  <c:v>1412.29402</c:v>
                </c:pt>
                <c:pt idx="36">
                  <c:v>1414.59671</c:v>
                </c:pt>
                <c:pt idx="37">
                  <c:v>1416.89939</c:v>
                </c:pt>
                <c:pt idx="38">
                  <c:v>1419.20208</c:v>
                </c:pt>
                <c:pt idx="39">
                  <c:v>1421.50477</c:v>
                </c:pt>
                <c:pt idx="40">
                  <c:v>1423.80745</c:v>
                </c:pt>
                <c:pt idx="41">
                  <c:v>1426.11014</c:v>
                </c:pt>
                <c:pt idx="42">
                  <c:v>1428.41282</c:v>
                </c:pt>
                <c:pt idx="43">
                  <c:v>1430.71551</c:v>
                </c:pt>
                <c:pt idx="44">
                  <c:v>1433.0182</c:v>
                </c:pt>
                <c:pt idx="45">
                  <c:v>1435.32088</c:v>
                </c:pt>
                <c:pt idx="46">
                  <c:v>1437.62357</c:v>
                </c:pt>
                <c:pt idx="47">
                  <c:v>1439.92626</c:v>
                </c:pt>
                <c:pt idx="48">
                  <c:v>1442.22894</c:v>
                </c:pt>
                <c:pt idx="49">
                  <c:v>1444.53163</c:v>
                </c:pt>
                <c:pt idx="50">
                  <c:v>1446.83431</c:v>
                </c:pt>
                <c:pt idx="51">
                  <c:v>1449.1369999999999</c:v>
                </c:pt>
                <c:pt idx="52">
                  <c:v>1451.4396899999999</c:v>
                </c:pt>
                <c:pt idx="53">
                  <c:v>1453.7423699999999</c:v>
                </c:pt>
                <c:pt idx="54">
                  <c:v>1456.0450599999999</c:v>
                </c:pt>
                <c:pt idx="55">
                  <c:v>1458.3477499999999</c:v>
                </c:pt>
                <c:pt idx="56">
                  <c:v>1460.6504299999999</c:v>
                </c:pt>
                <c:pt idx="57">
                  <c:v>1462.9531199999999</c:v>
                </c:pt>
                <c:pt idx="58">
                  <c:v>1465.2558100000001</c:v>
                </c:pt>
                <c:pt idx="59">
                  <c:v>1467.5584899999999</c:v>
                </c:pt>
                <c:pt idx="60">
                  <c:v>1469.8611800000001</c:v>
                </c:pt>
                <c:pt idx="61">
                  <c:v>1472.1638600000001</c:v>
                </c:pt>
                <c:pt idx="62">
                  <c:v>1474.4665500000001</c:v>
                </c:pt>
                <c:pt idx="63">
                  <c:v>1476.7692400000001</c:v>
                </c:pt>
                <c:pt idx="64">
                  <c:v>1479.0719200000001</c:v>
                </c:pt>
                <c:pt idx="65">
                  <c:v>1481.3746100000001</c:v>
                </c:pt>
                <c:pt idx="66">
                  <c:v>1483.6773000000001</c:v>
                </c:pt>
                <c:pt idx="67">
                  <c:v>1485.9799800000001</c:v>
                </c:pt>
                <c:pt idx="68">
                  <c:v>1488.2826700000001</c:v>
                </c:pt>
                <c:pt idx="69">
                  <c:v>1490.5853500000001</c:v>
                </c:pt>
                <c:pt idx="70">
                  <c:v>1492.88804</c:v>
                </c:pt>
                <c:pt idx="71">
                  <c:v>1495.19073</c:v>
                </c:pt>
                <c:pt idx="72">
                  <c:v>1497.49341</c:v>
                </c:pt>
                <c:pt idx="73">
                  <c:v>1499.7961</c:v>
                </c:pt>
                <c:pt idx="74">
                  <c:v>1502.09879</c:v>
                </c:pt>
                <c:pt idx="75">
                  <c:v>1504.40147</c:v>
                </c:pt>
                <c:pt idx="76">
                  <c:v>1506.70416</c:v>
                </c:pt>
                <c:pt idx="77">
                  <c:v>1509.00684</c:v>
                </c:pt>
                <c:pt idx="78">
                  <c:v>1511.30953</c:v>
                </c:pt>
                <c:pt idx="79">
                  <c:v>1513.61222</c:v>
                </c:pt>
                <c:pt idx="80">
                  <c:v>1515.9149</c:v>
                </c:pt>
                <c:pt idx="81">
                  <c:v>1518.21759</c:v>
                </c:pt>
                <c:pt idx="82">
                  <c:v>1520.52028</c:v>
                </c:pt>
                <c:pt idx="83">
                  <c:v>1522.82296</c:v>
                </c:pt>
                <c:pt idx="84">
                  <c:v>1525.12565</c:v>
                </c:pt>
                <c:pt idx="85">
                  <c:v>1527.42833</c:v>
                </c:pt>
                <c:pt idx="86">
                  <c:v>1529.7310199999999</c:v>
                </c:pt>
                <c:pt idx="87">
                  <c:v>1532.0337099999999</c:v>
                </c:pt>
                <c:pt idx="88">
                  <c:v>1534.3363899999999</c:v>
                </c:pt>
                <c:pt idx="89">
                  <c:v>1536.6390799999999</c:v>
                </c:pt>
                <c:pt idx="90">
                  <c:v>1538.9417699999999</c:v>
                </c:pt>
                <c:pt idx="91">
                  <c:v>1541.2444499999999</c:v>
                </c:pt>
                <c:pt idx="92">
                  <c:v>1543.5471399999999</c:v>
                </c:pt>
                <c:pt idx="93">
                  <c:v>1545.8498300000001</c:v>
                </c:pt>
                <c:pt idx="94">
                  <c:v>1548.1525099999999</c:v>
                </c:pt>
                <c:pt idx="95">
                  <c:v>1550.4552000000001</c:v>
                </c:pt>
              </c:numCache>
            </c:numRef>
          </c:xVal>
          <c:yVal>
            <c:numRef>
              <c:f>'Model B'!$E$2:$E$97</c:f>
              <c:numCache>
                <c:formatCode>0.00E+00</c:formatCode>
                <c:ptCount val="96"/>
                <c:pt idx="0">
                  <c:v>0</c:v>
                </c:pt>
                <c:pt idx="1">
                  <c:v>0.103877</c:v>
                </c:pt>
                <c:pt idx="2">
                  <c:v>0.15868299999999999</c:v>
                </c:pt>
                <c:pt idx="3">
                  <c:v>0.21071000000000001</c:v>
                </c:pt>
                <c:pt idx="4">
                  <c:v>0.26437300000000002</c:v>
                </c:pt>
                <c:pt idx="5">
                  <c:v>0.32158900000000001</c:v>
                </c:pt>
                <c:pt idx="6">
                  <c:v>0.38364799999999999</c:v>
                </c:pt>
                <c:pt idx="7">
                  <c:v>0.45193100000000003</c:v>
                </c:pt>
                <c:pt idx="8">
                  <c:v>0.52711200000000002</c:v>
                </c:pt>
                <c:pt idx="9">
                  <c:v>0.61045899999999997</c:v>
                </c:pt>
                <c:pt idx="10">
                  <c:v>0.70325800000000005</c:v>
                </c:pt>
                <c:pt idx="11">
                  <c:v>0.807141</c:v>
                </c:pt>
                <c:pt idx="12">
                  <c:v>0.92374699999999998</c:v>
                </c:pt>
                <c:pt idx="13">
                  <c:v>1.05447</c:v>
                </c:pt>
                <c:pt idx="14">
                  <c:v>1.20129</c:v>
                </c:pt>
                <c:pt idx="15">
                  <c:v>1.36589</c:v>
                </c:pt>
                <c:pt idx="16">
                  <c:v>1.55047</c:v>
                </c:pt>
                <c:pt idx="17">
                  <c:v>1.7572099999999999</c:v>
                </c:pt>
                <c:pt idx="18">
                  <c:v>1.9885200000000001</c:v>
                </c:pt>
                <c:pt idx="19">
                  <c:v>2.2471399999999999</c:v>
                </c:pt>
                <c:pt idx="20">
                  <c:v>2.5360100000000001</c:v>
                </c:pt>
                <c:pt idx="21">
                  <c:v>2.8582399999999999</c:v>
                </c:pt>
                <c:pt idx="22">
                  <c:v>3.2188300000000001</c:v>
                </c:pt>
                <c:pt idx="23">
                  <c:v>3.62303</c:v>
                </c:pt>
                <c:pt idx="24">
                  <c:v>4.0782800000000003</c:v>
                </c:pt>
                <c:pt idx="25">
                  <c:v>4.5914299999999999</c:v>
                </c:pt>
                <c:pt idx="26">
                  <c:v>5.1627200000000002</c:v>
                </c:pt>
                <c:pt idx="27">
                  <c:v>5.7991700000000002</c:v>
                </c:pt>
                <c:pt idx="28">
                  <c:v>6.5064299999999999</c:v>
                </c:pt>
                <c:pt idx="29">
                  <c:v>7.2895899999999996</c:v>
                </c:pt>
                <c:pt idx="30">
                  <c:v>8.1532400000000003</c:v>
                </c:pt>
                <c:pt idx="31">
                  <c:v>9.1020199999999996</c:v>
                </c:pt>
                <c:pt idx="32">
                  <c:v>10.1333</c:v>
                </c:pt>
                <c:pt idx="33">
                  <c:v>11.2453</c:v>
                </c:pt>
                <c:pt idx="34">
                  <c:v>12.429500000000001</c:v>
                </c:pt>
                <c:pt idx="35">
                  <c:v>13.6729</c:v>
                </c:pt>
                <c:pt idx="36">
                  <c:v>14.9535</c:v>
                </c:pt>
                <c:pt idx="37">
                  <c:v>16.2424</c:v>
                </c:pt>
                <c:pt idx="38">
                  <c:v>17.507100000000001</c:v>
                </c:pt>
                <c:pt idx="39">
                  <c:v>18.706700000000001</c:v>
                </c:pt>
                <c:pt idx="40">
                  <c:v>19.7971</c:v>
                </c:pt>
                <c:pt idx="41">
                  <c:v>20.715800000000002</c:v>
                </c:pt>
                <c:pt idx="42">
                  <c:v>21.375499999999999</c:v>
                </c:pt>
                <c:pt idx="43">
                  <c:v>21.558</c:v>
                </c:pt>
                <c:pt idx="44">
                  <c:v>19.6433</c:v>
                </c:pt>
                <c:pt idx="45">
                  <c:v>22.144100000000002</c:v>
                </c:pt>
                <c:pt idx="46">
                  <c:v>24.4254</c:v>
                </c:pt>
                <c:pt idx="47">
                  <c:v>26.533000000000001</c:v>
                </c:pt>
                <c:pt idx="48">
                  <c:v>28.506399999999999</c:v>
                </c:pt>
                <c:pt idx="49">
                  <c:v>30.2319</c:v>
                </c:pt>
                <c:pt idx="50">
                  <c:v>31.5913</c:v>
                </c:pt>
                <c:pt idx="51">
                  <c:v>32.436700000000002</c:v>
                </c:pt>
                <c:pt idx="52">
                  <c:v>32.626300000000001</c:v>
                </c:pt>
                <c:pt idx="53">
                  <c:v>32.065600000000003</c:v>
                </c:pt>
                <c:pt idx="54">
                  <c:v>30.757000000000001</c:v>
                </c:pt>
                <c:pt idx="55">
                  <c:v>28.838999999999999</c:v>
                </c:pt>
                <c:pt idx="56">
                  <c:v>26.527100000000001</c:v>
                </c:pt>
                <c:pt idx="57">
                  <c:v>24.025400000000001</c:v>
                </c:pt>
                <c:pt idx="58">
                  <c:v>21.5396</c:v>
                </c:pt>
                <c:pt idx="59">
                  <c:v>19.1661</c:v>
                </c:pt>
                <c:pt idx="60">
                  <c:v>16.9833</c:v>
                </c:pt>
                <c:pt idx="61">
                  <c:v>15.021100000000001</c:v>
                </c:pt>
                <c:pt idx="62">
                  <c:v>13.2759</c:v>
                </c:pt>
                <c:pt idx="63">
                  <c:v>11.738899999999999</c:v>
                </c:pt>
                <c:pt idx="64">
                  <c:v>10.391500000000001</c:v>
                </c:pt>
                <c:pt idx="65">
                  <c:v>9.2143200000000007</c:v>
                </c:pt>
                <c:pt idx="66">
                  <c:v>8.1887500000000006</c:v>
                </c:pt>
                <c:pt idx="67">
                  <c:v>7.2956599999999998</c:v>
                </c:pt>
                <c:pt idx="68">
                  <c:v>6.5188600000000001</c:v>
                </c:pt>
                <c:pt idx="69">
                  <c:v>5.8445299999999998</c:v>
                </c:pt>
                <c:pt idx="70">
                  <c:v>5.2581800000000003</c:v>
                </c:pt>
                <c:pt idx="71">
                  <c:v>4.7519</c:v>
                </c:pt>
                <c:pt idx="72">
                  <c:v>4.3156400000000001</c:v>
                </c:pt>
                <c:pt idx="73">
                  <c:v>3.9358</c:v>
                </c:pt>
                <c:pt idx="74">
                  <c:v>3.5961500000000002</c:v>
                </c:pt>
                <c:pt idx="75">
                  <c:v>3.2971200000000001</c:v>
                </c:pt>
                <c:pt idx="76">
                  <c:v>3.0380799999999999</c:v>
                </c:pt>
                <c:pt idx="77">
                  <c:v>2.8152699999999999</c:v>
                </c:pt>
                <c:pt idx="78">
                  <c:v>2.6161799999999999</c:v>
                </c:pt>
                <c:pt idx="79">
                  <c:v>2.44259</c:v>
                </c:pt>
                <c:pt idx="80">
                  <c:v>2.2801</c:v>
                </c:pt>
                <c:pt idx="81">
                  <c:v>2.1064799999999999</c:v>
                </c:pt>
                <c:pt idx="82">
                  <c:v>1.9282999999999999</c:v>
                </c:pt>
                <c:pt idx="83">
                  <c:v>1.76003</c:v>
                </c:pt>
                <c:pt idx="84">
                  <c:v>1.6069100000000001</c:v>
                </c:pt>
                <c:pt idx="85">
                  <c:v>1.4705699999999999</c:v>
                </c:pt>
                <c:pt idx="86">
                  <c:v>1.34829</c:v>
                </c:pt>
                <c:pt idx="87">
                  <c:v>1.24295</c:v>
                </c:pt>
                <c:pt idx="88">
                  <c:v>1.1495500000000001</c:v>
                </c:pt>
                <c:pt idx="89">
                  <c:v>1.06206</c:v>
                </c:pt>
                <c:pt idx="90">
                  <c:v>0.98752600000000001</c:v>
                </c:pt>
                <c:pt idx="91">
                  <c:v>0.91978599999999999</c:v>
                </c:pt>
                <c:pt idx="92">
                  <c:v>0.85860700000000001</c:v>
                </c:pt>
                <c:pt idx="93">
                  <c:v>0.80288899999999996</c:v>
                </c:pt>
                <c:pt idx="94">
                  <c:v>0.75249500000000002</c:v>
                </c:pt>
                <c:pt idx="95">
                  <c:v>0.70532099999999998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E5-43DD-BE6A-98941CDC21C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'Model B'!$A$2:$A$97</c:f>
              <c:numCache>
                <c:formatCode>General</c:formatCode>
                <c:ptCount val="96"/>
                <c:pt idx="0">
                  <c:v>1331.7</c:v>
                </c:pt>
                <c:pt idx="1">
                  <c:v>1334.00269</c:v>
                </c:pt>
                <c:pt idx="2">
                  <c:v>1336.30537</c:v>
                </c:pt>
                <c:pt idx="3">
                  <c:v>1338.60806</c:v>
                </c:pt>
                <c:pt idx="4">
                  <c:v>1340.91075</c:v>
                </c:pt>
                <c:pt idx="5">
                  <c:v>1343.21343</c:v>
                </c:pt>
                <c:pt idx="6">
                  <c:v>1345.51612</c:v>
                </c:pt>
                <c:pt idx="7">
                  <c:v>1347.8188</c:v>
                </c:pt>
                <c:pt idx="8">
                  <c:v>1350.12149</c:v>
                </c:pt>
                <c:pt idx="9">
                  <c:v>1352.42418</c:v>
                </c:pt>
                <c:pt idx="10">
                  <c:v>1354.72686</c:v>
                </c:pt>
                <c:pt idx="11">
                  <c:v>1357.02955</c:v>
                </c:pt>
                <c:pt idx="12">
                  <c:v>1359.33224</c:v>
                </c:pt>
                <c:pt idx="13">
                  <c:v>1361.63492</c:v>
                </c:pt>
                <c:pt idx="14">
                  <c:v>1363.9376099999999</c:v>
                </c:pt>
                <c:pt idx="15">
                  <c:v>1366.24029</c:v>
                </c:pt>
                <c:pt idx="16">
                  <c:v>1368.5429799999999</c:v>
                </c:pt>
                <c:pt idx="17">
                  <c:v>1370.8456699999999</c:v>
                </c:pt>
                <c:pt idx="18">
                  <c:v>1373.1483499999999</c:v>
                </c:pt>
                <c:pt idx="19">
                  <c:v>1375.4510399999999</c:v>
                </c:pt>
                <c:pt idx="20">
                  <c:v>1377.7537299999999</c:v>
                </c:pt>
                <c:pt idx="21">
                  <c:v>1380.0564099999999</c:v>
                </c:pt>
                <c:pt idx="22">
                  <c:v>1382.3590999999999</c:v>
                </c:pt>
                <c:pt idx="23">
                  <c:v>1384.6617799999999</c:v>
                </c:pt>
                <c:pt idx="24">
                  <c:v>1386.9644699999999</c:v>
                </c:pt>
                <c:pt idx="25">
                  <c:v>1389.2671600000001</c:v>
                </c:pt>
                <c:pt idx="26">
                  <c:v>1391.5698400000001</c:v>
                </c:pt>
                <c:pt idx="27">
                  <c:v>1393.8725300000001</c:v>
                </c:pt>
                <c:pt idx="28">
                  <c:v>1396.1752200000001</c:v>
                </c:pt>
                <c:pt idx="29">
                  <c:v>1398.4779000000001</c:v>
                </c:pt>
                <c:pt idx="30">
                  <c:v>1400.7805900000001</c:v>
                </c:pt>
                <c:pt idx="31">
                  <c:v>1403.0832800000001</c:v>
                </c:pt>
                <c:pt idx="32">
                  <c:v>1405.3859600000001</c:v>
                </c:pt>
                <c:pt idx="33">
                  <c:v>1407.6886500000001</c:v>
                </c:pt>
                <c:pt idx="34">
                  <c:v>1409.9913300000001</c:v>
                </c:pt>
                <c:pt idx="35">
                  <c:v>1412.29402</c:v>
                </c:pt>
                <c:pt idx="36">
                  <c:v>1414.59671</c:v>
                </c:pt>
                <c:pt idx="37">
                  <c:v>1416.89939</c:v>
                </c:pt>
                <c:pt idx="38">
                  <c:v>1419.20208</c:v>
                </c:pt>
                <c:pt idx="39">
                  <c:v>1421.50477</c:v>
                </c:pt>
                <c:pt idx="40">
                  <c:v>1423.80745</c:v>
                </c:pt>
                <c:pt idx="41">
                  <c:v>1426.11014</c:v>
                </c:pt>
                <c:pt idx="42">
                  <c:v>1428.41282</c:v>
                </c:pt>
                <c:pt idx="43">
                  <c:v>1430.71551</c:v>
                </c:pt>
                <c:pt idx="44">
                  <c:v>1433.0182</c:v>
                </c:pt>
                <c:pt idx="45">
                  <c:v>1435.32088</c:v>
                </c:pt>
                <c:pt idx="46">
                  <c:v>1437.62357</c:v>
                </c:pt>
                <c:pt idx="47">
                  <c:v>1439.92626</c:v>
                </c:pt>
                <c:pt idx="48">
                  <c:v>1442.22894</c:v>
                </c:pt>
                <c:pt idx="49">
                  <c:v>1444.53163</c:v>
                </c:pt>
                <c:pt idx="50">
                  <c:v>1446.83431</c:v>
                </c:pt>
                <c:pt idx="51">
                  <c:v>1449.1369999999999</c:v>
                </c:pt>
                <c:pt idx="52">
                  <c:v>1451.4396899999999</c:v>
                </c:pt>
                <c:pt idx="53">
                  <c:v>1453.7423699999999</c:v>
                </c:pt>
                <c:pt idx="54">
                  <c:v>1456.0450599999999</c:v>
                </c:pt>
                <c:pt idx="55">
                  <c:v>1458.3477499999999</c:v>
                </c:pt>
                <c:pt idx="56">
                  <c:v>1460.6504299999999</c:v>
                </c:pt>
                <c:pt idx="57">
                  <c:v>1462.9531199999999</c:v>
                </c:pt>
                <c:pt idx="58">
                  <c:v>1465.2558100000001</c:v>
                </c:pt>
                <c:pt idx="59">
                  <c:v>1467.5584899999999</c:v>
                </c:pt>
                <c:pt idx="60">
                  <c:v>1469.8611800000001</c:v>
                </c:pt>
                <c:pt idx="61">
                  <c:v>1472.1638600000001</c:v>
                </c:pt>
                <c:pt idx="62">
                  <c:v>1474.4665500000001</c:v>
                </c:pt>
                <c:pt idx="63">
                  <c:v>1476.7692400000001</c:v>
                </c:pt>
                <c:pt idx="64">
                  <c:v>1479.0719200000001</c:v>
                </c:pt>
                <c:pt idx="65">
                  <c:v>1481.3746100000001</c:v>
                </c:pt>
                <c:pt idx="66">
                  <c:v>1483.6773000000001</c:v>
                </c:pt>
                <c:pt idx="67">
                  <c:v>1485.9799800000001</c:v>
                </c:pt>
                <c:pt idx="68">
                  <c:v>1488.2826700000001</c:v>
                </c:pt>
                <c:pt idx="69">
                  <c:v>1490.5853500000001</c:v>
                </c:pt>
                <c:pt idx="70">
                  <c:v>1492.88804</c:v>
                </c:pt>
                <c:pt idx="71">
                  <c:v>1495.19073</c:v>
                </c:pt>
                <c:pt idx="72">
                  <c:v>1497.49341</c:v>
                </c:pt>
                <c:pt idx="73">
                  <c:v>1499.7961</c:v>
                </c:pt>
                <c:pt idx="74">
                  <c:v>1502.09879</c:v>
                </c:pt>
                <c:pt idx="75">
                  <c:v>1504.40147</c:v>
                </c:pt>
                <c:pt idx="76">
                  <c:v>1506.70416</c:v>
                </c:pt>
                <c:pt idx="77">
                  <c:v>1509.00684</c:v>
                </c:pt>
                <c:pt idx="78">
                  <c:v>1511.30953</c:v>
                </c:pt>
                <c:pt idx="79">
                  <c:v>1513.61222</c:v>
                </c:pt>
                <c:pt idx="80">
                  <c:v>1515.9149</c:v>
                </c:pt>
                <c:pt idx="81">
                  <c:v>1518.21759</c:v>
                </c:pt>
                <c:pt idx="82">
                  <c:v>1520.52028</c:v>
                </c:pt>
                <c:pt idx="83">
                  <c:v>1522.82296</c:v>
                </c:pt>
                <c:pt idx="84">
                  <c:v>1525.12565</c:v>
                </c:pt>
                <c:pt idx="85">
                  <c:v>1527.42833</c:v>
                </c:pt>
                <c:pt idx="86">
                  <c:v>1529.7310199999999</c:v>
                </c:pt>
                <c:pt idx="87">
                  <c:v>1532.0337099999999</c:v>
                </c:pt>
                <c:pt idx="88">
                  <c:v>1534.3363899999999</c:v>
                </c:pt>
                <c:pt idx="89">
                  <c:v>1536.6390799999999</c:v>
                </c:pt>
                <c:pt idx="90">
                  <c:v>1538.9417699999999</c:v>
                </c:pt>
                <c:pt idx="91">
                  <c:v>1541.2444499999999</c:v>
                </c:pt>
                <c:pt idx="92">
                  <c:v>1543.5471399999999</c:v>
                </c:pt>
                <c:pt idx="93">
                  <c:v>1545.8498300000001</c:v>
                </c:pt>
                <c:pt idx="94">
                  <c:v>1548.1525099999999</c:v>
                </c:pt>
                <c:pt idx="95">
                  <c:v>1550.4552000000001</c:v>
                </c:pt>
              </c:numCache>
            </c:numRef>
          </c:xVal>
          <c:yVal>
            <c:numRef>
              <c:f>'Model B'!$O$2:$O$97</c:f>
              <c:numCache>
                <c:formatCode>0.00E+00</c:formatCode>
                <c:ptCount val="96"/>
                <c:pt idx="0">
                  <c:v>0</c:v>
                </c:pt>
                <c:pt idx="1">
                  <c:v>9.0099999999999902E-4</c:v>
                </c:pt>
                <c:pt idx="2">
                  <c:v>4.9789999999999834E-3</c:v>
                </c:pt>
                <c:pt idx="3">
                  <c:v>1.0121000000000019E-2</c:v>
                </c:pt>
                <c:pt idx="4">
                  <c:v>1.6711000000000031E-2</c:v>
                </c:pt>
                <c:pt idx="5">
                  <c:v>2.4741000000000013E-2</c:v>
                </c:pt>
                <c:pt idx="6">
                  <c:v>3.4409999999999996E-2</c:v>
                </c:pt>
                <c:pt idx="7">
                  <c:v>4.5663000000000009E-2</c:v>
                </c:pt>
                <c:pt idx="8">
                  <c:v>5.9275000000000022E-2</c:v>
                </c:pt>
                <c:pt idx="9">
                  <c:v>7.5331999999999955E-2</c:v>
                </c:pt>
                <c:pt idx="10">
                  <c:v>9.4182000000000099E-2</c:v>
                </c:pt>
                <c:pt idx="11">
                  <c:v>0.11618499999999998</c:v>
                </c:pt>
                <c:pt idx="12">
                  <c:v>0.14178499999999994</c:v>
                </c:pt>
                <c:pt idx="13">
                  <c:v>0.17153300000000005</c:v>
                </c:pt>
                <c:pt idx="14">
                  <c:v>0.20606999999999998</c:v>
                </c:pt>
                <c:pt idx="15">
                  <c:v>0.24622999999999995</c:v>
                </c:pt>
                <c:pt idx="16">
                  <c:v>0.29288000000000003</c:v>
                </c:pt>
                <c:pt idx="17">
                  <c:v>0.34701000000000004</c:v>
                </c:pt>
                <c:pt idx="18">
                  <c:v>0.40975000000000006</c:v>
                </c:pt>
                <c:pt idx="19">
                  <c:v>0.48225999999999991</c:v>
                </c:pt>
                <c:pt idx="20">
                  <c:v>0.56589</c:v>
                </c:pt>
                <c:pt idx="21">
                  <c:v>0.66200999999999999</c:v>
                </c:pt>
                <c:pt idx="22">
                  <c:v>0.77200999999999986</c:v>
                </c:pt>
                <c:pt idx="23">
                  <c:v>0.8975200000000001</c:v>
                </c:pt>
                <c:pt idx="24">
                  <c:v>1.0399600000000002</c:v>
                </c:pt>
                <c:pt idx="25">
                  <c:v>1.2000299999999999</c:v>
                </c:pt>
                <c:pt idx="26">
                  <c:v>1.3810200000000004</c:v>
                </c:pt>
                <c:pt idx="27">
                  <c:v>1.5847600000000002</c:v>
                </c:pt>
                <c:pt idx="28">
                  <c:v>1.8138499999999995</c:v>
                </c:pt>
                <c:pt idx="29">
                  <c:v>2.0706399999999991</c:v>
                </c:pt>
                <c:pt idx="30">
                  <c:v>2.35764</c:v>
                </c:pt>
                <c:pt idx="31">
                  <c:v>2.6769799999999995</c:v>
                </c:pt>
                <c:pt idx="32">
                  <c:v>3.0286900000000001</c:v>
                </c:pt>
                <c:pt idx="33">
                  <c:v>3.4127200000000002</c:v>
                </c:pt>
                <c:pt idx="34">
                  <c:v>3.8277900000000002</c:v>
                </c:pt>
                <c:pt idx="35">
                  <c:v>4.2702799999999996</c:v>
                </c:pt>
                <c:pt idx="36">
                  <c:v>4.7334999999999994</c:v>
                </c:pt>
                <c:pt idx="37">
                  <c:v>5.2103000000000002</c:v>
                </c:pt>
                <c:pt idx="38">
                  <c:v>5.6941000000000006</c:v>
                </c:pt>
                <c:pt idx="39">
                  <c:v>6.1685000000000016</c:v>
                </c:pt>
                <c:pt idx="40">
                  <c:v>6.6236999999999995</c:v>
                </c:pt>
                <c:pt idx="41">
                  <c:v>7.0397000000000016</c:v>
                </c:pt>
                <c:pt idx="42">
                  <c:v>7.4076999999999984</c:v>
                </c:pt>
                <c:pt idx="43">
                  <c:v>7.6862999999999992</c:v>
                </c:pt>
                <c:pt idx="44">
                  <c:v>10.66452</c:v>
                </c:pt>
                <c:pt idx="45">
                  <c:v>13.988420000000001</c:v>
                </c:pt>
                <c:pt idx="46">
                  <c:v>16.328060000000001</c:v>
                </c:pt>
                <c:pt idx="47">
                  <c:v>18.378190000000004</c:v>
                </c:pt>
                <c:pt idx="48">
                  <c:v>20.3185</c:v>
                </c:pt>
                <c:pt idx="49">
                  <c:v>22.095399999999998</c:v>
                </c:pt>
                <c:pt idx="50">
                  <c:v>23.618980000000001</c:v>
                </c:pt>
                <c:pt idx="51">
                  <c:v>24.752550000000003</c:v>
                </c:pt>
                <c:pt idx="52">
                  <c:v>25.34807</c:v>
                </c:pt>
                <c:pt idx="53">
                  <c:v>25.290900000000004</c:v>
                </c:pt>
                <c:pt idx="54">
                  <c:v>24.547020000000003</c:v>
                </c:pt>
                <c:pt idx="55">
                  <c:v>23.2151</c:v>
                </c:pt>
                <c:pt idx="56">
                  <c:v>21.462430000000001</c:v>
                </c:pt>
                <c:pt idx="57">
                  <c:v>19.475740000000002</c:v>
                </c:pt>
                <c:pt idx="58">
                  <c:v>17.449939999999998</c:v>
                </c:pt>
                <c:pt idx="59">
                  <c:v>15.477959999999999</c:v>
                </c:pt>
                <c:pt idx="60">
                  <c:v>13.64537</c:v>
                </c:pt>
                <c:pt idx="61">
                  <c:v>11.989550000000001</c:v>
                </c:pt>
                <c:pt idx="62">
                  <c:v>10.51946</c:v>
                </c:pt>
                <c:pt idx="63">
                  <c:v>9.2297899999999995</c:v>
                </c:pt>
                <c:pt idx="64">
                  <c:v>8.1059100000000015</c:v>
                </c:pt>
                <c:pt idx="65">
                  <c:v>7.1325400000000005</c:v>
                </c:pt>
                <c:pt idx="66">
                  <c:v>6.294690000000001</c:v>
                </c:pt>
                <c:pt idx="67">
                  <c:v>5.5736699999999999</c:v>
                </c:pt>
                <c:pt idx="68">
                  <c:v>4.9548000000000005</c:v>
                </c:pt>
                <c:pt idx="69">
                  <c:v>4.4239999999999995</c:v>
                </c:pt>
                <c:pt idx="70">
                  <c:v>3.9638500000000003</c:v>
                </c:pt>
                <c:pt idx="71">
                  <c:v>3.5620400000000001</c:v>
                </c:pt>
                <c:pt idx="72">
                  <c:v>3.2211600000000002</c:v>
                </c:pt>
                <c:pt idx="73">
                  <c:v>2.9293399999999998</c:v>
                </c:pt>
                <c:pt idx="74">
                  <c:v>2.6698790000000003</c:v>
                </c:pt>
                <c:pt idx="75">
                  <c:v>2.439171</c:v>
                </c:pt>
                <c:pt idx="76">
                  <c:v>2.2336239999999998</c:v>
                </c:pt>
                <c:pt idx="77">
                  <c:v>2.0507070000000001</c:v>
                </c:pt>
                <c:pt idx="78">
                  <c:v>1.8761030000000001</c:v>
                </c:pt>
                <c:pt idx="79">
                  <c:v>1.7167509999999999</c:v>
                </c:pt>
                <c:pt idx="80">
                  <c:v>1.574365</c:v>
                </c:pt>
                <c:pt idx="81">
                  <c:v>1.4453130000000001</c:v>
                </c:pt>
                <c:pt idx="82">
                  <c:v>1.3343430000000001</c:v>
                </c:pt>
                <c:pt idx="83">
                  <c:v>1.234961</c:v>
                </c:pt>
                <c:pt idx="84">
                  <c:v>1.143756</c:v>
                </c:pt>
                <c:pt idx="85">
                  <c:v>1.0593469999999998</c:v>
                </c:pt>
                <c:pt idx="86">
                  <c:v>0.978931</c:v>
                </c:pt>
                <c:pt idx="87">
                  <c:v>0.90882799999999997</c:v>
                </c:pt>
                <c:pt idx="88">
                  <c:v>0.84504600000000007</c:v>
                </c:pt>
                <c:pt idx="89">
                  <c:v>0.78263100000000008</c:v>
                </c:pt>
                <c:pt idx="90">
                  <c:v>0.73068599999999995</c:v>
                </c:pt>
                <c:pt idx="91">
                  <c:v>0.68307899999999999</c:v>
                </c:pt>
                <c:pt idx="92">
                  <c:v>0.63971200000000006</c:v>
                </c:pt>
                <c:pt idx="93">
                  <c:v>0.60020499999999999</c:v>
                </c:pt>
                <c:pt idx="94">
                  <c:v>0.564635</c:v>
                </c:pt>
                <c:pt idx="95">
                  <c:v>0.53128699999999995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E5-43DD-BE6A-98941CDC2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5611007"/>
        <c:axId val="1085613919"/>
      </c:scatterChart>
      <c:valAx>
        <c:axId val="1085611007"/>
        <c:scaling>
          <c:orientation val="minMax"/>
          <c:max val="1500"/>
          <c:min val="1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600" b="0" i="0" baseline="0">
                    <a:effectLst/>
                    <a:latin typeface="Symbol" panose="05050102010706020507" pitchFamily="18" charset="2"/>
                  </a:rPr>
                  <a:t>pS</a:t>
                </a:r>
                <a:r>
                  <a:rPr lang="en-US" altLang="ja-JP" sz="1600" b="0" i="0" baseline="0">
                    <a:effectLst/>
                  </a:rPr>
                  <a:t> inv. mass [MeV/c</a:t>
                </a:r>
                <a:r>
                  <a:rPr lang="en-US" altLang="ja-JP" sz="1600" b="0" i="0" baseline="30000">
                    <a:effectLst/>
                  </a:rPr>
                  <a:t>2</a:t>
                </a:r>
                <a:r>
                  <a:rPr lang="en-US" altLang="ja-JP" sz="1600" b="0" i="0" baseline="0">
                    <a:effectLst/>
                  </a:rPr>
                  <a:t>]</a:t>
                </a:r>
                <a:endParaRPr lang="ja-JP" altLang="ja-JP" sz="9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13919"/>
        <c:crosses val="autoZero"/>
        <c:crossBetween val="midCat"/>
      </c:valAx>
      <c:valAx>
        <c:axId val="108561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600" b="0" i="0" baseline="0">
                    <a:effectLst/>
                  </a:rPr>
                  <a:t>d</a:t>
                </a:r>
                <a:r>
                  <a:rPr lang="en-US" altLang="ja-JP" sz="1600" b="0" i="0" baseline="30000">
                    <a:effectLst/>
                  </a:rPr>
                  <a:t>2</a:t>
                </a:r>
                <a:r>
                  <a:rPr lang="en-US" altLang="ja-JP" sz="1600" b="0" i="0" baseline="0">
                    <a:effectLst/>
                  </a:rPr>
                  <a:t>s/dMdW [mb/sr MeV]</a:t>
                </a:r>
                <a:endParaRPr lang="ja-JP" altLang="ja-JP" sz="16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85611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534459</xdr:colOff>
      <xdr:row>80</xdr:row>
      <xdr:rowOff>157692</xdr:rowOff>
    </xdr:from>
    <xdr:to>
      <xdr:col>12</xdr:col>
      <xdr:colOff>513292</xdr:colOff>
      <xdr:row>92</xdr:row>
      <xdr:rowOff>106892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624417</xdr:colOff>
      <xdr:row>91</xdr:row>
      <xdr:rowOff>42333</xdr:rowOff>
    </xdr:from>
    <xdr:to>
      <xdr:col>13</xdr:col>
      <xdr:colOff>603250</xdr:colOff>
      <xdr:row>102</xdr:row>
      <xdr:rowOff>224367</xdr:rowOff>
    </xdr:to>
    <xdr:graphicFrame macro="">
      <xdr:nvGraphicFramePr>
        <xdr:cNvPr id="2" name="グラフ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131233</xdr:colOff>
      <xdr:row>90</xdr:row>
      <xdr:rowOff>226484</xdr:rowOff>
    </xdr:from>
    <xdr:to>
      <xdr:col>22</xdr:col>
      <xdr:colOff>110067</xdr:colOff>
      <xdr:row>102</xdr:row>
      <xdr:rowOff>175684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7"/>
  <sheetViews>
    <sheetView topLeftCell="A67" zoomScale="60" zoomScaleNormal="60" workbookViewId="0">
      <selection activeCell="J104" sqref="J104"/>
    </sheetView>
  </sheetViews>
  <sheetFormatPr defaultRowHeight="18.75" x14ac:dyDescent="0.4"/>
  <sheetData>
    <row r="1" spans="1:14" ht="37.5" x14ac:dyDescent="0.4">
      <c r="A1" t="s">
        <v>0</v>
      </c>
      <c r="D1" t="s">
        <v>1</v>
      </c>
      <c r="G1" t="s">
        <v>2</v>
      </c>
      <c r="K1" s="2" t="s">
        <v>3</v>
      </c>
      <c r="L1" t="s">
        <v>4</v>
      </c>
      <c r="M1" t="s">
        <v>5</v>
      </c>
    </row>
    <row r="2" spans="1:14" x14ac:dyDescent="0.4">
      <c r="A2">
        <v>1331.7</v>
      </c>
      <c r="B2" s="1">
        <v>0</v>
      </c>
      <c r="D2">
        <v>1331.7</v>
      </c>
      <c r="E2" s="1">
        <v>0</v>
      </c>
      <c r="G2">
        <v>1331.7</v>
      </c>
      <c r="H2" s="1">
        <v>0</v>
      </c>
      <c r="J2">
        <f>G2</f>
        <v>1331.7</v>
      </c>
      <c r="K2">
        <f>(B2+E2)/2</f>
        <v>0</v>
      </c>
      <c r="L2" s="1">
        <f>H2</f>
        <v>0</v>
      </c>
      <c r="M2" s="1">
        <f>K2-L2</f>
        <v>0</v>
      </c>
      <c r="N2" s="3" t="e">
        <f>M2/L2</f>
        <v>#DIV/0!</v>
      </c>
    </row>
    <row r="3" spans="1:14" x14ac:dyDescent="0.4">
      <c r="A3">
        <v>1334.00269</v>
      </c>
      <c r="B3" s="1">
        <v>0.28383999999999998</v>
      </c>
      <c r="D3">
        <v>1334.00269</v>
      </c>
      <c r="E3" s="1">
        <v>0.31204500000000002</v>
      </c>
      <c r="G3">
        <v>1334.00269</v>
      </c>
      <c r="H3" s="1">
        <v>0.295711</v>
      </c>
      <c r="J3">
        <f t="shared" ref="J3:J66" si="0">G3</f>
        <v>1334.00269</v>
      </c>
      <c r="K3">
        <f t="shared" ref="K3:K66" si="1">(B3+E3)/2</f>
        <v>0.2979425</v>
      </c>
      <c r="L3" s="1">
        <f t="shared" ref="L3:L66" si="2">H3</f>
        <v>0.295711</v>
      </c>
      <c r="M3" s="1">
        <f t="shared" ref="M3:M66" si="3">K3-L3</f>
        <v>2.2314999999999974E-3</v>
      </c>
      <c r="N3" s="3">
        <f t="shared" ref="N3:N66" si="4">M3/L3</f>
        <v>7.5462191125795029E-3</v>
      </c>
    </row>
    <row r="4" spans="1:14" x14ac:dyDescent="0.4">
      <c r="A4">
        <v>1336.30537</v>
      </c>
      <c r="B4" s="1">
        <v>0.42690299999999998</v>
      </c>
      <c r="D4">
        <v>1336.30537</v>
      </c>
      <c r="E4" s="1">
        <v>0.48026000000000002</v>
      </c>
      <c r="G4">
        <v>1336.30537</v>
      </c>
      <c r="H4" s="1">
        <v>0.45012400000000002</v>
      </c>
      <c r="J4">
        <f t="shared" si="0"/>
        <v>1336.30537</v>
      </c>
      <c r="K4">
        <f t="shared" si="1"/>
        <v>0.45358149999999997</v>
      </c>
      <c r="L4" s="1">
        <f t="shared" si="2"/>
        <v>0.45012400000000002</v>
      </c>
      <c r="M4" s="1">
        <f t="shared" si="3"/>
        <v>3.4574999999999467E-3</v>
      </c>
      <c r="N4" s="3">
        <f t="shared" si="4"/>
        <v>7.6812167313894536E-3</v>
      </c>
    </row>
    <row r="5" spans="1:14" x14ac:dyDescent="0.4">
      <c r="A5">
        <v>1338.60806</v>
      </c>
      <c r="B5" s="1">
        <v>0.56011999999999995</v>
      </c>
      <c r="D5">
        <v>1338.60806</v>
      </c>
      <c r="E5" s="1">
        <v>0.64185999999999999</v>
      </c>
      <c r="G5">
        <v>1338.60806</v>
      </c>
      <c r="H5" s="1">
        <v>0.59635400000000005</v>
      </c>
      <c r="J5">
        <f t="shared" si="0"/>
        <v>1338.60806</v>
      </c>
      <c r="K5">
        <f t="shared" si="1"/>
        <v>0.60098999999999991</v>
      </c>
      <c r="L5" s="1">
        <f t="shared" si="2"/>
        <v>0.59635400000000005</v>
      </c>
      <c r="M5" s="1">
        <f t="shared" si="3"/>
        <v>4.6359999999998625E-3</v>
      </c>
      <c r="N5" s="3">
        <f t="shared" si="4"/>
        <v>7.7739061027508188E-3</v>
      </c>
    </row>
    <row r="6" spans="1:14" x14ac:dyDescent="0.4">
      <c r="A6">
        <v>1340.91075</v>
      </c>
      <c r="B6" s="1">
        <v>0.69455699999999998</v>
      </c>
      <c r="D6">
        <v>1340.91075</v>
      </c>
      <c r="E6" s="1">
        <v>0.809091</v>
      </c>
      <c r="G6">
        <v>1340.91075</v>
      </c>
      <c r="H6" s="1">
        <v>0.746</v>
      </c>
      <c r="J6">
        <f t="shared" si="0"/>
        <v>1340.91075</v>
      </c>
      <c r="K6">
        <f t="shared" si="1"/>
        <v>0.75182400000000005</v>
      </c>
      <c r="L6" s="1">
        <f t="shared" si="2"/>
        <v>0.746</v>
      </c>
      <c r="M6" s="1">
        <f t="shared" si="3"/>
        <v>5.8240000000000514E-3</v>
      </c>
      <c r="N6" s="3">
        <f t="shared" si="4"/>
        <v>7.8069705093834468E-3</v>
      </c>
    </row>
    <row r="7" spans="1:14" x14ac:dyDescent="0.4">
      <c r="A7">
        <v>1343.21343</v>
      </c>
      <c r="B7" s="1">
        <v>0.83436200000000005</v>
      </c>
      <c r="D7">
        <v>1343.21343</v>
      </c>
      <c r="E7" s="1">
        <v>0.98692999999999997</v>
      </c>
      <c r="G7">
        <v>1343.21343</v>
      </c>
      <c r="H7" s="1">
        <v>0.903582</v>
      </c>
      <c r="J7">
        <f t="shared" si="0"/>
        <v>1343.21343</v>
      </c>
      <c r="K7">
        <f t="shared" si="1"/>
        <v>0.91064600000000007</v>
      </c>
      <c r="L7" s="1">
        <f t="shared" si="2"/>
        <v>0.903582</v>
      </c>
      <c r="M7" s="1">
        <f t="shared" si="3"/>
        <v>7.0640000000000702E-3</v>
      </c>
      <c r="N7" s="3">
        <f t="shared" si="4"/>
        <v>7.8177741477807993E-3</v>
      </c>
    </row>
    <row r="8" spans="1:14" x14ac:dyDescent="0.4">
      <c r="A8">
        <v>1345.51612</v>
      </c>
      <c r="B8" s="1">
        <v>0.98160000000000003</v>
      </c>
      <c r="D8">
        <v>1345.51612</v>
      </c>
      <c r="E8" s="1">
        <v>1.17828</v>
      </c>
      <c r="G8">
        <v>1345.51612</v>
      </c>
      <c r="H8" s="1">
        <v>1.07155</v>
      </c>
      <c r="J8">
        <f t="shared" si="0"/>
        <v>1345.51612</v>
      </c>
      <c r="K8">
        <f t="shared" si="1"/>
        <v>1.0799400000000001</v>
      </c>
      <c r="L8" s="1">
        <f t="shared" si="2"/>
        <v>1.07155</v>
      </c>
      <c r="M8" s="1">
        <f t="shared" si="3"/>
        <v>8.3900000000001196E-3</v>
      </c>
      <c r="N8" s="3">
        <f t="shared" si="4"/>
        <v>7.8297792916803884E-3</v>
      </c>
    </row>
    <row r="9" spans="1:14" x14ac:dyDescent="0.4">
      <c r="A9">
        <v>1347.8188</v>
      </c>
      <c r="B9" s="1">
        <v>1.13764</v>
      </c>
      <c r="D9">
        <v>1347.8188</v>
      </c>
      <c r="E9" s="1">
        <v>1.38517</v>
      </c>
      <c r="G9">
        <v>1347.8188</v>
      </c>
      <c r="H9" s="1">
        <v>1.2515799999999999</v>
      </c>
      <c r="J9">
        <f t="shared" si="0"/>
        <v>1347.8188</v>
      </c>
      <c r="K9">
        <f t="shared" si="1"/>
        <v>1.2614049999999999</v>
      </c>
      <c r="L9" s="1">
        <f t="shared" si="2"/>
        <v>1.2515799999999999</v>
      </c>
      <c r="M9" s="1">
        <f t="shared" si="3"/>
        <v>9.8249999999999726E-3</v>
      </c>
      <c r="N9" s="3">
        <f t="shared" si="4"/>
        <v>7.8500775020374034E-3</v>
      </c>
    </row>
    <row r="10" spans="1:14" x14ac:dyDescent="0.4">
      <c r="A10">
        <v>1350.12149</v>
      </c>
      <c r="B10" s="1">
        <v>1.30267</v>
      </c>
      <c r="D10">
        <v>1350.12149</v>
      </c>
      <c r="E10" s="1">
        <v>1.6085</v>
      </c>
      <c r="G10">
        <v>1350.12149</v>
      </c>
      <c r="H10" s="1">
        <v>1.4442200000000001</v>
      </c>
      <c r="J10">
        <f t="shared" si="0"/>
        <v>1350.12149</v>
      </c>
      <c r="K10">
        <f t="shared" si="1"/>
        <v>1.4555850000000001</v>
      </c>
      <c r="L10" s="1">
        <f t="shared" si="2"/>
        <v>1.4442200000000001</v>
      </c>
      <c r="M10" s="1">
        <f t="shared" si="3"/>
        <v>1.1365000000000069E-2</v>
      </c>
      <c r="N10" s="3">
        <f t="shared" si="4"/>
        <v>7.8692996911828312E-3</v>
      </c>
    </row>
    <row r="11" spans="1:14" x14ac:dyDescent="0.4">
      <c r="A11">
        <v>1352.42418</v>
      </c>
      <c r="B11" s="1">
        <v>1.4774700000000001</v>
      </c>
      <c r="D11">
        <v>1352.42418</v>
      </c>
      <c r="E11" s="1">
        <v>1.8497699999999999</v>
      </c>
      <c r="G11">
        <v>1352.42418</v>
      </c>
      <c r="H11" s="1">
        <v>1.65056</v>
      </c>
      <c r="J11">
        <f t="shared" si="0"/>
        <v>1352.42418</v>
      </c>
      <c r="K11">
        <f t="shared" si="1"/>
        <v>1.6636199999999999</v>
      </c>
      <c r="L11" s="1">
        <f t="shared" si="2"/>
        <v>1.65056</v>
      </c>
      <c r="M11" s="1">
        <f t="shared" si="3"/>
        <v>1.305999999999985E-2</v>
      </c>
      <c r="N11" s="3">
        <f t="shared" si="4"/>
        <v>7.9124660721208856E-3</v>
      </c>
    </row>
    <row r="12" spans="1:14" x14ac:dyDescent="0.4">
      <c r="A12">
        <v>1354.72686</v>
      </c>
      <c r="B12" s="1">
        <v>1.66246</v>
      </c>
      <c r="D12">
        <v>1354.72686</v>
      </c>
      <c r="E12" s="1">
        <v>2.1100699999999999</v>
      </c>
      <c r="G12">
        <v>1354.72686</v>
      </c>
      <c r="H12" s="1">
        <v>1.87134</v>
      </c>
      <c r="J12">
        <f t="shared" si="0"/>
        <v>1354.72686</v>
      </c>
      <c r="K12">
        <f t="shared" si="1"/>
        <v>1.8862649999999999</v>
      </c>
      <c r="L12" s="1">
        <f t="shared" si="2"/>
        <v>1.87134</v>
      </c>
      <c r="M12" s="1">
        <f t="shared" si="3"/>
        <v>1.4924999999999855E-2</v>
      </c>
      <c r="N12" s="3">
        <f t="shared" si="4"/>
        <v>7.9755683093397541E-3</v>
      </c>
    </row>
    <row r="13" spans="1:14" x14ac:dyDescent="0.4">
      <c r="A13">
        <v>1357.02955</v>
      </c>
      <c r="B13" s="1">
        <v>1.85866</v>
      </c>
      <c r="D13">
        <v>1357.02955</v>
      </c>
      <c r="E13" s="1">
        <v>2.3909799999999999</v>
      </c>
      <c r="G13">
        <v>1357.02955</v>
      </c>
      <c r="H13" s="1">
        <v>2.1078399999999999</v>
      </c>
      <c r="J13">
        <f t="shared" si="0"/>
        <v>1357.02955</v>
      </c>
      <c r="K13">
        <f t="shared" si="1"/>
        <v>2.1248199999999997</v>
      </c>
      <c r="L13" s="1">
        <f t="shared" si="2"/>
        <v>2.1078399999999999</v>
      </c>
      <c r="M13" s="1">
        <f t="shared" si="3"/>
        <v>1.6979999999999773E-2</v>
      </c>
      <c r="N13" s="3">
        <f t="shared" si="4"/>
        <v>8.0556398967662514E-3</v>
      </c>
    </row>
    <row r="14" spans="1:14" x14ac:dyDescent="0.4">
      <c r="A14">
        <v>1359.33224</v>
      </c>
      <c r="B14" s="1">
        <v>2.0663100000000001</v>
      </c>
      <c r="D14">
        <v>1359.33224</v>
      </c>
      <c r="E14" s="1">
        <v>2.6932100000000001</v>
      </c>
      <c r="G14">
        <v>1359.33224</v>
      </c>
      <c r="H14" s="1">
        <v>2.3605299999999998</v>
      </c>
      <c r="J14">
        <f t="shared" si="0"/>
        <v>1359.33224</v>
      </c>
      <c r="K14">
        <f t="shared" si="1"/>
        <v>2.3797600000000001</v>
      </c>
      <c r="L14" s="1">
        <f t="shared" si="2"/>
        <v>2.3605299999999998</v>
      </c>
      <c r="M14" s="1">
        <f t="shared" si="3"/>
        <v>1.9230000000000302E-2</v>
      </c>
      <c r="N14" s="3">
        <f t="shared" si="4"/>
        <v>8.1464755796369047E-3</v>
      </c>
    </row>
    <row r="15" spans="1:14" x14ac:dyDescent="0.4">
      <c r="A15">
        <v>1361.63492</v>
      </c>
      <c r="B15" s="1">
        <v>2.2843900000000001</v>
      </c>
      <c r="D15">
        <v>1361.63492</v>
      </c>
      <c r="E15" s="1">
        <v>3.0159500000000001</v>
      </c>
      <c r="G15">
        <v>1361.63492</v>
      </c>
      <c r="H15" s="1">
        <v>2.6284800000000001</v>
      </c>
      <c r="J15">
        <f t="shared" si="0"/>
        <v>1361.63492</v>
      </c>
      <c r="K15">
        <f t="shared" si="1"/>
        <v>2.6501700000000001</v>
      </c>
      <c r="L15" s="1">
        <f t="shared" si="2"/>
        <v>2.6284800000000001</v>
      </c>
      <c r="M15" s="1">
        <f t="shared" si="3"/>
        <v>2.1689999999999987E-2</v>
      </c>
      <c r="N15" s="3">
        <f t="shared" si="4"/>
        <v>8.2519174579985342E-3</v>
      </c>
    </row>
    <row r="16" spans="1:14" x14ac:dyDescent="0.4">
      <c r="A16">
        <v>1363.9376099999999</v>
      </c>
      <c r="B16" s="1">
        <v>2.5125299999999999</v>
      </c>
      <c r="D16">
        <v>1363.9376099999999</v>
      </c>
      <c r="E16" s="1">
        <v>3.3591600000000001</v>
      </c>
      <c r="G16">
        <v>1363.9376099999999</v>
      </c>
      <c r="H16" s="1">
        <v>2.9115000000000002</v>
      </c>
      <c r="J16">
        <f t="shared" si="0"/>
        <v>1363.9376099999999</v>
      </c>
      <c r="K16">
        <f t="shared" si="1"/>
        <v>2.935845</v>
      </c>
      <c r="L16" s="1">
        <f t="shared" si="2"/>
        <v>2.9115000000000002</v>
      </c>
      <c r="M16" s="1">
        <f t="shared" si="3"/>
        <v>2.4344999999999839E-2</v>
      </c>
      <c r="N16" s="3">
        <f t="shared" si="4"/>
        <v>8.3616692426583678E-3</v>
      </c>
    </row>
    <row r="17" spans="1:14" x14ac:dyDescent="0.4">
      <c r="A17">
        <v>1366.24029</v>
      </c>
      <c r="B17" s="1">
        <v>2.7482899999999999</v>
      </c>
      <c r="D17">
        <v>1366.24029</v>
      </c>
      <c r="E17" s="1">
        <v>3.7204600000000001</v>
      </c>
      <c r="G17">
        <v>1366.24029</v>
      </c>
      <c r="H17" s="1">
        <v>3.2071499999999999</v>
      </c>
      <c r="J17">
        <f t="shared" si="0"/>
        <v>1366.24029</v>
      </c>
      <c r="K17">
        <f t="shared" si="1"/>
        <v>3.234375</v>
      </c>
      <c r="L17" s="1">
        <f t="shared" si="2"/>
        <v>3.2071499999999999</v>
      </c>
      <c r="M17" s="1">
        <f t="shared" si="3"/>
        <v>2.7225000000000055E-2</v>
      </c>
      <c r="N17" s="3">
        <f t="shared" si="4"/>
        <v>8.4888452364248797E-3</v>
      </c>
    </row>
    <row r="18" spans="1:14" x14ac:dyDescent="0.4">
      <c r="A18">
        <v>1368.5429799999999</v>
      </c>
      <c r="B18" s="1">
        <v>2.9895700000000001</v>
      </c>
      <c r="D18">
        <v>1368.5429799999999</v>
      </c>
      <c r="E18" s="1">
        <v>4.0978000000000003</v>
      </c>
      <c r="G18">
        <v>1368.5429799999999</v>
      </c>
      <c r="H18" s="1">
        <v>3.5133299999999998</v>
      </c>
      <c r="J18">
        <f t="shared" si="0"/>
        <v>1368.5429799999999</v>
      </c>
      <c r="K18">
        <f t="shared" si="1"/>
        <v>3.543685</v>
      </c>
      <c r="L18" s="1">
        <f t="shared" si="2"/>
        <v>3.5133299999999998</v>
      </c>
      <c r="M18" s="1">
        <f t="shared" si="3"/>
        <v>3.0355000000000132E-2</v>
      </c>
      <c r="N18" s="3">
        <f t="shared" si="4"/>
        <v>8.6399512713010544E-3</v>
      </c>
    </row>
    <row r="19" spans="1:14" x14ac:dyDescent="0.4">
      <c r="A19">
        <v>1370.8456699999999</v>
      </c>
      <c r="B19" s="1">
        <v>3.2342300000000002</v>
      </c>
      <c r="D19">
        <v>1370.8456699999999</v>
      </c>
      <c r="E19" s="1">
        <v>4.4888399999999997</v>
      </c>
      <c r="G19">
        <v>1370.8456699999999</v>
      </c>
      <c r="H19" s="1">
        <v>3.8277899999999998</v>
      </c>
      <c r="J19">
        <f t="shared" si="0"/>
        <v>1370.8456699999999</v>
      </c>
      <c r="K19">
        <f t="shared" si="1"/>
        <v>3.8615349999999999</v>
      </c>
      <c r="L19" s="1">
        <f t="shared" si="2"/>
        <v>3.8277899999999998</v>
      </c>
      <c r="M19" s="1">
        <f t="shared" si="3"/>
        <v>3.3745000000000136E-2</v>
      </c>
      <c r="N19" s="3">
        <f t="shared" si="4"/>
        <v>8.8157918799098532E-3</v>
      </c>
    </row>
    <row r="20" spans="1:14" x14ac:dyDescent="0.4">
      <c r="A20">
        <v>1373.1483499999999</v>
      </c>
      <c r="B20" s="1">
        <v>3.4790999999999999</v>
      </c>
      <c r="D20">
        <v>1373.1483499999999</v>
      </c>
      <c r="E20" s="1">
        <v>4.8902000000000001</v>
      </c>
      <c r="G20">
        <v>1373.1483499999999</v>
      </c>
      <c r="H20" s="1">
        <v>4.1472199999999999</v>
      </c>
      <c r="J20">
        <f t="shared" si="0"/>
        <v>1373.1483499999999</v>
      </c>
      <c r="K20">
        <f t="shared" si="1"/>
        <v>4.1846499999999995</v>
      </c>
      <c r="L20" s="1">
        <f t="shared" si="2"/>
        <v>4.1472199999999999</v>
      </c>
      <c r="M20" s="1">
        <f t="shared" si="3"/>
        <v>3.742999999999963E-2</v>
      </c>
      <c r="N20" s="3">
        <f t="shared" si="4"/>
        <v>9.0253229874469234E-3</v>
      </c>
    </row>
    <row r="21" spans="1:14" x14ac:dyDescent="0.4">
      <c r="A21">
        <v>1375.4510399999999</v>
      </c>
      <c r="B21" s="1">
        <v>3.7216499999999999</v>
      </c>
      <c r="D21">
        <v>1375.4510399999999</v>
      </c>
      <c r="E21" s="1">
        <v>5.2991200000000003</v>
      </c>
      <c r="G21">
        <v>1375.4510399999999</v>
      </c>
      <c r="H21" s="1">
        <v>4.4689100000000002</v>
      </c>
      <c r="J21">
        <f t="shared" si="0"/>
        <v>1375.4510399999999</v>
      </c>
      <c r="K21">
        <f t="shared" si="1"/>
        <v>4.5103850000000003</v>
      </c>
      <c r="L21" s="1">
        <f t="shared" si="2"/>
        <v>4.4689100000000002</v>
      </c>
      <c r="M21" s="1">
        <f t="shared" si="3"/>
        <v>4.1475000000000151E-2</v>
      </c>
      <c r="N21" s="3">
        <f t="shared" si="4"/>
        <v>9.2807865900186286E-3</v>
      </c>
    </row>
    <row r="22" spans="1:14" x14ac:dyDescent="0.4">
      <c r="A22">
        <v>1377.7537299999999</v>
      </c>
      <c r="B22" s="1">
        <v>3.9593600000000002</v>
      </c>
      <c r="D22">
        <v>1377.7537299999999</v>
      </c>
      <c r="E22" s="1">
        <v>5.7129899999999996</v>
      </c>
      <c r="G22">
        <v>1377.7537299999999</v>
      </c>
      <c r="H22" s="1">
        <v>4.7902699999999996</v>
      </c>
      <c r="J22">
        <f t="shared" si="0"/>
        <v>1377.7537299999999</v>
      </c>
      <c r="K22">
        <f t="shared" si="1"/>
        <v>4.8361749999999999</v>
      </c>
      <c r="L22" s="1">
        <f t="shared" si="2"/>
        <v>4.7902699999999996</v>
      </c>
      <c r="M22" s="1">
        <f t="shared" si="3"/>
        <v>4.5905000000000307E-2</v>
      </c>
      <c r="N22" s="3">
        <f t="shared" si="4"/>
        <v>9.582967139639376E-3</v>
      </c>
    </row>
    <row r="23" spans="1:14" x14ac:dyDescent="0.4">
      <c r="A23">
        <v>1380.0564099999999</v>
      </c>
      <c r="B23" s="1">
        <v>4.1899300000000004</v>
      </c>
      <c r="D23">
        <v>1380.0564099999999</v>
      </c>
      <c r="E23" s="1">
        <v>6.1295200000000003</v>
      </c>
      <c r="G23">
        <v>1380.0564099999999</v>
      </c>
      <c r="H23" s="1">
        <v>5.1089000000000002</v>
      </c>
      <c r="J23">
        <f t="shared" si="0"/>
        <v>1380.0564099999999</v>
      </c>
      <c r="K23">
        <f t="shared" si="1"/>
        <v>5.1597249999999999</v>
      </c>
      <c r="L23" s="1">
        <f t="shared" si="2"/>
        <v>5.1089000000000002</v>
      </c>
      <c r="M23" s="1">
        <f t="shared" si="3"/>
        <v>5.0824999999999676E-2</v>
      </c>
      <c r="N23" s="3">
        <f t="shared" si="4"/>
        <v>9.948325471236405E-3</v>
      </c>
    </row>
    <row r="24" spans="1:14" x14ac:dyDescent="0.4">
      <c r="A24">
        <v>1382.3590999999999</v>
      </c>
      <c r="B24" s="1">
        <v>4.41432</v>
      </c>
      <c r="D24">
        <v>1382.3590999999999</v>
      </c>
      <c r="E24" s="1">
        <v>6.5507299999999997</v>
      </c>
      <c r="G24">
        <v>1382.3590999999999</v>
      </c>
      <c r="H24" s="1">
        <v>5.4261699999999999</v>
      </c>
      <c r="J24">
        <f t="shared" si="0"/>
        <v>1382.3590999999999</v>
      </c>
      <c r="K24">
        <f t="shared" si="1"/>
        <v>5.4825249999999999</v>
      </c>
      <c r="L24" s="1">
        <f t="shared" si="2"/>
        <v>5.4261699999999999</v>
      </c>
      <c r="M24" s="1">
        <f t="shared" si="3"/>
        <v>5.6354999999999933E-2</v>
      </c>
      <c r="N24" s="3">
        <f t="shared" si="4"/>
        <v>1.0385778550985306E-2</v>
      </c>
    </row>
    <row r="25" spans="1:14" x14ac:dyDescent="0.4">
      <c r="A25">
        <v>1384.6617799999999</v>
      </c>
      <c r="B25" s="1">
        <v>4.6337400000000004</v>
      </c>
      <c r="D25">
        <v>1384.6617799999999</v>
      </c>
      <c r="E25" s="1">
        <v>6.9769600000000001</v>
      </c>
      <c r="G25">
        <v>1384.6617799999999</v>
      </c>
      <c r="H25" s="1">
        <v>5.7428299999999997</v>
      </c>
      <c r="J25">
        <f t="shared" si="0"/>
        <v>1384.6617799999999</v>
      </c>
      <c r="K25">
        <f t="shared" si="1"/>
        <v>5.8053500000000007</v>
      </c>
      <c r="L25" s="1">
        <f t="shared" si="2"/>
        <v>5.7428299999999997</v>
      </c>
      <c r="M25" s="1">
        <f t="shared" si="3"/>
        <v>6.2520000000001019E-2</v>
      </c>
      <c r="N25" s="3">
        <f t="shared" si="4"/>
        <v>1.0886618618346881E-2</v>
      </c>
    </row>
    <row r="26" spans="1:14" x14ac:dyDescent="0.4">
      <c r="A26">
        <v>1386.9644699999999</v>
      </c>
      <c r="B26" s="1">
        <v>4.8509000000000002</v>
      </c>
      <c r="D26">
        <v>1386.9644699999999</v>
      </c>
      <c r="E26" s="1">
        <v>7.4092900000000004</v>
      </c>
      <c r="G26">
        <v>1386.9644699999999</v>
      </c>
      <c r="H26" s="1">
        <v>6.0608000000000004</v>
      </c>
      <c r="J26">
        <f t="shared" si="0"/>
        <v>1386.9644699999999</v>
      </c>
      <c r="K26">
        <f t="shared" si="1"/>
        <v>6.1300950000000007</v>
      </c>
      <c r="L26" s="1">
        <f t="shared" si="2"/>
        <v>6.0608000000000004</v>
      </c>
      <c r="M26" s="1">
        <f t="shared" si="3"/>
        <v>6.9295000000000329E-2</v>
      </c>
      <c r="N26" s="3">
        <f t="shared" si="4"/>
        <v>1.1433309134107762E-2</v>
      </c>
    </row>
    <row r="27" spans="1:14" x14ac:dyDescent="0.4">
      <c r="A27">
        <v>1389.2671600000001</v>
      </c>
      <c r="B27" s="1">
        <v>5.0617900000000002</v>
      </c>
      <c r="D27">
        <v>1389.2671600000001</v>
      </c>
      <c r="E27" s="1">
        <v>7.8421099999999999</v>
      </c>
      <c r="G27">
        <v>1389.2671600000001</v>
      </c>
      <c r="H27" s="1">
        <v>6.3750900000000001</v>
      </c>
      <c r="J27">
        <f t="shared" si="0"/>
        <v>1389.2671600000001</v>
      </c>
      <c r="K27">
        <f t="shared" si="1"/>
        <v>6.4519500000000001</v>
      </c>
      <c r="L27" s="1">
        <f t="shared" si="2"/>
        <v>6.3750900000000001</v>
      </c>
      <c r="M27" s="1">
        <f t="shared" si="3"/>
        <v>7.6859999999999928E-2</v>
      </c>
      <c r="N27" s="3">
        <f t="shared" si="4"/>
        <v>1.205630038164166E-2</v>
      </c>
    </row>
    <row r="28" spans="1:14" x14ac:dyDescent="0.4">
      <c r="A28">
        <v>1391.5698400000001</v>
      </c>
      <c r="B28" s="1">
        <v>5.2642800000000003</v>
      </c>
      <c r="D28">
        <v>1391.5698400000001</v>
      </c>
      <c r="E28" s="1">
        <v>8.27041</v>
      </c>
      <c r="G28">
        <v>1391.5698400000001</v>
      </c>
      <c r="H28" s="1">
        <v>6.6822400000000002</v>
      </c>
      <c r="J28">
        <f t="shared" si="0"/>
        <v>1391.5698400000001</v>
      </c>
      <c r="K28">
        <f t="shared" si="1"/>
        <v>6.7673450000000006</v>
      </c>
      <c r="L28" s="1">
        <f t="shared" si="2"/>
        <v>6.6822400000000002</v>
      </c>
      <c r="M28" s="1">
        <f t="shared" si="3"/>
        <v>8.510500000000043E-2</v>
      </c>
      <c r="N28" s="3">
        <f t="shared" si="4"/>
        <v>1.2735998707020465E-2</v>
      </c>
    </row>
    <row r="29" spans="1:14" x14ac:dyDescent="0.4">
      <c r="A29">
        <v>1393.8725300000001</v>
      </c>
      <c r="B29" s="1">
        <v>5.45587</v>
      </c>
      <c r="D29">
        <v>1393.8725300000001</v>
      </c>
      <c r="E29" s="1">
        <v>8.6921199999999992</v>
      </c>
      <c r="G29">
        <v>1393.8725300000001</v>
      </c>
      <c r="H29" s="1">
        <v>6.9796300000000002</v>
      </c>
      <c r="J29">
        <f t="shared" si="0"/>
        <v>1393.8725300000001</v>
      </c>
      <c r="K29">
        <f t="shared" si="1"/>
        <v>7.073995</v>
      </c>
      <c r="L29" s="1">
        <f t="shared" si="2"/>
        <v>6.9796300000000002</v>
      </c>
      <c r="M29" s="1">
        <f t="shared" si="3"/>
        <v>9.436499999999981E-2</v>
      </c>
      <c r="N29" s="3">
        <f t="shared" si="4"/>
        <v>1.3520057653485903E-2</v>
      </c>
    </row>
    <row r="30" spans="1:14" x14ac:dyDescent="0.4">
      <c r="A30">
        <v>1396.1752200000001</v>
      </c>
      <c r="B30" s="1">
        <v>5.6353999999999997</v>
      </c>
      <c r="D30">
        <v>1396.1752200000001</v>
      </c>
      <c r="E30" s="1">
        <v>9.1064100000000003</v>
      </c>
      <c r="G30">
        <v>1396.1752200000001</v>
      </c>
      <c r="H30" s="1">
        <v>7.2660299999999998</v>
      </c>
      <c r="J30">
        <f t="shared" si="0"/>
        <v>1396.1752200000001</v>
      </c>
      <c r="K30">
        <f t="shared" si="1"/>
        <v>7.3709050000000005</v>
      </c>
      <c r="L30" s="1">
        <f t="shared" si="2"/>
        <v>7.2660299999999998</v>
      </c>
      <c r="M30" s="1">
        <f t="shared" si="3"/>
        <v>0.10487500000000072</v>
      </c>
      <c r="N30" s="3">
        <f t="shared" si="4"/>
        <v>1.4433604045125155E-2</v>
      </c>
    </row>
    <row r="31" spans="1:14" x14ac:dyDescent="0.4">
      <c r="A31">
        <v>1398.4779000000001</v>
      </c>
      <c r="B31" s="1">
        <v>5.8028399999999998</v>
      </c>
      <c r="D31">
        <v>1398.4779000000001</v>
      </c>
      <c r="E31" s="1">
        <v>9.5134799999999995</v>
      </c>
      <c r="G31">
        <v>1398.4779000000001</v>
      </c>
      <c r="H31" s="1">
        <v>7.5412800000000004</v>
      </c>
      <c r="J31">
        <f t="shared" si="0"/>
        <v>1398.4779000000001</v>
      </c>
      <c r="K31">
        <f t="shared" si="1"/>
        <v>7.6581599999999996</v>
      </c>
      <c r="L31" s="1">
        <f t="shared" si="2"/>
        <v>7.5412800000000004</v>
      </c>
      <c r="M31" s="1">
        <f t="shared" si="3"/>
        <v>0.11687999999999921</v>
      </c>
      <c r="N31" s="3">
        <f t="shared" si="4"/>
        <v>1.5498695181719709E-2</v>
      </c>
    </row>
    <row r="32" spans="1:14" x14ac:dyDescent="0.4">
      <c r="A32">
        <v>1400.7805900000001</v>
      </c>
      <c r="B32" s="1">
        <v>5.95756</v>
      </c>
      <c r="D32">
        <v>1400.7805900000001</v>
      </c>
      <c r="E32" s="1">
        <v>9.9132400000000001</v>
      </c>
      <c r="G32">
        <v>1400.7805900000001</v>
      </c>
      <c r="H32" s="1">
        <v>7.8046800000000003</v>
      </c>
      <c r="J32">
        <f t="shared" si="0"/>
        <v>1400.7805900000001</v>
      </c>
      <c r="K32">
        <f t="shared" si="1"/>
        <v>7.9353999999999996</v>
      </c>
      <c r="L32" s="1">
        <f t="shared" si="2"/>
        <v>7.8046800000000003</v>
      </c>
      <c r="M32" s="1">
        <f t="shared" si="3"/>
        <v>0.13071999999999928</v>
      </c>
      <c r="N32" s="3">
        <f t="shared" si="4"/>
        <v>1.6748925003971883E-2</v>
      </c>
    </row>
    <row r="33" spans="1:14" x14ac:dyDescent="0.4">
      <c r="A33">
        <v>1403.0832800000001</v>
      </c>
      <c r="B33" s="1">
        <v>6.0995999999999997</v>
      </c>
      <c r="D33">
        <v>1403.0832800000001</v>
      </c>
      <c r="E33" s="1">
        <v>10.3088</v>
      </c>
      <c r="G33">
        <v>1403.0832800000001</v>
      </c>
      <c r="H33" s="1">
        <v>8.0572300000000006</v>
      </c>
      <c r="J33">
        <f t="shared" si="0"/>
        <v>1403.0832800000001</v>
      </c>
      <c r="K33">
        <f t="shared" si="1"/>
        <v>8.2042000000000002</v>
      </c>
      <c r="L33" s="1">
        <f t="shared" si="2"/>
        <v>8.0572300000000006</v>
      </c>
      <c r="M33" s="1">
        <f t="shared" si="3"/>
        <v>0.1469699999999996</v>
      </c>
      <c r="N33" s="3">
        <f t="shared" si="4"/>
        <v>1.8240760161991106E-2</v>
      </c>
    </row>
    <row r="34" spans="1:14" x14ac:dyDescent="0.4">
      <c r="A34">
        <v>1405.3859600000001</v>
      </c>
      <c r="B34" s="1">
        <v>6.2296300000000002</v>
      </c>
      <c r="D34">
        <v>1405.3859600000001</v>
      </c>
      <c r="E34" s="1">
        <v>10.6982</v>
      </c>
      <c r="G34">
        <v>1405.3859600000001</v>
      </c>
      <c r="H34" s="1">
        <v>8.2981599999999993</v>
      </c>
      <c r="J34">
        <f t="shared" si="0"/>
        <v>1405.3859600000001</v>
      </c>
      <c r="K34">
        <f t="shared" si="1"/>
        <v>8.4639150000000001</v>
      </c>
      <c r="L34" s="1">
        <f t="shared" si="2"/>
        <v>8.2981599999999993</v>
      </c>
      <c r="M34" s="1">
        <f t="shared" si="3"/>
        <v>0.16575500000000076</v>
      </c>
      <c r="N34" s="3">
        <f t="shared" si="4"/>
        <v>1.9974910100552506E-2</v>
      </c>
    </row>
    <row r="35" spans="1:14" x14ac:dyDescent="0.4">
      <c r="A35">
        <v>1407.6886500000001</v>
      </c>
      <c r="B35" s="1">
        <v>6.3480600000000003</v>
      </c>
      <c r="D35">
        <v>1407.6886500000001</v>
      </c>
      <c r="E35" s="1">
        <v>11.0855</v>
      </c>
      <c r="G35">
        <v>1407.6886500000001</v>
      </c>
      <c r="H35" s="1">
        <v>8.5289300000000008</v>
      </c>
      <c r="J35">
        <f t="shared" si="0"/>
        <v>1407.6886500000001</v>
      </c>
      <c r="K35">
        <f t="shared" si="1"/>
        <v>8.71678</v>
      </c>
      <c r="L35" s="1">
        <f t="shared" si="2"/>
        <v>8.5289300000000008</v>
      </c>
      <c r="M35" s="1">
        <f t="shared" si="3"/>
        <v>0.18784999999999918</v>
      </c>
      <c r="N35" s="3">
        <f t="shared" si="4"/>
        <v>2.2025037138304473E-2</v>
      </c>
    </row>
    <row r="36" spans="1:14" x14ac:dyDescent="0.4">
      <c r="A36">
        <v>1409.9913300000001</v>
      </c>
      <c r="B36" s="1">
        <v>6.4539900000000001</v>
      </c>
      <c r="D36">
        <v>1409.9913300000001</v>
      </c>
      <c r="E36" s="1">
        <v>11.472200000000001</v>
      </c>
      <c r="G36">
        <v>1409.9913300000001</v>
      </c>
      <c r="H36" s="1">
        <v>8.7489100000000004</v>
      </c>
      <c r="J36">
        <f t="shared" si="0"/>
        <v>1409.9913300000001</v>
      </c>
      <c r="K36">
        <f t="shared" si="1"/>
        <v>8.9630950000000009</v>
      </c>
      <c r="L36" s="1">
        <f t="shared" si="2"/>
        <v>8.7489100000000004</v>
      </c>
      <c r="M36" s="1">
        <f t="shared" si="3"/>
        <v>0.21418500000000051</v>
      </c>
      <c r="N36" s="3">
        <f t="shared" si="4"/>
        <v>2.448133538920854E-2</v>
      </c>
    </row>
    <row r="37" spans="1:14" x14ac:dyDescent="0.4">
      <c r="A37">
        <v>1412.29402</v>
      </c>
      <c r="B37" s="1">
        <v>6.5473999999999997</v>
      </c>
      <c r="D37">
        <v>1412.29402</v>
      </c>
      <c r="E37" s="1">
        <v>11.862399999999999</v>
      </c>
      <c r="G37">
        <v>1412.29402</v>
      </c>
      <c r="H37" s="1">
        <v>8.9590700000000005</v>
      </c>
      <c r="J37">
        <f t="shared" si="0"/>
        <v>1412.29402</v>
      </c>
      <c r="K37">
        <f t="shared" si="1"/>
        <v>9.2048999999999985</v>
      </c>
      <c r="L37" s="1">
        <f t="shared" si="2"/>
        <v>8.9590700000000005</v>
      </c>
      <c r="M37" s="1">
        <f t="shared" si="3"/>
        <v>0.24582999999999799</v>
      </c>
      <c r="N37" s="3">
        <f t="shared" si="4"/>
        <v>2.7439231973854204E-2</v>
      </c>
    </row>
    <row r="38" spans="1:14" x14ac:dyDescent="0.4">
      <c r="A38">
        <v>1414.59671</v>
      </c>
      <c r="B38" s="1">
        <v>6.62819</v>
      </c>
      <c r="D38">
        <v>1414.59671</v>
      </c>
      <c r="E38" s="1">
        <v>12.2613</v>
      </c>
      <c r="G38">
        <v>1414.59671</v>
      </c>
      <c r="H38" s="1">
        <v>9.1603399999999997</v>
      </c>
      <c r="J38">
        <f t="shared" si="0"/>
        <v>1414.59671</v>
      </c>
      <c r="K38">
        <f t="shared" si="1"/>
        <v>9.4447450000000011</v>
      </c>
      <c r="L38" s="1">
        <f t="shared" si="2"/>
        <v>9.1603399999999997</v>
      </c>
      <c r="M38" s="1">
        <f t="shared" si="3"/>
        <v>0.28440500000000135</v>
      </c>
      <c r="N38" s="3">
        <f t="shared" si="4"/>
        <v>3.1047428370562812E-2</v>
      </c>
    </row>
    <row r="39" spans="1:14" x14ac:dyDescent="0.4">
      <c r="A39">
        <v>1416.89939</v>
      </c>
      <c r="B39" s="1">
        <v>6.6944100000000004</v>
      </c>
      <c r="D39">
        <v>1416.89939</v>
      </c>
      <c r="E39" s="1">
        <v>12.675000000000001</v>
      </c>
      <c r="G39">
        <v>1416.89939</v>
      </c>
      <c r="H39" s="1">
        <v>9.3525200000000002</v>
      </c>
      <c r="J39">
        <f t="shared" si="0"/>
        <v>1416.89939</v>
      </c>
      <c r="K39">
        <f t="shared" si="1"/>
        <v>9.684705000000001</v>
      </c>
      <c r="L39" s="1">
        <f t="shared" si="2"/>
        <v>9.3525200000000002</v>
      </c>
      <c r="M39" s="1">
        <f t="shared" si="3"/>
        <v>0.33218500000000084</v>
      </c>
      <c r="N39" s="3">
        <f t="shared" si="4"/>
        <v>3.5518234657611086E-2</v>
      </c>
    </row>
    <row r="40" spans="1:14" x14ac:dyDescent="0.4">
      <c r="A40">
        <v>1419.20208</v>
      </c>
      <c r="B40" s="1">
        <v>6.7438399999999996</v>
      </c>
      <c r="D40">
        <v>1419.20208</v>
      </c>
      <c r="E40" s="1">
        <v>13.1175</v>
      </c>
      <c r="G40">
        <v>1419.20208</v>
      </c>
      <c r="H40" s="1">
        <v>9.5378299999999996</v>
      </c>
      <c r="J40">
        <f t="shared" si="0"/>
        <v>1419.20208</v>
      </c>
      <c r="K40">
        <f t="shared" si="1"/>
        <v>9.9306699999999992</v>
      </c>
      <c r="L40" s="1">
        <f t="shared" si="2"/>
        <v>9.5378299999999996</v>
      </c>
      <c r="M40" s="1">
        <f t="shared" si="3"/>
        <v>0.39283999999999963</v>
      </c>
      <c r="N40" s="3">
        <f t="shared" si="4"/>
        <v>4.1187565725117732E-2</v>
      </c>
    </row>
    <row r="41" spans="1:14" x14ac:dyDescent="0.4">
      <c r="A41">
        <v>1421.50477</v>
      </c>
      <c r="B41" s="1">
        <v>6.7769300000000001</v>
      </c>
      <c r="D41">
        <v>1421.50477</v>
      </c>
      <c r="E41" s="1">
        <v>13.607699999999999</v>
      </c>
      <c r="G41">
        <v>1421.50477</v>
      </c>
      <c r="H41" s="1">
        <v>9.72119</v>
      </c>
      <c r="J41">
        <f t="shared" si="0"/>
        <v>1421.50477</v>
      </c>
      <c r="K41">
        <f t="shared" si="1"/>
        <v>10.192315000000001</v>
      </c>
      <c r="L41" s="1">
        <f t="shared" si="2"/>
        <v>9.72119</v>
      </c>
      <c r="M41" s="1">
        <f t="shared" si="3"/>
        <v>0.47112500000000068</v>
      </c>
      <c r="N41" s="3">
        <f t="shared" si="4"/>
        <v>4.8463716890627659E-2</v>
      </c>
    </row>
    <row r="42" spans="1:14" x14ac:dyDescent="0.4">
      <c r="A42">
        <v>1423.80745</v>
      </c>
      <c r="B42" s="1">
        <v>6.78932</v>
      </c>
      <c r="D42">
        <v>1423.80745</v>
      </c>
      <c r="E42" s="1">
        <v>14.171200000000001</v>
      </c>
      <c r="G42">
        <v>1423.80745</v>
      </c>
      <c r="H42" s="1">
        <v>9.9053000000000004</v>
      </c>
      <c r="J42">
        <f t="shared" si="0"/>
        <v>1423.80745</v>
      </c>
      <c r="K42">
        <f t="shared" si="1"/>
        <v>10.480260000000001</v>
      </c>
      <c r="L42" s="1">
        <f t="shared" si="2"/>
        <v>9.9053000000000004</v>
      </c>
      <c r="M42" s="1">
        <f t="shared" si="3"/>
        <v>0.5749600000000008</v>
      </c>
      <c r="N42" s="3">
        <f t="shared" si="4"/>
        <v>5.8045692709963431E-2</v>
      </c>
    </row>
    <row r="43" spans="1:14" x14ac:dyDescent="0.4">
      <c r="A43">
        <v>1426.11014</v>
      </c>
      <c r="B43" s="1">
        <v>6.7705099999999998</v>
      </c>
      <c r="D43">
        <v>1426.11014</v>
      </c>
      <c r="E43" s="1">
        <v>14.8363</v>
      </c>
      <c r="G43">
        <v>1426.11014</v>
      </c>
      <c r="H43" s="1">
        <v>10.085699999999999</v>
      </c>
      <c r="J43">
        <f t="shared" si="0"/>
        <v>1426.11014</v>
      </c>
      <c r="K43">
        <f t="shared" si="1"/>
        <v>10.803405</v>
      </c>
      <c r="L43" s="1">
        <f t="shared" si="2"/>
        <v>10.085699999999999</v>
      </c>
      <c r="M43" s="1">
        <f t="shared" si="3"/>
        <v>0.71770500000000048</v>
      </c>
      <c r="N43" s="3">
        <f t="shared" si="4"/>
        <v>7.1160653202058416E-2</v>
      </c>
    </row>
    <row r="44" spans="1:14" x14ac:dyDescent="0.4">
      <c r="A44">
        <v>1428.41282</v>
      </c>
      <c r="B44" s="1">
        <v>6.6844099999999997</v>
      </c>
      <c r="D44">
        <v>1428.41282</v>
      </c>
      <c r="E44" s="1">
        <v>15.643599999999999</v>
      </c>
      <c r="G44">
        <v>1428.41282</v>
      </c>
      <c r="H44" s="1">
        <v>10.235900000000001</v>
      </c>
      <c r="J44">
        <f t="shared" si="0"/>
        <v>1428.41282</v>
      </c>
      <c r="K44">
        <f t="shared" si="1"/>
        <v>11.164005</v>
      </c>
      <c r="L44" s="1">
        <f t="shared" si="2"/>
        <v>10.235900000000001</v>
      </c>
      <c r="M44" s="1">
        <f t="shared" si="3"/>
        <v>0.92810499999999863</v>
      </c>
      <c r="N44" s="3">
        <f t="shared" si="4"/>
        <v>9.0671557948006382E-2</v>
      </c>
    </row>
    <row r="45" spans="1:14" x14ac:dyDescent="0.4">
      <c r="A45">
        <v>1430.71551</v>
      </c>
      <c r="B45" s="1">
        <v>6.4193800000000003</v>
      </c>
      <c r="D45">
        <v>1430.71551</v>
      </c>
      <c r="E45" s="1">
        <v>16.718</v>
      </c>
      <c r="G45">
        <v>1430.71551</v>
      </c>
      <c r="H45" s="1">
        <v>10.2761</v>
      </c>
      <c r="J45">
        <f t="shared" si="0"/>
        <v>1430.71551</v>
      </c>
      <c r="K45">
        <f t="shared" si="1"/>
        <v>11.56869</v>
      </c>
      <c r="L45" s="1">
        <f t="shared" si="2"/>
        <v>10.2761</v>
      </c>
      <c r="M45" s="1">
        <f t="shared" si="3"/>
        <v>1.2925900000000006</v>
      </c>
      <c r="N45" s="3">
        <f t="shared" si="4"/>
        <v>0.1257860472358191</v>
      </c>
    </row>
    <row r="46" spans="1:14" x14ac:dyDescent="0.4">
      <c r="A46">
        <v>1433.0182</v>
      </c>
      <c r="B46" s="1">
        <v>3.93581</v>
      </c>
      <c r="D46">
        <v>1433.0182</v>
      </c>
      <c r="E46" s="1">
        <v>17.549800000000001</v>
      </c>
      <c r="G46">
        <v>1433.0182</v>
      </c>
      <c r="H46" s="1">
        <v>8.8516700000000004</v>
      </c>
      <c r="J46">
        <f t="shared" si="0"/>
        <v>1433.0182</v>
      </c>
      <c r="K46">
        <f t="shared" si="1"/>
        <v>10.742805000000001</v>
      </c>
      <c r="L46" s="1">
        <f t="shared" si="2"/>
        <v>8.8516700000000004</v>
      </c>
      <c r="M46" s="1">
        <f t="shared" si="3"/>
        <v>1.8911350000000002</v>
      </c>
      <c r="N46" s="3">
        <f t="shared" si="4"/>
        <v>0.21364725526369602</v>
      </c>
    </row>
    <row r="47" spans="1:14" x14ac:dyDescent="0.4">
      <c r="A47">
        <v>1435.32088</v>
      </c>
      <c r="B47" s="1">
        <v>3.8751000000000002</v>
      </c>
      <c r="D47">
        <v>1435.32088</v>
      </c>
      <c r="E47" s="1">
        <v>19.953600000000002</v>
      </c>
      <c r="G47">
        <v>1435.32088</v>
      </c>
      <c r="H47" s="1">
        <v>9.9294499999999992</v>
      </c>
      <c r="J47">
        <f t="shared" si="0"/>
        <v>1435.32088</v>
      </c>
      <c r="K47">
        <f t="shared" si="1"/>
        <v>11.914350000000001</v>
      </c>
      <c r="L47" s="1">
        <f t="shared" si="2"/>
        <v>9.9294499999999992</v>
      </c>
      <c r="M47" s="1">
        <f t="shared" si="3"/>
        <v>1.9849000000000014</v>
      </c>
      <c r="N47" s="3">
        <f t="shared" si="4"/>
        <v>0.19990029659245998</v>
      </c>
    </row>
    <row r="48" spans="1:14" x14ac:dyDescent="0.4">
      <c r="A48">
        <v>1437.62357</v>
      </c>
      <c r="B48" s="1">
        <v>4.1438699999999997</v>
      </c>
      <c r="D48">
        <v>1437.62357</v>
      </c>
      <c r="E48" s="1">
        <v>22.250599999999999</v>
      </c>
      <c r="G48">
        <v>1437.62357</v>
      </c>
      <c r="H48" s="1">
        <v>11.0625</v>
      </c>
      <c r="J48">
        <f t="shared" si="0"/>
        <v>1437.62357</v>
      </c>
      <c r="K48">
        <f t="shared" si="1"/>
        <v>13.197234999999999</v>
      </c>
      <c r="L48" s="1">
        <f t="shared" si="2"/>
        <v>11.0625</v>
      </c>
      <c r="M48" s="1">
        <f t="shared" si="3"/>
        <v>2.1347349999999992</v>
      </c>
      <c r="N48" s="3">
        <f t="shared" si="4"/>
        <v>0.1929703954802259</v>
      </c>
    </row>
    <row r="49" spans="1:14" x14ac:dyDescent="0.4">
      <c r="A49">
        <v>1439.92626</v>
      </c>
      <c r="B49" s="1">
        <v>4.4278399999999998</v>
      </c>
      <c r="D49">
        <v>1439.92626</v>
      </c>
      <c r="E49" s="1">
        <v>24.4864</v>
      </c>
      <c r="G49">
        <v>1439.92626</v>
      </c>
      <c r="H49" s="1">
        <v>12.1374</v>
      </c>
      <c r="J49">
        <f t="shared" si="0"/>
        <v>1439.92626</v>
      </c>
      <c r="K49">
        <f t="shared" si="1"/>
        <v>14.45712</v>
      </c>
      <c r="L49" s="1">
        <f t="shared" si="2"/>
        <v>12.1374</v>
      </c>
      <c r="M49" s="1">
        <f t="shared" si="3"/>
        <v>2.3197200000000002</v>
      </c>
      <c r="N49" s="3">
        <f t="shared" si="4"/>
        <v>0.19112165702704043</v>
      </c>
    </row>
    <row r="50" spans="1:14" x14ac:dyDescent="0.4">
      <c r="A50">
        <v>1442.22894</v>
      </c>
      <c r="B50" s="1">
        <v>4.6530699999999996</v>
      </c>
      <c r="D50">
        <v>1442.22894</v>
      </c>
      <c r="E50" s="1">
        <v>26.637499999999999</v>
      </c>
      <c r="G50">
        <v>1442.22894</v>
      </c>
      <c r="H50" s="1">
        <v>13.111800000000001</v>
      </c>
      <c r="J50">
        <f t="shared" si="0"/>
        <v>1442.22894</v>
      </c>
      <c r="K50">
        <f t="shared" si="1"/>
        <v>15.645284999999999</v>
      </c>
      <c r="L50" s="1">
        <f t="shared" si="2"/>
        <v>13.111800000000001</v>
      </c>
      <c r="M50" s="1">
        <f t="shared" si="3"/>
        <v>2.5334849999999989</v>
      </c>
      <c r="N50" s="3">
        <f t="shared" si="4"/>
        <v>0.1932217544501898</v>
      </c>
    </row>
    <row r="51" spans="1:14" x14ac:dyDescent="0.4">
      <c r="A51">
        <v>1444.53163</v>
      </c>
      <c r="B51" s="1">
        <v>4.7894500000000004</v>
      </c>
      <c r="D51">
        <v>1444.53163</v>
      </c>
      <c r="E51" s="1">
        <v>28.5838</v>
      </c>
      <c r="G51">
        <v>1444.53163</v>
      </c>
      <c r="H51" s="1">
        <v>13.929600000000001</v>
      </c>
      <c r="J51">
        <f t="shared" si="0"/>
        <v>1444.53163</v>
      </c>
      <c r="K51">
        <f t="shared" si="1"/>
        <v>16.686624999999999</v>
      </c>
      <c r="L51" s="1">
        <f t="shared" si="2"/>
        <v>13.929600000000001</v>
      </c>
      <c r="M51" s="1">
        <f t="shared" si="3"/>
        <v>2.7570249999999987</v>
      </c>
      <c r="N51" s="3">
        <f t="shared" si="4"/>
        <v>0.19792564036296798</v>
      </c>
    </row>
    <row r="52" spans="1:14" x14ac:dyDescent="0.4">
      <c r="A52">
        <v>1446.83431</v>
      </c>
      <c r="B52" s="1">
        <v>4.8182099999999997</v>
      </c>
      <c r="D52">
        <v>1446.83431</v>
      </c>
      <c r="E52" s="1">
        <v>30.1891</v>
      </c>
      <c r="G52">
        <v>1446.83431</v>
      </c>
      <c r="H52" s="1">
        <v>14.533200000000001</v>
      </c>
      <c r="J52">
        <f t="shared" si="0"/>
        <v>1446.83431</v>
      </c>
      <c r="K52">
        <f t="shared" si="1"/>
        <v>17.503654999999998</v>
      </c>
      <c r="L52" s="1">
        <f t="shared" si="2"/>
        <v>14.533200000000001</v>
      </c>
      <c r="M52" s="1">
        <f t="shared" si="3"/>
        <v>2.9704549999999976</v>
      </c>
      <c r="N52" s="3">
        <f t="shared" si="4"/>
        <v>0.20439098065119846</v>
      </c>
    </row>
    <row r="53" spans="1:14" x14ac:dyDescent="0.4">
      <c r="A53">
        <v>1449.1369999999999</v>
      </c>
      <c r="B53" s="1">
        <v>4.7325299999999997</v>
      </c>
      <c r="D53">
        <v>1449.1369999999999</v>
      </c>
      <c r="E53" s="1">
        <v>31.2864</v>
      </c>
      <c r="G53">
        <v>1449.1369999999999</v>
      </c>
      <c r="H53" s="1">
        <v>14.8605</v>
      </c>
      <c r="J53">
        <f t="shared" si="0"/>
        <v>1449.1369999999999</v>
      </c>
      <c r="K53">
        <f t="shared" si="1"/>
        <v>18.009464999999999</v>
      </c>
      <c r="L53" s="1">
        <f t="shared" si="2"/>
        <v>14.8605</v>
      </c>
      <c r="M53" s="1">
        <f t="shared" si="3"/>
        <v>3.1489649999999987</v>
      </c>
      <c r="N53" s="3">
        <f t="shared" si="4"/>
        <v>0.2119016856767941</v>
      </c>
    </row>
    <row r="54" spans="1:14" x14ac:dyDescent="0.4">
      <c r="A54">
        <v>1451.4396899999999</v>
      </c>
      <c r="B54" s="1">
        <v>4.5379800000000001</v>
      </c>
      <c r="D54">
        <v>1451.4396899999999</v>
      </c>
      <c r="E54" s="1">
        <v>31.716799999999999</v>
      </c>
      <c r="G54">
        <v>1451.4396899999999</v>
      </c>
      <c r="H54" s="1">
        <v>14.8619</v>
      </c>
      <c r="J54">
        <f t="shared" si="0"/>
        <v>1451.4396899999999</v>
      </c>
      <c r="K54">
        <f t="shared" si="1"/>
        <v>18.127389999999998</v>
      </c>
      <c r="L54" s="1">
        <f t="shared" si="2"/>
        <v>14.8619</v>
      </c>
      <c r="M54" s="1">
        <f t="shared" si="3"/>
        <v>3.265489999999998</v>
      </c>
      <c r="N54" s="3">
        <f t="shared" si="4"/>
        <v>0.21972224278187835</v>
      </c>
    </row>
    <row r="55" spans="1:14" x14ac:dyDescent="0.4">
      <c r="A55">
        <v>1453.7423699999999</v>
      </c>
      <c r="B55" s="1">
        <v>4.2515400000000003</v>
      </c>
      <c r="D55">
        <v>1453.7423699999999</v>
      </c>
      <c r="E55" s="1">
        <v>31.371600000000001</v>
      </c>
      <c r="G55">
        <v>1453.7423699999999</v>
      </c>
      <c r="H55" s="1">
        <v>14.513500000000001</v>
      </c>
      <c r="J55">
        <f t="shared" si="0"/>
        <v>1453.7423699999999</v>
      </c>
      <c r="K55">
        <f t="shared" si="1"/>
        <v>17.81157</v>
      </c>
      <c r="L55" s="1">
        <f t="shared" si="2"/>
        <v>14.513500000000001</v>
      </c>
      <c r="M55" s="1">
        <f t="shared" si="3"/>
        <v>3.2980699999999992</v>
      </c>
      <c r="N55" s="3">
        <f t="shared" si="4"/>
        <v>0.22724153374444475</v>
      </c>
    </row>
    <row r="56" spans="1:14" x14ac:dyDescent="0.4">
      <c r="A56">
        <v>1456.0450599999999</v>
      </c>
      <c r="B56" s="1">
        <v>3.9031500000000001</v>
      </c>
      <c r="D56">
        <v>1456.0450599999999</v>
      </c>
      <c r="E56" s="1">
        <v>30.249300000000002</v>
      </c>
      <c r="G56">
        <v>1456.0450599999999</v>
      </c>
      <c r="H56" s="1">
        <v>13.8401</v>
      </c>
      <c r="J56">
        <f t="shared" si="0"/>
        <v>1456.0450599999999</v>
      </c>
      <c r="K56">
        <f t="shared" si="1"/>
        <v>17.076225000000001</v>
      </c>
      <c r="L56" s="1">
        <f t="shared" si="2"/>
        <v>13.8401</v>
      </c>
      <c r="M56" s="1">
        <f t="shared" si="3"/>
        <v>3.2361250000000013</v>
      </c>
      <c r="N56" s="3">
        <f t="shared" si="4"/>
        <v>0.23382237122564153</v>
      </c>
    </row>
    <row r="57" spans="1:14" x14ac:dyDescent="0.4">
      <c r="A57">
        <v>1458.3477499999999</v>
      </c>
      <c r="B57" s="1">
        <v>3.52495</v>
      </c>
      <c r="D57">
        <v>1458.3477499999999</v>
      </c>
      <c r="E57" s="1">
        <v>28.484000000000002</v>
      </c>
      <c r="G57">
        <v>1458.3477499999999</v>
      </c>
      <c r="H57" s="1">
        <v>12.914899999999999</v>
      </c>
      <c r="J57">
        <f t="shared" si="0"/>
        <v>1458.3477499999999</v>
      </c>
      <c r="K57">
        <f t="shared" si="1"/>
        <v>16.004474999999999</v>
      </c>
      <c r="L57" s="1">
        <f t="shared" si="2"/>
        <v>12.914899999999999</v>
      </c>
      <c r="M57" s="1">
        <f t="shared" si="3"/>
        <v>3.089575</v>
      </c>
      <c r="N57" s="3">
        <f t="shared" si="4"/>
        <v>0.23922562311748446</v>
      </c>
    </row>
    <row r="58" spans="1:14" x14ac:dyDescent="0.4">
      <c r="A58">
        <v>1460.6504299999999</v>
      </c>
      <c r="B58" s="1">
        <v>3.15028</v>
      </c>
      <c r="D58">
        <v>1460.6504299999999</v>
      </c>
      <c r="E58" s="1">
        <v>26.300799999999999</v>
      </c>
      <c r="G58">
        <v>1460.6504299999999</v>
      </c>
      <c r="H58" s="1">
        <v>11.8453</v>
      </c>
      <c r="J58">
        <f t="shared" si="0"/>
        <v>1460.6504299999999</v>
      </c>
      <c r="K58">
        <f t="shared" si="1"/>
        <v>14.725539999999999</v>
      </c>
      <c r="L58" s="1">
        <f t="shared" si="2"/>
        <v>11.8453</v>
      </c>
      <c r="M58" s="1">
        <f t="shared" si="3"/>
        <v>2.8802399999999988</v>
      </c>
      <c r="N58" s="3">
        <f t="shared" si="4"/>
        <v>0.24315466894042354</v>
      </c>
    </row>
    <row r="59" spans="1:14" x14ac:dyDescent="0.4">
      <c r="A59">
        <v>1462.9531199999999</v>
      </c>
      <c r="B59" s="1">
        <v>2.80437</v>
      </c>
      <c r="D59">
        <v>1462.9531199999999</v>
      </c>
      <c r="E59" s="1">
        <v>23.911799999999999</v>
      </c>
      <c r="G59">
        <v>1462.9531199999999</v>
      </c>
      <c r="H59" s="1">
        <v>10.725899999999999</v>
      </c>
      <c r="J59">
        <f t="shared" si="0"/>
        <v>1462.9531199999999</v>
      </c>
      <c r="K59">
        <f t="shared" si="1"/>
        <v>13.358084999999999</v>
      </c>
      <c r="L59" s="1">
        <f t="shared" si="2"/>
        <v>10.725899999999999</v>
      </c>
      <c r="M59" s="1">
        <f t="shared" si="3"/>
        <v>2.6321849999999998</v>
      </c>
      <c r="N59" s="3">
        <f t="shared" si="4"/>
        <v>0.24540458143372584</v>
      </c>
    </row>
    <row r="60" spans="1:14" x14ac:dyDescent="0.4">
      <c r="A60">
        <v>1465.2558100000001</v>
      </c>
      <c r="B60" s="1">
        <v>2.4973000000000001</v>
      </c>
      <c r="D60">
        <v>1465.2558100000001</v>
      </c>
      <c r="E60" s="1">
        <v>21.527200000000001</v>
      </c>
      <c r="G60">
        <v>1465.2558100000001</v>
      </c>
      <c r="H60" s="1">
        <v>9.6386299999999991</v>
      </c>
      <c r="J60">
        <f t="shared" si="0"/>
        <v>1465.2558100000001</v>
      </c>
      <c r="K60">
        <f t="shared" si="1"/>
        <v>12.01225</v>
      </c>
      <c r="L60" s="1">
        <f t="shared" si="2"/>
        <v>9.6386299999999991</v>
      </c>
      <c r="M60" s="1">
        <f t="shared" si="3"/>
        <v>2.3736200000000007</v>
      </c>
      <c r="N60" s="3">
        <f t="shared" si="4"/>
        <v>0.24626113877179651</v>
      </c>
    </row>
    <row r="61" spans="1:14" x14ac:dyDescent="0.4">
      <c r="A61">
        <v>1467.5584899999999</v>
      </c>
      <c r="B61" s="1">
        <v>2.2299899999999999</v>
      </c>
      <c r="D61">
        <v>1467.5584899999999</v>
      </c>
      <c r="E61" s="1">
        <v>19.2422</v>
      </c>
      <c r="G61">
        <v>1467.5584899999999</v>
      </c>
      <c r="H61" s="1">
        <v>8.6181900000000002</v>
      </c>
      <c r="J61">
        <f t="shared" si="0"/>
        <v>1467.5584899999999</v>
      </c>
      <c r="K61">
        <f t="shared" si="1"/>
        <v>10.736095000000001</v>
      </c>
      <c r="L61" s="1">
        <f t="shared" si="2"/>
        <v>8.6181900000000002</v>
      </c>
      <c r="M61" s="1">
        <f t="shared" si="3"/>
        <v>2.1179050000000004</v>
      </c>
      <c r="N61" s="3">
        <f t="shared" si="4"/>
        <v>0.24574823715884661</v>
      </c>
    </row>
    <row r="62" spans="1:14" x14ac:dyDescent="0.4">
      <c r="A62">
        <v>1469.8611800000001</v>
      </c>
      <c r="B62" s="1">
        <v>2.0005099999999998</v>
      </c>
      <c r="D62">
        <v>1469.8611800000001</v>
      </c>
      <c r="E62" s="1">
        <v>17.139199999999999</v>
      </c>
      <c r="G62">
        <v>1469.8611800000001</v>
      </c>
      <c r="H62" s="1">
        <v>7.6920999999999999</v>
      </c>
      <c r="J62">
        <f t="shared" si="0"/>
        <v>1469.8611800000001</v>
      </c>
      <c r="K62">
        <f t="shared" si="1"/>
        <v>9.5698549999999987</v>
      </c>
      <c r="L62" s="1">
        <f t="shared" si="2"/>
        <v>7.6920999999999999</v>
      </c>
      <c r="M62" s="1">
        <f t="shared" si="3"/>
        <v>1.8777549999999987</v>
      </c>
      <c r="N62" s="3">
        <f t="shared" si="4"/>
        <v>0.24411474109800949</v>
      </c>
    </row>
    <row r="63" spans="1:14" x14ac:dyDescent="0.4">
      <c r="A63">
        <v>1472.1638600000001</v>
      </c>
      <c r="B63" s="1">
        <v>1.8040700000000001</v>
      </c>
      <c r="D63">
        <v>1472.1638600000001</v>
      </c>
      <c r="E63" s="1">
        <v>15.2477</v>
      </c>
      <c r="G63">
        <v>1472.1638600000001</v>
      </c>
      <c r="H63" s="1">
        <v>6.8667999999999996</v>
      </c>
      <c r="J63">
        <f t="shared" si="0"/>
        <v>1472.1638600000001</v>
      </c>
      <c r="K63">
        <f t="shared" si="1"/>
        <v>8.5258850000000006</v>
      </c>
      <c r="L63" s="1">
        <f t="shared" si="2"/>
        <v>6.8667999999999996</v>
      </c>
      <c r="M63" s="1">
        <f t="shared" si="3"/>
        <v>1.659085000000001</v>
      </c>
      <c r="N63" s="3">
        <f t="shared" si="4"/>
        <v>0.24160962893924406</v>
      </c>
    </row>
    <row r="64" spans="1:14" x14ac:dyDescent="0.4">
      <c r="A64">
        <v>1474.4665500000001</v>
      </c>
      <c r="B64" s="1">
        <v>1.63184</v>
      </c>
      <c r="D64">
        <v>1474.4665500000001</v>
      </c>
      <c r="E64" s="1">
        <v>13.5603</v>
      </c>
      <c r="G64">
        <v>1474.4665500000001</v>
      </c>
      <c r="H64" s="1">
        <v>6.1323699999999999</v>
      </c>
      <c r="J64">
        <f t="shared" si="0"/>
        <v>1474.4665500000001</v>
      </c>
      <c r="K64">
        <f t="shared" si="1"/>
        <v>7.5960700000000001</v>
      </c>
      <c r="L64" s="1">
        <f t="shared" si="2"/>
        <v>6.1323699999999999</v>
      </c>
      <c r="M64" s="1">
        <f t="shared" si="3"/>
        <v>1.4637000000000002</v>
      </c>
      <c r="N64" s="3">
        <f t="shared" si="4"/>
        <v>0.23868422812061246</v>
      </c>
    </row>
    <row r="65" spans="1:14" x14ac:dyDescent="0.4">
      <c r="A65">
        <v>1476.7692400000001</v>
      </c>
      <c r="B65" s="1">
        <v>1.4808399999999999</v>
      </c>
      <c r="D65">
        <v>1476.7692400000001</v>
      </c>
      <c r="E65" s="1">
        <v>12.069599999999999</v>
      </c>
      <c r="G65">
        <v>1476.7692400000001</v>
      </c>
      <c r="H65" s="1">
        <v>5.4839599999999997</v>
      </c>
      <c r="J65">
        <f t="shared" si="0"/>
        <v>1476.7692400000001</v>
      </c>
      <c r="K65">
        <f t="shared" si="1"/>
        <v>6.77522</v>
      </c>
      <c r="L65" s="1">
        <f t="shared" si="2"/>
        <v>5.4839599999999997</v>
      </c>
      <c r="M65" s="1">
        <f t="shared" si="3"/>
        <v>1.2912600000000003</v>
      </c>
      <c r="N65" s="3">
        <f t="shared" si="4"/>
        <v>0.23546123604110905</v>
      </c>
    </row>
    <row r="66" spans="1:14" x14ac:dyDescent="0.4">
      <c r="A66">
        <v>1479.0719200000001</v>
      </c>
      <c r="B66" s="1">
        <v>1.34765</v>
      </c>
      <c r="D66">
        <v>1479.0719200000001</v>
      </c>
      <c r="E66" s="1">
        <v>10.757199999999999</v>
      </c>
      <c r="G66">
        <v>1479.0719200000001</v>
      </c>
      <c r="H66" s="1">
        <v>4.9125300000000003</v>
      </c>
      <c r="J66">
        <f t="shared" si="0"/>
        <v>1479.0719200000001</v>
      </c>
      <c r="K66">
        <f t="shared" si="1"/>
        <v>6.0524249999999995</v>
      </c>
      <c r="L66" s="1">
        <f t="shared" si="2"/>
        <v>4.9125300000000003</v>
      </c>
      <c r="M66" s="1">
        <f t="shared" si="3"/>
        <v>1.1398949999999992</v>
      </c>
      <c r="N66" s="3">
        <f t="shared" si="4"/>
        <v>0.23203827762883875</v>
      </c>
    </row>
    <row r="67" spans="1:14" x14ac:dyDescent="0.4">
      <c r="A67">
        <v>1481.3746100000001</v>
      </c>
      <c r="B67" s="1">
        <v>1.2290700000000001</v>
      </c>
      <c r="D67">
        <v>1481.3746100000001</v>
      </c>
      <c r="E67" s="1">
        <v>9.6042299999999994</v>
      </c>
      <c r="G67">
        <v>1481.3746100000001</v>
      </c>
      <c r="H67" s="1">
        <v>4.4087899999999998</v>
      </c>
      <c r="J67">
        <f t="shared" ref="J67:J97" si="5">G67</f>
        <v>1481.3746100000001</v>
      </c>
      <c r="K67">
        <f t="shared" ref="K67:K97" si="6">(B67+E67)/2</f>
        <v>5.4166499999999997</v>
      </c>
      <c r="L67" s="1">
        <f t="shared" ref="L67:L97" si="7">H67</f>
        <v>4.4087899999999998</v>
      </c>
      <c r="M67" s="1">
        <f t="shared" ref="M67:M97" si="8">K67-L67</f>
        <v>1.00786</v>
      </c>
      <c r="N67" s="3">
        <f t="shared" ref="N67:N97" si="9">M67/L67</f>
        <v>0.22860240564871542</v>
      </c>
    </row>
    <row r="68" spans="1:14" x14ac:dyDescent="0.4">
      <c r="A68">
        <v>1483.6773000000001</v>
      </c>
      <c r="B68" s="1">
        <v>1.1212800000000001</v>
      </c>
      <c r="D68">
        <v>1483.6773000000001</v>
      </c>
      <c r="E68" s="1">
        <v>8.5912100000000002</v>
      </c>
      <c r="G68">
        <v>1483.6773000000001</v>
      </c>
      <c r="H68" s="1">
        <v>3.9626399999999999</v>
      </c>
      <c r="J68">
        <f t="shared" si="5"/>
        <v>1483.6773000000001</v>
      </c>
      <c r="K68">
        <f t="shared" si="6"/>
        <v>4.8562450000000004</v>
      </c>
      <c r="L68" s="1">
        <f t="shared" si="7"/>
        <v>3.9626399999999999</v>
      </c>
      <c r="M68" s="1">
        <f t="shared" si="8"/>
        <v>0.89360500000000043</v>
      </c>
      <c r="N68" s="3">
        <f t="shared" si="9"/>
        <v>0.22550748995619094</v>
      </c>
    </row>
    <row r="69" spans="1:14" x14ac:dyDescent="0.4">
      <c r="A69">
        <v>1485.9799800000001</v>
      </c>
      <c r="B69" s="1">
        <v>1.0234300000000001</v>
      </c>
      <c r="D69">
        <v>1485.9799800000001</v>
      </c>
      <c r="E69" s="1">
        <v>7.7016200000000001</v>
      </c>
      <c r="G69">
        <v>1485.9799800000001</v>
      </c>
      <c r="H69" s="1">
        <v>3.5676999999999999</v>
      </c>
      <c r="J69">
        <f t="shared" si="5"/>
        <v>1485.9799800000001</v>
      </c>
      <c r="K69">
        <f t="shared" si="6"/>
        <v>4.3625249999999998</v>
      </c>
      <c r="L69" s="1">
        <f t="shared" si="7"/>
        <v>3.5676999999999999</v>
      </c>
      <c r="M69" s="1">
        <f t="shared" si="8"/>
        <v>0.79482499999999989</v>
      </c>
      <c r="N69" s="3">
        <f t="shared" si="9"/>
        <v>0.22278358606385062</v>
      </c>
    </row>
    <row r="70" spans="1:14" x14ac:dyDescent="0.4">
      <c r="A70">
        <v>1488.2826700000001</v>
      </c>
      <c r="B70" s="1">
        <v>0.93399200000000004</v>
      </c>
      <c r="D70">
        <v>1488.2826700000001</v>
      </c>
      <c r="E70" s="1">
        <v>6.9208600000000002</v>
      </c>
      <c r="G70">
        <v>1488.2826700000001</v>
      </c>
      <c r="H70" s="1">
        <v>3.2175799999999999</v>
      </c>
      <c r="J70">
        <f t="shared" si="5"/>
        <v>1488.2826700000001</v>
      </c>
      <c r="K70">
        <f t="shared" si="6"/>
        <v>3.9274260000000001</v>
      </c>
      <c r="L70" s="1">
        <f t="shared" si="7"/>
        <v>3.2175799999999999</v>
      </c>
      <c r="M70" s="1">
        <f t="shared" si="8"/>
        <v>0.7098460000000002</v>
      </c>
      <c r="N70" s="3">
        <f t="shared" si="9"/>
        <v>0.22061487204669356</v>
      </c>
    </row>
    <row r="71" spans="1:14" x14ac:dyDescent="0.4">
      <c r="A71">
        <v>1490.5853500000001</v>
      </c>
      <c r="B71" s="1">
        <v>0.85277000000000003</v>
      </c>
      <c r="D71">
        <v>1490.5853500000001</v>
      </c>
      <c r="E71" s="1">
        <v>6.2370599999999996</v>
      </c>
      <c r="G71">
        <v>1490.5853500000001</v>
      </c>
      <c r="H71" s="1">
        <v>2.90795</v>
      </c>
      <c r="J71">
        <f t="shared" si="5"/>
        <v>1490.5853500000001</v>
      </c>
      <c r="K71">
        <f t="shared" si="6"/>
        <v>3.5449149999999996</v>
      </c>
      <c r="L71" s="1">
        <f t="shared" si="7"/>
        <v>2.90795</v>
      </c>
      <c r="M71" s="1">
        <f t="shared" si="8"/>
        <v>0.63696499999999956</v>
      </c>
      <c r="N71" s="3">
        <f t="shared" si="9"/>
        <v>0.21904262452930742</v>
      </c>
    </row>
    <row r="72" spans="1:14" x14ac:dyDescent="0.4">
      <c r="A72">
        <v>1492.88804</v>
      </c>
      <c r="B72" s="1">
        <v>0.78252200000000005</v>
      </c>
      <c r="D72">
        <v>1492.88804</v>
      </c>
      <c r="E72" s="1">
        <v>5.6375599999999997</v>
      </c>
      <c r="G72">
        <v>1492.88804</v>
      </c>
      <c r="H72" s="1">
        <v>2.6368999999999998</v>
      </c>
      <c r="J72">
        <f t="shared" si="5"/>
        <v>1492.88804</v>
      </c>
      <c r="K72">
        <f t="shared" si="6"/>
        <v>3.2100409999999999</v>
      </c>
      <c r="L72" s="1">
        <f t="shared" si="7"/>
        <v>2.6368999999999998</v>
      </c>
      <c r="M72" s="1">
        <f t="shared" si="8"/>
        <v>0.57314100000000012</v>
      </c>
      <c r="N72" s="3">
        <f t="shared" si="9"/>
        <v>0.21735409002995948</v>
      </c>
    </row>
    <row r="73" spans="1:14" x14ac:dyDescent="0.4">
      <c r="A73">
        <v>1495.19073</v>
      </c>
      <c r="B73" s="1">
        <v>0.72716099999999995</v>
      </c>
      <c r="D73">
        <v>1495.19073</v>
      </c>
      <c r="E73" s="1">
        <v>5.1163699999999999</v>
      </c>
      <c r="G73">
        <v>1495.19073</v>
      </c>
      <c r="H73" s="1">
        <v>2.4055900000000001</v>
      </c>
      <c r="J73">
        <f t="shared" si="5"/>
        <v>1495.19073</v>
      </c>
      <c r="K73">
        <f t="shared" si="6"/>
        <v>2.9217654999999998</v>
      </c>
      <c r="L73" s="1">
        <f t="shared" si="7"/>
        <v>2.4055900000000001</v>
      </c>
      <c r="M73" s="1">
        <f t="shared" si="8"/>
        <v>0.51617549999999968</v>
      </c>
      <c r="N73" s="3">
        <f t="shared" si="9"/>
        <v>0.21457334791049168</v>
      </c>
    </row>
    <row r="74" spans="1:14" x14ac:dyDescent="0.4">
      <c r="A74">
        <v>1497.49341</v>
      </c>
      <c r="B74" s="1">
        <v>0.67625000000000002</v>
      </c>
      <c r="D74">
        <v>1497.49341</v>
      </c>
      <c r="E74" s="1">
        <v>4.6647400000000001</v>
      </c>
      <c r="G74">
        <v>1497.49341</v>
      </c>
      <c r="H74" s="1">
        <v>2.2015899999999999</v>
      </c>
      <c r="J74">
        <f t="shared" si="5"/>
        <v>1497.49341</v>
      </c>
      <c r="K74">
        <f t="shared" si="6"/>
        <v>2.6704949999999998</v>
      </c>
      <c r="L74" s="1">
        <f t="shared" si="7"/>
        <v>2.2015899999999999</v>
      </c>
      <c r="M74" s="1">
        <f t="shared" si="8"/>
        <v>0.46890499999999991</v>
      </c>
      <c r="N74" s="3">
        <f t="shared" si="9"/>
        <v>0.21298470650756948</v>
      </c>
    </row>
    <row r="75" spans="1:14" x14ac:dyDescent="0.4">
      <c r="A75">
        <v>1499.7961</v>
      </c>
      <c r="B75" s="1">
        <v>0.62822900000000004</v>
      </c>
      <c r="D75">
        <v>1499.7961</v>
      </c>
      <c r="E75" s="1">
        <v>4.2684300000000004</v>
      </c>
      <c r="G75">
        <v>1499.7961</v>
      </c>
      <c r="H75" s="1">
        <v>2.0186299999999999</v>
      </c>
      <c r="J75">
        <f t="shared" si="5"/>
        <v>1499.7961</v>
      </c>
      <c r="K75">
        <f t="shared" si="6"/>
        <v>2.4483295000000003</v>
      </c>
      <c r="L75" s="1">
        <f t="shared" si="7"/>
        <v>2.0186299999999999</v>
      </c>
      <c r="M75" s="1">
        <f t="shared" si="8"/>
        <v>0.42969950000000035</v>
      </c>
      <c r="N75" s="3">
        <f t="shared" si="9"/>
        <v>0.21286689487424656</v>
      </c>
    </row>
    <row r="76" spans="1:14" x14ac:dyDescent="0.4">
      <c r="A76">
        <v>1502.09879</v>
      </c>
      <c r="B76" s="1">
        <v>0.58406100000000005</v>
      </c>
      <c r="D76">
        <v>1502.09879</v>
      </c>
      <c r="E76" s="1">
        <v>3.9086099999999999</v>
      </c>
      <c r="G76">
        <v>1502.09879</v>
      </c>
      <c r="H76" s="1">
        <v>1.85104</v>
      </c>
      <c r="J76">
        <f t="shared" si="5"/>
        <v>1502.09879</v>
      </c>
      <c r="K76">
        <f t="shared" si="6"/>
        <v>2.2463354999999998</v>
      </c>
      <c r="L76" s="1">
        <f t="shared" si="7"/>
        <v>1.85104</v>
      </c>
      <c r="M76" s="1">
        <f t="shared" si="8"/>
        <v>0.3952954999999998</v>
      </c>
      <c r="N76" s="3">
        <f t="shared" si="9"/>
        <v>0.21355319171924961</v>
      </c>
    </row>
    <row r="77" spans="1:14" x14ac:dyDescent="0.4">
      <c r="A77">
        <v>1504.40147</v>
      </c>
      <c r="B77" s="1">
        <v>0.54841799999999996</v>
      </c>
      <c r="D77">
        <v>1504.40147</v>
      </c>
      <c r="E77" s="1">
        <v>3.5916700000000001</v>
      </c>
      <c r="G77">
        <v>1504.40147</v>
      </c>
      <c r="H77" s="1">
        <v>1.7045399999999999</v>
      </c>
      <c r="J77">
        <f t="shared" si="5"/>
        <v>1504.40147</v>
      </c>
      <c r="K77">
        <f t="shared" si="6"/>
        <v>2.0700440000000002</v>
      </c>
      <c r="L77" s="1">
        <f t="shared" si="7"/>
        <v>1.7045399999999999</v>
      </c>
      <c r="M77" s="1">
        <f t="shared" si="8"/>
        <v>0.36550400000000027</v>
      </c>
      <c r="N77" s="3">
        <f t="shared" si="9"/>
        <v>0.21442969950837193</v>
      </c>
    </row>
    <row r="78" spans="1:14" x14ac:dyDescent="0.4">
      <c r="A78">
        <v>1506.70416</v>
      </c>
      <c r="B78" s="1">
        <v>0.52337500000000003</v>
      </c>
      <c r="D78">
        <v>1506.70416</v>
      </c>
      <c r="E78" s="1">
        <v>3.3150900000000001</v>
      </c>
      <c r="G78">
        <v>1506.70416</v>
      </c>
      <c r="H78" s="1">
        <v>1.57931</v>
      </c>
      <c r="J78">
        <f t="shared" si="5"/>
        <v>1506.70416</v>
      </c>
      <c r="K78">
        <f t="shared" si="6"/>
        <v>1.9192325000000001</v>
      </c>
      <c r="L78" s="1">
        <f t="shared" si="7"/>
        <v>1.57931</v>
      </c>
      <c r="M78" s="1">
        <f t="shared" si="8"/>
        <v>0.33992250000000013</v>
      </c>
      <c r="N78" s="3">
        <f t="shared" si="9"/>
        <v>0.21523481773685985</v>
      </c>
    </row>
    <row r="79" spans="1:14" x14ac:dyDescent="0.4">
      <c r="A79">
        <v>1509.00684</v>
      </c>
      <c r="B79" s="1">
        <v>0.50961999999999996</v>
      </c>
      <c r="D79">
        <v>1509.00684</v>
      </c>
      <c r="E79" s="1">
        <v>3.0765500000000001</v>
      </c>
      <c r="G79">
        <v>1509.00684</v>
      </c>
      <c r="H79" s="1">
        <v>1.4740899999999999</v>
      </c>
      <c r="J79">
        <f t="shared" si="5"/>
        <v>1509.00684</v>
      </c>
      <c r="K79">
        <f t="shared" si="6"/>
        <v>1.793085</v>
      </c>
      <c r="L79" s="1">
        <f t="shared" si="7"/>
        <v>1.4740899999999999</v>
      </c>
      <c r="M79" s="1">
        <f t="shared" si="8"/>
        <v>0.31899500000000014</v>
      </c>
      <c r="N79" s="3">
        <f t="shared" si="9"/>
        <v>0.21640130521202922</v>
      </c>
    </row>
    <row r="80" spans="1:14" x14ac:dyDescent="0.4">
      <c r="A80">
        <v>1511.30953</v>
      </c>
      <c r="B80" s="1">
        <v>0.50942799999999999</v>
      </c>
      <c r="D80">
        <v>1511.30953</v>
      </c>
      <c r="E80" s="1">
        <v>2.8628999999999998</v>
      </c>
      <c r="G80">
        <v>1511.30953</v>
      </c>
      <c r="H80" s="1">
        <v>1.3848100000000001</v>
      </c>
      <c r="J80">
        <f t="shared" si="5"/>
        <v>1511.30953</v>
      </c>
      <c r="K80">
        <f t="shared" si="6"/>
        <v>1.6861639999999998</v>
      </c>
      <c r="L80" s="1">
        <f t="shared" si="7"/>
        <v>1.3848100000000001</v>
      </c>
      <c r="M80" s="1">
        <f t="shared" si="8"/>
        <v>0.30135399999999968</v>
      </c>
      <c r="N80" s="3">
        <f t="shared" si="9"/>
        <v>0.21761396870328756</v>
      </c>
    </row>
    <row r="81" spans="1:14" x14ac:dyDescent="0.4">
      <c r="A81">
        <v>1513.61222</v>
      </c>
      <c r="B81" s="1">
        <v>0.52043300000000003</v>
      </c>
      <c r="D81">
        <v>1513.61222</v>
      </c>
      <c r="E81" s="1">
        <v>2.6778300000000002</v>
      </c>
      <c r="G81">
        <v>1513.61222</v>
      </c>
      <c r="H81" s="1">
        <v>1.3141099999999999</v>
      </c>
      <c r="J81">
        <f t="shared" si="5"/>
        <v>1513.61222</v>
      </c>
      <c r="K81">
        <f t="shared" si="6"/>
        <v>1.5991315000000002</v>
      </c>
      <c r="L81" s="1">
        <f t="shared" si="7"/>
        <v>1.3141099999999999</v>
      </c>
      <c r="M81" s="1">
        <f t="shared" si="8"/>
        <v>0.28502150000000026</v>
      </c>
      <c r="N81" s="3">
        <f t="shared" si="9"/>
        <v>0.21689318245808972</v>
      </c>
    </row>
    <row r="82" spans="1:14" x14ac:dyDescent="0.4">
      <c r="A82">
        <v>1515.9149</v>
      </c>
      <c r="B82" s="1">
        <v>0.51993299999999998</v>
      </c>
      <c r="D82">
        <v>1515.9149</v>
      </c>
      <c r="E82" s="1">
        <v>2.5030999999999999</v>
      </c>
      <c r="G82">
        <v>1515.9149</v>
      </c>
      <c r="H82" s="1">
        <v>1.2424900000000001</v>
      </c>
      <c r="J82">
        <f t="shared" si="5"/>
        <v>1515.9149</v>
      </c>
      <c r="K82">
        <f t="shared" si="6"/>
        <v>1.5115164999999999</v>
      </c>
      <c r="L82" s="1">
        <f t="shared" si="7"/>
        <v>1.2424900000000001</v>
      </c>
      <c r="M82" s="1">
        <f t="shared" si="8"/>
        <v>0.26902649999999984</v>
      </c>
      <c r="N82" s="3">
        <f t="shared" si="9"/>
        <v>0.21652206456389977</v>
      </c>
    </row>
    <row r="83" spans="1:14" x14ac:dyDescent="0.4">
      <c r="A83">
        <v>1518.21759</v>
      </c>
      <c r="B83" s="1">
        <v>0.486564</v>
      </c>
      <c r="D83">
        <v>1518.21759</v>
      </c>
      <c r="E83" s="1">
        <v>2.3121499999999999</v>
      </c>
      <c r="G83">
        <v>1518.21759</v>
      </c>
      <c r="H83" s="1">
        <v>1.14859</v>
      </c>
      <c r="J83">
        <f t="shared" si="5"/>
        <v>1518.21759</v>
      </c>
      <c r="K83">
        <f t="shared" si="6"/>
        <v>1.399357</v>
      </c>
      <c r="L83" s="1">
        <f t="shared" si="7"/>
        <v>1.14859</v>
      </c>
      <c r="M83" s="1">
        <f t="shared" si="8"/>
        <v>0.25076699999999996</v>
      </c>
      <c r="N83" s="3">
        <f t="shared" si="9"/>
        <v>0.21832594746602352</v>
      </c>
    </row>
    <row r="84" spans="1:14" x14ac:dyDescent="0.4">
      <c r="A84">
        <v>1520.52028</v>
      </c>
      <c r="B84" s="1">
        <v>0.42674099999999998</v>
      </c>
      <c r="D84">
        <v>1520.52028</v>
      </c>
      <c r="E84" s="1">
        <v>2.1143100000000001</v>
      </c>
      <c r="G84">
        <v>1520.52028</v>
      </c>
      <c r="H84" s="1">
        <v>1.0406500000000001</v>
      </c>
      <c r="J84">
        <f t="shared" si="5"/>
        <v>1520.52028</v>
      </c>
      <c r="K84">
        <f t="shared" si="6"/>
        <v>1.2705255</v>
      </c>
      <c r="L84" s="1">
        <f t="shared" si="7"/>
        <v>1.0406500000000001</v>
      </c>
      <c r="M84" s="1">
        <f t="shared" si="8"/>
        <v>0.2298754999999999</v>
      </c>
      <c r="N84" s="3">
        <f t="shared" si="9"/>
        <v>0.22089607456877902</v>
      </c>
    </row>
    <row r="85" spans="1:14" x14ac:dyDescent="0.4">
      <c r="A85">
        <v>1522.82296</v>
      </c>
      <c r="B85" s="1">
        <v>0.37099700000000002</v>
      </c>
      <c r="D85">
        <v>1522.82296</v>
      </c>
      <c r="E85" s="1">
        <v>1.9337500000000001</v>
      </c>
      <c r="G85">
        <v>1522.82296</v>
      </c>
      <c r="H85" s="1">
        <v>0.94295499999999999</v>
      </c>
      <c r="J85">
        <f t="shared" si="5"/>
        <v>1522.82296</v>
      </c>
      <c r="K85">
        <f t="shared" si="6"/>
        <v>1.1523734999999999</v>
      </c>
      <c r="L85" s="1">
        <f t="shared" si="7"/>
        <v>0.94295499999999999</v>
      </c>
      <c r="M85" s="1">
        <f t="shared" si="8"/>
        <v>0.20941849999999995</v>
      </c>
      <c r="N85" s="3">
        <f t="shared" si="9"/>
        <v>0.22208748031454306</v>
      </c>
    </row>
    <row r="86" spans="1:14" x14ac:dyDescent="0.4">
      <c r="A86">
        <v>1525.12565</v>
      </c>
      <c r="B86" s="1">
        <v>0.32202700000000001</v>
      </c>
      <c r="D86">
        <v>1525.12565</v>
      </c>
      <c r="E86" s="1">
        <v>1.7699499999999999</v>
      </c>
      <c r="G86">
        <v>1525.12565</v>
      </c>
      <c r="H86" s="1">
        <v>0.85423000000000004</v>
      </c>
      <c r="J86">
        <f t="shared" si="5"/>
        <v>1525.12565</v>
      </c>
      <c r="K86">
        <f t="shared" si="6"/>
        <v>1.0459885</v>
      </c>
      <c r="L86" s="1">
        <f t="shared" si="7"/>
        <v>0.85423000000000004</v>
      </c>
      <c r="M86" s="1">
        <f t="shared" si="8"/>
        <v>0.19175849999999994</v>
      </c>
      <c r="N86" s="3">
        <f t="shared" si="9"/>
        <v>0.22448111164440482</v>
      </c>
    </row>
    <row r="87" spans="1:14" x14ac:dyDescent="0.4">
      <c r="A87">
        <v>1527.42833</v>
      </c>
      <c r="B87" s="1">
        <v>0.28207100000000002</v>
      </c>
      <c r="D87">
        <v>1527.42833</v>
      </c>
      <c r="E87" s="1">
        <v>1.6244700000000001</v>
      </c>
      <c r="G87">
        <v>1527.42833</v>
      </c>
      <c r="H87" s="1">
        <v>0.77692499999999998</v>
      </c>
      <c r="J87">
        <f t="shared" si="5"/>
        <v>1527.42833</v>
      </c>
      <c r="K87">
        <f t="shared" si="6"/>
        <v>0.95327050000000002</v>
      </c>
      <c r="L87" s="1">
        <f t="shared" si="7"/>
        <v>0.77692499999999998</v>
      </c>
      <c r="M87" s="1">
        <f t="shared" si="8"/>
        <v>0.17634550000000004</v>
      </c>
      <c r="N87" s="3">
        <f t="shared" si="9"/>
        <v>0.22697879460694412</v>
      </c>
    </row>
    <row r="88" spans="1:14" x14ac:dyDescent="0.4">
      <c r="A88">
        <v>1529.7310199999999</v>
      </c>
      <c r="B88" s="1">
        <v>0.25037799999999999</v>
      </c>
      <c r="D88">
        <v>1529.7310199999999</v>
      </c>
      <c r="E88" s="1">
        <v>1.4924500000000001</v>
      </c>
      <c r="G88">
        <v>1529.7310199999999</v>
      </c>
      <c r="H88" s="1">
        <v>0.709036</v>
      </c>
      <c r="J88">
        <f t="shared" si="5"/>
        <v>1529.7310199999999</v>
      </c>
      <c r="K88">
        <f t="shared" si="6"/>
        <v>0.87141400000000002</v>
      </c>
      <c r="L88" s="1">
        <f t="shared" si="7"/>
        <v>0.709036</v>
      </c>
      <c r="M88" s="1">
        <f t="shared" si="8"/>
        <v>0.16237800000000002</v>
      </c>
      <c r="N88" s="3">
        <f t="shared" si="9"/>
        <v>0.22901234916139662</v>
      </c>
    </row>
    <row r="89" spans="1:14" x14ac:dyDescent="0.4">
      <c r="A89">
        <v>1532.0337099999999</v>
      </c>
      <c r="B89" s="1">
        <v>0.22477800000000001</v>
      </c>
      <c r="D89">
        <v>1532.0337099999999</v>
      </c>
      <c r="E89" s="1">
        <v>1.3789800000000001</v>
      </c>
      <c r="G89">
        <v>1532.0337099999999</v>
      </c>
      <c r="H89" s="1">
        <v>0.65113299999999996</v>
      </c>
      <c r="J89">
        <f t="shared" si="5"/>
        <v>1532.0337099999999</v>
      </c>
      <c r="K89">
        <f t="shared" si="6"/>
        <v>0.80187900000000001</v>
      </c>
      <c r="L89" s="1">
        <f t="shared" si="7"/>
        <v>0.65113299999999996</v>
      </c>
      <c r="M89" s="1">
        <f t="shared" si="8"/>
        <v>0.15074600000000005</v>
      </c>
      <c r="N89" s="3">
        <f t="shared" si="9"/>
        <v>0.23151337745130421</v>
      </c>
    </row>
    <row r="90" spans="1:14" x14ac:dyDescent="0.4">
      <c r="A90">
        <v>1534.3363899999999</v>
      </c>
      <c r="B90" s="1">
        <v>0.203843</v>
      </c>
      <c r="D90">
        <v>1534.3363899999999</v>
      </c>
      <c r="E90" s="1">
        <v>1.27789</v>
      </c>
      <c r="G90">
        <v>1534.3363899999999</v>
      </c>
      <c r="H90" s="1">
        <v>0.60036699999999998</v>
      </c>
      <c r="J90">
        <f t="shared" si="5"/>
        <v>1534.3363899999999</v>
      </c>
      <c r="K90">
        <f t="shared" si="6"/>
        <v>0.74086649999999998</v>
      </c>
      <c r="L90" s="1">
        <f t="shared" si="7"/>
        <v>0.60036699999999998</v>
      </c>
      <c r="M90" s="1">
        <f t="shared" si="8"/>
        <v>0.1404995</v>
      </c>
      <c r="N90" s="3">
        <f t="shared" si="9"/>
        <v>0.23402268945495006</v>
      </c>
    </row>
    <row r="91" spans="1:14" x14ac:dyDescent="0.4">
      <c r="A91">
        <v>1536.6390799999999</v>
      </c>
      <c r="B91" s="1">
        <v>0.186248</v>
      </c>
      <c r="D91">
        <v>1536.6390799999999</v>
      </c>
      <c r="E91" s="1">
        <v>1.18127</v>
      </c>
      <c r="G91">
        <v>1536.6390799999999</v>
      </c>
      <c r="H91" s="1">
        <v>0.55338600000000004</v>
      </c>
      <c r="J91">
        <f t="shared" si="5"/>
        <v>1536.6390799999999</v>
      </c>
      <c r="K91">
        <f t="shared" si="6"/>
        <v>0.68375900000000001</v>
      </c>
      <c r="L91" s="1">
        <f t="shared" si="7"/>
        <v>0.55338600000000004</v>
      </c>
      <c r="M91" s="1">
        <f t="shared" si="8"/>
        <v>0.13037299999999996</v>
      </c>
      <c r="N91" s="3">
        <f t="shared" si="9"/>
        <v>0.2355914316589143</v>
      </c>
    </row>
    <row r="92" spans="1:14" x14ac:dyDescent="0.4">
      <c r="A92">
        <v>1538.9417699999999</v>
      </c>
      <c r="B92" s="1">
        <v>0.17099200000000001</v>
      </c>
      <c r="D92">
        <v>1538.9417699999999</v>
      </c>
      <c r="E92" s="1">
        <v>1.0998699999999999</v>
      </c>
      <c r="G92">
        <v>1538.9417699999999</v>
      </c>
      <c r="H92" s="1">
        <v>0.51316499999999998</v>
      </c>
      <c r="J92">
        <f t="shared" si="5"/>
        <v>1538.9417699999999</v>
      </c>
      <c r="K92">
        <f t="shared" si="6"/>
        <v>0.63543099999999997</v>
      </c>
      <c r="L92" s="1">
        <f t="shared" si="7"/>
        <v>0.51316499999999998</v>
      </c>
      <c r="M92" s="1">
        <f t="shared" si="8"/>
        <v>0.12226599999999999</v>
      </c>
      <c r="N92" s="3">
        <f t="shared" si="9"/>
        <v>0.23825864975202907</v>
      </c>
    </row>
    <row r="93" spans="1:14" x14ac:dyDescent="0.4">
      <c r="A93">
        <v>1541.2444499999999</v>
      </c>
      <c r="B93" s="1">
        <v>0.15737000000000001</v>
      </c>
      <c r="D93">
        <v>1541.2444499999999</v>
      </c>
      <c r="E93" s="1">
        <v>1.0257700000000001</v>
      </c>
      <c r="G93">
        <v>1541.2444499999999</v>
      </c>
      <c r="H93" s="1">
        <v>0.47663899999999998</v>
      </c>
      <c r="J93">
        <f t="shared" si="5"/>
        <v>1541.2444499999999</v>
      </c>
      <c r="K93">
        <f t="shared" si="6"/>
        <v>0.59157000000000004</v>
      </c>
      <c r="L93" s="1">
        <f t="shared" si="7"/>
        <v>0.47663899999999998</v>
      </c>
      <c r="M93" s="1">
        <f t="shared" si="8"/>
        <v>0.11493100000000006</v>
      </c>
      <c r="N93" s="3">
        <f t="shared" si="9"/>
        <v>0.24112798155417425</v>
      </c>
    </row>
    <row r="94" spans="1:14" x14ac:dyDescent="0.4">
      <c r="A94">
        <v>1543.5471399999999</v>
      </c>
      <c r="B94" s="1">
        <v>0.14511299999999999</v>
      </c>
      <c r="D94">
        <v>1543.5471399999999</v>
      </c>
      <c r="E94" s="1">
        <v>0.95852800000000005</v>
      </c>
      <c r="G94">
        <v>1543.5471399999999</v>
      </c>
      <c r="H94" s="1">
        <v>0.44351800000000002</v>
      </c>
      <c r="J94">
        <f t="shared" si="5"/>
        <v>1543.5471399999999</v>
      </c>
      <c r="K94">
        <f t="shared" si="6"/>
        <v>0.55182050000000005</v>
      </c>
      <c r="L94" s="1">
        <f t="shared" si="7"/>
        <v>0.44351800000000002</v>
      </c>
      <c r="M94" s="1">
        <f t="shared" si="8"/>
        <v>0.10830250000000002</v>
      </c>
      <c r="N94" s="3">
        <f t="shared" si="9"/>
        <v>0.24418963830103854</v>
      </c>
    </row>
    <row r="95" spans="1:14" x14ac:dyDescent="0.4">
      <c r="A95">
        <v>1545.8498300000001</v>
      </c>
      <c r="B95" s="1">
        <v>0.133879</v>
      </c>
      <c r="D95">
        <v>1545.8498300000001</v>
      </c>
      <c r="E95" s="1">
        <v>0.89709799999999995</v>
      </c>
      <c r="G95">
        <v>1545.8498300000001</v>
      </c>
      <c r="H95" s="1">
        <v>0.41315400000000002</v>
      </c>
      <c r="J95">
        <f t="shared" si="5"/>
        <v>1545.8498300000001</v>
      </c>
      <c r="K95">
        <f t="shared" si="6"/>
        <v>0.51548850000000002</v>
      </c>
      <c r="L95" s="1">
        <f t="shared" si="7"/>
        <v>0.41315400000000002</v>
      </c>
      <c r="M95" s="1">
        <f t="shared" si="8"/>
        <v>0.10233449999999999</v>
      </c>
      <c r="N95" s="3">
        <f t="shared" si="9"/>
        <v>0.2476909336470178</v>
      </c>
    </row>
    <row r="96" spans="1:14" x14ac:dyDescent="0.4">
      <c r="A96">
        <v>1548.1525099999999</v>
      </c>
      <c r="B96" s="1">
        <v>0.12395399999999999</v>
      </c>
      <c r="D96">
        <v>1548.1525099999999</v>
      </c>
      <c r="E96" s="1">
        <v>0.84109</v>
      </c>
      <c r="G96">
        <v>1548.1525099999999</v>
      </c>
      <c r="H96" s="1">
        <v>0.38560299999999997</v>
      </c>
      <c r="J96">
        <f t="shared" si="5"/>
        <v>1548.1525099999999</v>
      </c>
      <c r="K96">
        <f t="shared" si="6"/>
        <v>0.48252200000000001</v>
      </c>
      <c r="L96" s="1">
        <f t="shared" si="7"/>
        <v>0.38560299999999997</v>
      </c>
      <c r="M96" s="1">
        <f t="shared" si="8"/>
        <v>9.6919000000000033E-2</v>
      </c>
      <c r="N96" s="3">
        <f t="shared" si="9"/>
        <v>0.25134399887967684</v>
      </c>
    </row>
    <row r="97" spans="1:14" x14ac:dyDescent="0.4">
      <c r="A97">
        <v>1550.4552000000001</v>
      </c>
      <c r="B97" s="1">
        <v>0.11448999999999999</v>
      </c>
      <c r="D97">
        <v>1550.4552000000001</v>
      </c>
      <c r="E97" s="1">
        <v>0.78898699999999999</v>
      </c>
      <c r="G97">
        <v>1550.4552000000001</v>
      </c>
      <c r="H97" s="1">
        <v>0.36003000000000002</v>
      </c>
      <c r="J97">
        <f t="shared" si="5"/>
        <v>1550.4552000000001</v>
      </c>
      <c r="K97">
        <f t="shared" si="6"/>
        <v>0.45173849999999999</v>
      </c>
      <c r="L97" s="1">
        <f t="shared" si="7"/>
        <v>0.36003000000000002</v>
      </c>
      <c r="M97" s="1">
        <f t="shared" si="8"/>
        <v>9.1708499999999971E-2</v>
      </c>
      <c r="N97" s="3">
        <f t="shared" si="9"/>
        <v>0.25472460628280968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Views>
    <sheetView zoomScale="60" zoomScaleNormal="60" workbookViewId="0">
      <selection activeCell="U111" sqref="U111"/>
    </sheetView>
  </sheetViews>
  <sheetFormatPr defaultRowHeight="18.75" x14ac:dyDescent="0.4"/>
  <cols>
    <col min="15" max="15" width="9.25" bestFit="1" customWidth="1"/>
  </cols>
  <sheetData>
    <row r="1" spans="1:15" ht="37.5" x14ac:dyDescent="0.4">
      <c r="A1" t="s">
        <v>0</v>
      </c>
      <c r="D1" t="s">
        <v>1</v>
      </c>
      <c r="G1" t="s">
        <v>2</v>
      </c>
      <c r="K1" s="2" t="s">
        <v>3</v>
      </c>
      <c r="L1" t="s">
        <v>4</v>
      </c>
      <c r="M1" t="s">
        <v>5</v>
      </c>
    </row>
    <row r="2" spans="1:15" x14ac:dyDescent="0.4">
      <c r="A2">
        <v>1331.7</v>
      </c>
      <c r="B2" s="1">
        <v>0</v>
      </c>
      <c r="D2">
        <v>1331.7</v>
      </c>
      <c r="E2" s="1">
        <v>0</v>
      </c>
      <c r="G2">
        <v>1331.7</v>
      </c>
      <c r="H2" s="1">
        <v>0</v>
      </c>
      <c r="J2">
        <f>G2</f>
        <v>1331.7</v>
      </c>
      <c r="K2">
        <f>(B2+E2)/2</f>
        <v>0</v>
      </c>
      <c r="L2" s="1">
        <f>H2</f>
        <v>0</v>
      </c>
      <c r="M2" s="1">
        <f>K2-L2</f>
        <v>0</v>
      </c>
      <c r="N2" s="3" t="e">
        <f>M2/L2</f>
        <v>#DIV/0!</v>
      </c>
      <c r="O2" s="1">
        <f>E2-B2</f>
        <v>0</v>
      </c>
    </row>
    <row r="3" spans="1:15" x14ac:dyDescent="0.4">
      <c r="A3">
        <v>1334.00269</v>
      </c>
      <c r="B3" s="1">
        <v>0.102976</v>
      </c>
      <c r="D3">
        <v>1334.00269</v>
      </c>
      <c r="E3" s="1">
        <v>0.103877</v>
      </c>
      <c r="G3">
        <v>1334.00269</v>
      </c>
      <c r="H3" s="1">
        <v>0.102946</v>
      </c>
      <c r="J3">
        <f t="shared" ref="J3:J66" si="0">G3</f>
        <v>1334.00269</v>
      </c>
      <c r="K3">
        <f t="shared" ref="K3:K66" si="1">(B3+E3)/2</f>
        <v>0.1034265</v>
      </c>
      <c r="L3" s="1">
        <f t="shared" ref="L3:L66" si="2">H3</f>
        <v>0.102946</v>
      </c>
      <c r="M3" s="1">
        <f t="shared" ref="M3:M66" si="3">K3-L3</f>
        <v>4.805000000000087E-4</v>
      </c>
      <c r="N3" s="3">
        <f t="shared" ref="N3:N66" si="4">M3/L3</f>
        <v>4.6674955802071833E-3</v>
      </c>
      <c r="O3" s="1">
        <f t="shared" ref="O3:O66" si="5">E3-B3</f>
        <v>9.0099999999999902E-4</v>
      </c>
    </row>
    <row r="4" spans="1:15" x14ac:dyDescent="0.4">
      <c r="A4">
        <v>1336.30537</v>
      </c>
      <c r="B4" s="1">
        <v>0.15370400000000001</v>
      </c>
      <c r="D4">
        <v>1336.30537</v>
      </c>
      <c r="E4" s="1">
        <v>0.15868299999999999</v>
      </c>
      <c r="G4">
        <v>1336.30537</v>
      </c>
      <c r="H4" s="1">
        <v>0.155418</v>
      </c>
      <c r="J4">
        <f t="shared" si="0"/>
        <v>1336.30537</v>
      </c>
      <c r="K4">
        <f t="shared" si="1"/>
        <v>0.15619349999999999</v>
      </c>
      <c r="L4" s="1">
        <f t="shared" si="2"/>
        <v>0.155418</v>
      </c>
      <c r="M4" s="1">
        <f t="shared" si="3"/>
        <v>7.7549999999998454E-4</v>
      </c>
      <c r="N4" s="3">
        <f t="shared" si="4"/>
        <v>4.9897695247653716E-3</v>
      </c>
      <c r="O4" s="1">
        <f t="shared" si="5"/>
        <v>4.9789999999999834E-3</v>
      </c>
    </row>
    <row r="5" spans="1:15" x14ac:dyDescent="0.4">
      <c r="A5">
        <v>1338.60806</v>
      </c>
      <c r="B5" s="1">
        <v>0.20058899999999999</v>
      </c>
      <c r="D5">
        <v>1338.60806</v>
      </c>
      <c r="E5" s="1">
        <v>0.21071000000000001</v>
      </c>
      <c r="G5">
        <v>1338.60806</v>
      </c>
      <c r="H5" s="1">
        <v>0.20456199999999999</v>
      </c>
      <c r="J5">
        <f t="shared" si="0"/>
        <v>1338.60806</v>
      </c>
      <c r="K5">
        <f t="shared" si="1"/>
        <v>0.20564949999999999</v>
      </c>
      <c r="L5" s="1">
        <f t="shared" si="2"/>
        <v>0.20456199999999999</v>
      </c>
      <c r="M5" s="1">
        <f t="shared" si="3"/>
        <v>1.0874999999999913E-3</v>
      </c>
      <c r="N5" s="3">
        <f t="shared" si="4"/>
        <v>5.3162366421915666E-3</v>
      </c>
      <c r="O5" s="1">
        <f t="shared" si="5"/>
        <v>1.0121000000000019E-2</v>
      </c>
    </row>
    <row r="6" spans="1:15" x14ac:dyDescent="0.4">
      <c r="A6">
        <v>1340.91075</v>
      </c>
      <c r="B6" s="1">
        <v>0.24766199999999999</v>
      </c>
      <c r="D6">
        <v>1340.91075</v>
      </c>
      <c r="E6" s="1">
        <v>0.26437300000000002</v>
      </c>
      <c r="G6">
        <v>1340.91075</v>
      </c>
      <c r="H6" s="1">
        <v>0.25458900000000001</v>
      </c>
      <c r="J6">
        <f t="shared" si="0"/>
        <v>1340.91075</v>
      </c>
      <c r="K6">
        <f t="shared" si="1"/>
        <v>0.25601750000000001</v>
      </c>
      <c r="L6" s="1">
        <f t="shared" si="2"/>
        <v>0.25458900000000001</v>
      </c>
      <c r="M6" s="1">
        <f t="shared" si="3"/>
        <v>1.4284999999999992E-3</v>
      </c>
      <c r="N6" s="3">
        <f t="shared" si="4"/>
        <v>5.611004403175311E-3</v>
      </c>
      <c r="O6" s="1">
        <f t="shared" si="5"/>
        <v>1.6711000000000031E-2</v>
      </c>
    </row>
    <row r="7" spans="1:15" x14ac:dyDescent="0.4">
      <c r="A7">
        <v>1343.21343</v>
      </c>
      <c r="B7" s="1">
        <v>0.296848</v>
      </c>
      <c r="D7">
        <v>1343.21343</v>
      </c>
      <c r="E7" s="1">
        <v>0.32158900000000001</v>
      </c>
      <c r="G7">
        <v>1343.21343</v>
      </c>
      <c r="H7" s="1">
        <v>0.30740499999999998</v>
      </c>
      <c r="J7">
        <f t="shared" si="0"/>
        <v>1343.21343</v>
      </c>
      <c r="K7">
        <f t="shared" si="1"/>
        <v>0.30921850000000001</v>
      </c>
      <c r="L7" s="1">
        <f t="shared" si="2"/>
        <v>0.30740499999999998</v>
      </c>
      <c r="M7" s="1">
        <f t="shared" si="3"/>
        <v>1.8135000000000234E-3</v>
      </c>
      <c r="N7" s="3">
        <f t="shared" si="4"/>
        <v>5.899383549389319E-3</v>
      </c>
      <c r="O7" s="1">
        <f t="shared" si="5"/>
        <v>2.4741000000000013E-2</v>
      </c>
    </row>
    <row r="8" spans="1:15" x14ac:dyDescent="0.4">
      <c r="A8">
        <v>1345.51612</v>
      </c>
      <c r="B8" s="1">
        <v>0.34923799999999999</v>
      </c>
      <c r="D8">
        <v>1345.51612</v>
      </c>
      <c r="E8" s="1">
        <v>0.38364799999999999</v>
      </c>
      <c r="G8">
        <v>1345.51612</v>
      </c>
      <c r="H8" s="1">
        <v>0.36417899999999997</v>
      </c>
      <c r="J8">
        <f t="shared" si="0"/>
        <v>1345.51612</v>
      </c>
      <c r="K8">
        <f t="shared" si="1"/>
        <v>0.36644299999999996</v>
      </c>
      <c r="L8" s="1">
        <f t="shared" si="2"/>
        <v>0.36417899999999997</v>
      </c>
      <c r="M8" s="1">
        <f t="shared" si="3"/>
        <v>2.2639999999999882E-3</v>
      </c>
      <c r="N8" s="3">
        <f t="shared" si="4"/>
        <v>6.2167230949615121E-3</v>
      </c>
      <c r="O8" s="1">
        <f t="shared" si="5"/>
        <v>3.4409999999999996E-2</v>
      </c>
    </row>
    <row r="9" spans="1:15" x14ac:dyDescent="0.4">
      <c r="A9">
        <v>1347.8188</v>
      </c>
      <c r="B9" s="1">
        <v>0.40626800000000002</v>
      </c>
      <c r="D9">
        <v>1347.8188</v>
      </c>
      <c r="E9" s="1">
        <v>0.45193100000000003</v>
      </c>
      <c r="G9">
        <v>1347.8188</v>
      </c>
      <c r="H9" s="1">
        <v>0.42628700000000003</v>
      </c>
      <c r="J9">
        <f t="shared" si="0"/>
        <v>1347.8188</v>
      </c>
      <c r="K9">
        <f t="shared" si="1"/>
        <v>0.42909950000000002</v>
      </c>
      <c r="L9" s="1">
        <f t="shared" si="2"/>
        <v>0.42628700000000003</v>
      </c>
      <c r="M9" s="1">
        <f t="shared" si="3"/>
        <v>2.8124999999999956E-3</v>
      </c>
      <c r="N9" s="3">
        <f t="shared" si="4"/>
        <v>6.5976677684283017E-3</v>
      </c>
      <c r="O9" s="1">
        <f t="shared" si="5"/>
        <v>4.5663000000000009E-2</v>
      </c>
    </row>
    <row r="10" spans="1:15" x14ac:dyDescent="0.4">
      <c r="A10">
        <v>1350.12149</v>
      </c>
      <c r="B10" s="1">
        <v>0.467837</v>
      </c>
      <c r="D10">
        <v>1350.12149</v>
      </c>
      <c r="E10" s="1">
        <v>0.52711200000000002</v>
      </c>
      <c r="G10">
        <v>1350.12149</v>
      </c>
      <c r="H10" s="1">
        <v>0.494037</v>
      </c>
      <c r="J10">
        <f t="shared" si="0"/>
        <v>1350.12149</v>
      </c>
      <c r="K10">
        <f t="shared" si="1"/>
        <v>0.49747450000000004</v>
      </c>
      <c r="L10" s="1">
        <f t="shared" si="2"/>
        <v>0.494037</v>
      </c>
      <c r="M10" s="1">
        <f t="shared" si="3"/>
        <v>3.4375000000000377E-3</v>
      </c>
      <c r="N10" s="3">
        <f t="shared" si="4"/>
        <v>6.9579808799746529E-3</v>
      </c>
      <c r="O10" s="1">
        <f t="shared" si="5"/>
        <v>5.9275000000000022E-2</v>
      </c>
    </row>
    <row r="11" spans="1:15" x14ac:dyDescent="0.4">
      <c r="A11">
        <v>1352.42418</v>
      </c>
      <c r="B11" s="1">
        <v>0.53512700000000002</v>
      </c>
      <c r="D11">
        <v>1352.42418</v>
      </c>
      <c r="E11" s="1">
        <v>0.61045899999999997</v>
      </c>
      <c r="G11">
        <v>1352.42418</v>
      </c>
      <c r="H11" s="1">
        <v>0.56860599999999994</v>
      </c>
      <c r="J11">
        <f t="shared" si="0"/>
        <v>1352.42418</v>
      </c>
      <c r="K11">
        <f t="shared" si="1"/>
        <v>0.572793</v>
      </c>
      <c r="L11" s="1">
        <f t="shared" si="2"/>
        <v>0.56860599999999994</v>
      </c>
      <c r="M11" s="1">
        <f t="shared" si="3"/>
        <v>4.1870000000000518E-3</v>
      </c>
      <c r="N11" s="3">
        <f t="shared" si="4"/>
        <v>7.3636226139014577E-3</v>
      </c>
      <c r="O11" s="1">
        <f t="shared" si="5"/>
        <v>7.5331999999999955E-2</v>
      </c>
    </row>
    <row r="12" spans="1:15" x14ac:dyDescent="0.4">
      <c r="A12">
        <v>1354.72686</v>
      </c>
      <c r="B12" s="1">
        <v>0.60907599999999995</v>
      </c>
      <c r="D12">
        <v>1354.72686</v>
      </c>
      <c r="E12" s="1">
        <v>0.70325800000000005</v>
      </c>
      <c r="G12">
        <v>1354.72686</v>
      </c>
      <c r="H12" s="1">
        <v>0.65107400000000004</v>
      </c>
      <c r="J12">
        <f t="shared" si="0"/>
        <v>1354.72686</v>
      </c>
      <c r="K12">
        <f t="shared" si="1"/>
        <v>0.65616699999999994</v>
      </c>
      <c r="L12" s="1">
        <f t="shared" si="2"/>
        <v>0.65107400000000004</v>
      </c>
      <c r="M12" s="1">
        <f t="shared" si="3"/>
        <v>5.0929999999999032E-3</v>
      </c>
      <c r="N12" s="3">
        <f t="shared" si="4"/>
        <v>7.8224595053709763E-3</v>
      </c>
      <c r="O12" s="1">
        <f t="shared" si="5"/>
        <v>9.4182000000000099E-2</v>
      </c>
    </row>
    <row r="13" spans="1:15" x14ac:dyDescent="0.4">
      <c r="A13">
        <v>1357.02955</v>
      </c>
      <c r="B13" s="1">
        <v>0.69095600000000001</v>
      </c>
      <c r="D13">
        <v>1357.02955</v>
      </c>
      <c r="E13" s="1">
        <v>0.807141</v>
      </c>
      <c r="G13">
        <v>1357.02955</v>
      </c>
      <c r="H13" s="1">
        <v>0.74286200000000002</v>
      </c>
      <c r="J13">
        <f t="shared" si="0"/>
        <v>1357.02955</v>
      </c>
      <c r="K13">
        <f t="shared" si="1"/>
        <v>0.74904850000000001</v>
      </c>
      <c r="L13" s="1">
        <f t="shared" si="2"/>
        <v>0.74286200000000002</v>
      </c>
      <c r="M13" s="1">
        <f t="shared" si="3"/>
        <v>6.1864999999999837E-3</v>
      </c>
      <c r="N13" s="3">
        <f t="shared" si="4"/>
        <v>8.3279263174048258E-3</v>
      </c>
      <c r="O13" s="1">
        <f t="shared" si="5"/>
        <v>0.11618499999999998</v>
      </c>
    </row>
    <row r="14" spans="1:15" x14ac:dyDescent="0.4">
      <c r="A14">
        <v>1359.33224</v>
      </c>
      <c r="B14" s="1">
        <v>0.78196200000000005</v>
      </c>
      <c r="D14">
        <v>1359.33224</v>
      </c>
      <c r="E14" s="1">
        <v>0.92374699999999998</v>
      </c>
      <c r="G14">
        <v>1359.33224</v>
      </c>
      <c r="H14" s="1">
        <v>0.84535700000000003</v>
      </c>
      <c r="J14">
        <f t="shared" si="0"/>
        <v>1359.33224</v>
      </c>
      <c r="K14">
        <f t="shared" si="1"/>
        <v>0.85285450000000007</v>
      </c>
      <c r="L14" s="1">
        <f t="shared" si="2"/>
        <v>0.84535700000000003</v>
      </c>
      <c r="M14" s="1">
        <f t="shared" si="3"/>
        <v>7.4975000000000458E-3</v>
      </c>
      <c r="N14" s="3">
        <f t="shared" si="4"/>
        <v>8.8690340294101146E-3</v>
      </c>
      <c r="O14" s="1">
        <f t="shared" si="5"/>
        <v>0.14178499999999994</v>
      </c>
    </row>
    <row r="15" spans="1:15" x14ac:dyDescent="0.4">
      <c r="A15">
        <v>1361.63492</v>
      </c>
      <c r="B15" s="1">
        <v>0.88293699999999997</v>
      </c>
      <c r="D15">
        <v>1361.63492</v>
      </c>
      <c r="E15" s="1">
        <v>1.05447</v>
      </c>
      <c r="G15">
        <v>1361.63492</v>
      </c>
      <c r="H15" s="1">
        <v>0.95963799999999999</v>
      </c>
      <c r="J15">
        <f t="shared" si="0"/>
        <v>1361.63492</v>
      </c>
      <c r="K15">
        <f t="shared" si="1"/>
        <v>0.96870349999999994</v>
      </c>
      <c r="L15" s="1">
        <f t="shared" si="2"/>
        <v>0.95963799999999999</v>
      </c>
      <c r="M15" s="1">
        <f t="shared" si="3"/>
        <v>9.0654999999999486E-3</v>
      </c>
      <c r="N15" s="3">
        <f t="shared" si="4"/>
        <v>9.4467913942548627E-3</v>
      </c>
      <c r="O15" s="1">
        <f t="shared" si="5"/>
        <v>0.17153300000000005</v>
      </c>
    </row>
    <row r="16" spans="1:15" x14ac:dyDescent="0.4">
      <c r="A16">
        <v>1363.9376099999999</v>
      </c>
      <c r="B16" s="1">
        <v>0.99521999999999999</v>
      </c>
      <c r="D16">
        <v>1363.9376099999999</v>
      </c>
      <c r="E16" s="1">
        <v>1.20129</v>
      </c>
      <c r="G16">
        <v>1363.9376099999999</v>
      </c>
      <c r="H16" s="1">
        <v>1.0873299999999999</v>
      </c>
      <c r="J16">
        <f t="shared" si="0"/>
        <v>1363.9376099999999</v>
      </c>
      <c r="K16">
        <f t="shared" si="1"/>
        <v>1.098255</v>
      </c>
      <c r="L16" s="1">
        <f t="shared" si="2"/>
        <v>1.0873299999999999</v>
      </c>
      <c r="M16" s="1">
        <f t="shared" si="3"/>
        <v>1.0925000000000074E-2</v>
      </c>
      <c r="N16" s="3">
        <f t="shared" si="4"/>
        <v>1.0047547662623191E-2</v>
      </c>
      <c r="O16" s="1">
        <f t="shared" si="5"/>
        <v>0.20606999999999998</v>
      </c>
    </row>
    <row r="17" spans="1:15" x14ac:dyDescent="0.4">
      <c r="A17">
        <v>1366.24029</v>
      </c>
      <c r="B17" s="1">
        <v>1.1196600000000001</v>
      </c>
      <c r="D17">
        <v>1366.24029</v>
      </c>
      <c r="E17" s="1">
        <v>1.36589</v>
      </c>
      <c r="G17">
        <v>1366.24029</v>
      </c>
      <c r="H17" s="1">
        <v>1.2296800000000001</v>
      </c>
      <c r="J17">
        <f t="shared" si="0"/>
        <v>1366.24029</v>
      </c>
      <c r="K17">
        <f t="shared" si="1"/>
        <v>1.242775</v>
      </c>
      <c r="L17" s="1">
        <f t="shared" si="2"/>
        <v>1.2296800000000001</v>
      </c>
      <c r="M17" s="1">
        <f t="shared" si="3"/>
        <v>1.3094999999999857E-2</v>
      </c>
      <c r="N17" s="3">
        <f t="shared" si="4"/>
        <v>1.06491119640881E-2</v>
      </c>
      <c r="O17" s="1">
        <f t="shared" si="5"/>
        <v>0.24622999999999995</v>
      </c>
    </row>
    <row r="18" spans="1:15" x14ac:dyDescent="0.4">
      <c r="A18">
        <v>1368.5429799999999</v>
      </c>
      <c r="B18" s="1">
        <v>1.25759</v>
      </c>
      <c r="D18">
        <v>1368.5429799999999</v>
      </c>
      <c r="E18" s="1">
        <v>1.55047</v>
      </c>
      <c r="G18">
        <v>1368.5429799999999</v>
      </c>
      <c r="H18" s="1">
        <v>1.3884000000000001</v>
      </c>
      <c r="J18">
        <f t="shared" si="0"/>
        <v>1368.5429799999999</v>
      </c>
      <c r="K18">
        <f t="shared" si="1"/>
        <v>1.4040300000000001</v>
      </c>
      <c r="L18" s="1">
        <f t="shared" si="2"/>
        <v>1.3884000000000001</v>
      </c>
      <c r="M18" s="1">
        <f t="shared" si="3"/>
        <v>1.5630000000000033E-2</v>
      </c>
      <c r="N18" s="3">
        <f t="shared" si="4"/>
        <v>1.1257562662057068E-2</v>
      </c>
      <c r="O18" s="1">
        <f t="shared" si="5"/>
        <v>0.29288000000000003</v>
      </c>
    </row>
    <row r="19" spans="1:15" x14ac:dyDescent="0.4">
      <c r="A19">
        <v>1370.8456699999999</v>
      </c>
      <c r="B19" s="1">
        <v>1.4101999999999999</v>
      </c>
      <c r="D19">
        <v>1370.8456699999999</v>
      </c>
      <c r="E19" s="1">
        <v>1.7572099999999999</v>
      </c>
      <c r="G19">
        <v>1370.8456699999999</v>
      </c>
      <c r="H19" s="1">
        <v>1.5651999999999999</v>
      </c>
      <c r="J19">
        <f t="shared" si="0"/>
        <v>1370.8456699999999</v>
      </c>
      <c r="K19">
        <f t="shared" si="1"/>
        <v>1.5837049999999999</v>
      </c>
      <c r="L19" s="1">
        <f t="shared" si="2"/>
        <v>1.5651999999999999</v>
      </c>
      <c r="M19" s="1">
        <f t="shared" si="3"/>
        <v>1.8504999999999994E-2</v>
      </c>
      <c r="N19" s="3">
        <f t="shared" si="4"/>
        <v>1.1822770253002808E-2</v>
      </c>
      <c r="O19" s="1">
        <f t="shared" si="5"/>
        <v>0.34701000000000004</v>
      </c>
    </row>
    <row r="20" spans="1:15" x14ac:dyDescent="0.4">
      <c r="A20">
        <v>1373.1483499999999</v>
      </c>
      <c r="B20" s="1">
        <v>1.57877</v>
      </c>
      <c r="D20">
        <v>1373.1483499999999</v>
      </c>
      <c r="E20" s="1">
        <v>1.9885200000000001</v>
      </c>
      <c r="G20">
        <v>1373.1483499999999</v>
      </c>
      <c r="H20" s="1">
        <v>1.7619400000000001</v>
      </c>
      <c r="J20">
        <f t="shared" si="0"/>
        <v>1373.1483499999999</v>
      </c>
      <c r="K20">
        <f t="shared" si="1"/>
        <v>1.7836449999999999</v>
      </c>
      <c r="L20" s="1">
        <f t="shared" si="2"/>
        <v>1.7619400000000001</v>
      </c>
      <c r="M20" s="1">
        <f t="shared" si="3"/>
        <v>2.1704999999999863E-2</v>
      </c>
      <c r="N20" s="3">
        <f t="shared" si="4"/>
        <v>1.2318807677900417E-2</v>
      </c>
      <c r="O20" s="1">
        <f t="shared" si="5"/>
        <v>0.40975000000000006</v>
      </c>
    </row>
    <row r="21" spans="1:15" x14ac:dyDescent="0.4">
      <c r="A21">
        <v>1375.4510399999999</v>
      </c>
      <c r="B21" s="1">
        <v>1.76488</v>
      </c>
      <c r="D21">
        <v>1375.4510399999999</v>
      </c>
      <c r="E21" s="1">
        <v>2.2471399999999999</v>
      </c>
      <c r="G21">
        <v>1375.4510399999999</v>
      </c>
      <c r="H21" s="1">
        <v>1.9808399999999999</v>
      </c>
      <c r="J21">
        <f t="shared" si="0"/>
        <v>1375.4510399999999</v>
      </c>
      <c r="K21">
        <f t="shared" si="1"/>
        <v>2.0060099999999998</v>
      </c>
      <c r="L21" s="1">
        <f t="shared" si="2"/>
        <v>1.9808399999999999</v>
      </c>
      <c r="M21" s="1">
        <f t="shared" si="3"/>
        <v>2.5169999999999915E-2</v>
      </c>
      <c r="N21" s="3">
        <f t="shared" si="4"/>
        <v>1.2706730477978996E-2</v>
      </c>
      <c r="O21" s="1">
        <f t="shared" si="5"/>
        <v>0.48225999999999991</v>
      </c>
    </row>
    <row r="22" spans="1:15" x14ac:dyDescent="0.4">
      <c r="A22">
        <v>1377.7537299999999</v>
      </c>
      <c r="B22" s="1">
        <v>1.9701200000000001</v>
      </c>
      <c r="D22">
        <v>1377.7537299999999</v>
      </c>
      <c r="E22" s="1">
        <v>2.5360100000000001</v>
      </c>
      <c r="G22">
        <v>1377.7537299999999</v>
      </c>
      <c r="H22" s="1">
        <v>2.2242899999999999</v>
      </c>
      <c r="J22">
        <f t="shared" si="0"/>
        <v>1377.7537299999999</v>
      </c>
      <c r="K22">
        <f t="shared" si="1"/>
        <v>2.2530650000000003</v>
      </c>
      <c r="L22" s="1">
        <f t="shared" si="2"/>
        <v>2.2242899999999999</v>
      </c>
      <c r="M22" s="1">
        <f t="shared" si="3"/>
        <v>2.8775000000000439E-2</v>
      </c>
      <c r="N22" s="3">
        <f t="shared" si="4"/>
        <v>1.2936712389122119E-2</v>
      </c>
      <c r="O22" s="1">
        <f t="shared" si="5"/>
        <v>0.56589</v>
      </c>
    </row>
    <row r="23" spans="1:15" x14ac:dyDescent="0.4">
      <c r="A23">
        <v>1380.0564099999999</v>
      </c>
      <c r="B23" s="1">
        <v>2.1962299999999999</v>
      </c>
      <c r="D23">
        <v>1380.0564099999999</v>
      </c>
      <c r="E23" s="1">
        <v>2.8582399999999999</v>
      </c>
      <c r="G23">
        <v>1380.0564099999999</v>
      </c>
      <c r="H23" s="1">
        <v>2.4948199999999998</v>
      </c>
      <c r="J23">
        <f t="shared" si="0"/>
        <v>1380.0564099999999</v>
      </c>
      <c r="K23">
        <f t="shared" si="1"/>
        <v>2.5272350000000001</v>
      </c>
      <c r="L23" s="1">
        <f t="shared" si="2"/>
        <v>2.4948199999999998</v>
      </c>
      <c r="M23" s="1">
        <f t="shared" si="3"/>
        <v>3.2415000000000305E-2</v>
      </c>
      <c r="N23" s="3">
        <f t="shared" si="4"/>
        <v>1.2992921333002103E-2</v>
      </c>
      <c r="O23" s="1">
        <f t="shared" si="5"/>
        <v>0.66200999999999999</v>
      </c>
    </row>
    <row r="24" spans="1:15" x14ac:dyDescent="0.4">
      <c r="A24">
        <v>1382.3590999999999</v>
      </c>
      <c r="B24" s="1">
        <v>2.4468200000000002</v>
      </c>
      <c r="D24">
        <v>1382.3590999999999</v>
      </c>
      <c r="E24" s="1">
        <v>3.2188300000000001</v>
      </c>
      <c r="G24">
        <v>1382.3590999999999</v>
      </c>
      <c r="H24" s="1">
        <v>2.7968299999999999</v>
      </c>
      <c r="J24">
        <f t="shared" si="0"/>
        <v>1382.3590999999999</v>
      </c>
      <c r="K24">
        <f t="shared" si="1"/>
        <v>2.8328250000000001</v>
      </c>
      <c r="L24" s="1">
        <f t="shared" si="2"/>
        <v>2.7968299999999999</v>
      </c>
      <c r="M24" s="1">
        <f t="shared" si="3"/>
        <v>3.5995000000000221E-2</v>
      </c>
      <c r="N24" s="3">
        <f t="shared" si="4"/>
        <v>1.2869927739619577E-2</v>
      </c>
      <c r="O24" s="1">
        <f t="shared" si="5"/>
        <v>0.77200999999999986</v>
      </c>
    </row>
    <row r="25" spans="1:15" x14ac:dyDescent="0.4">
      <c r="A25">
        <v>1384.6617799999999</v>
      </c>
      <c r="B25" s="1">
        <v>2.7255099999999999</v>
      </c>
      <c r="D25">
        <v>1384.6617799999999</v>
      </c>
      <c r="E25" s="1">
        <v>3.62303</v>
      </c>
      <c r="G25">
        <v>1384.6617799999999</v>
      </c>
      <c r="H25" s="1">
        <v>3.1348199999999999</v>
      </c>
      <c r="J25">
        <f t="shared" si="0"/>
        <v>1384.6617799999999</v>
      </c>
      <c r="K25">
        <f t="shared" si="1"/>
        <v>3.1742699999999999</v>
      </c>
      <c r="L25" s="1">
        <f t="shared" si="2"/>
        <v>3.1348199999999999</v>
      </c>
      <c r="M25" s="1">
        <f t="shared" si="3"/>
        <v>3.9449999999999985E-2</v>
      </c>
      <c r="N25" s="3">
        <f t="shared" si="4"/>
        <v>1.2584454609834053E-2</v>
      </c>
      <c r="O25" s="1">
        <f t="shared" si="5"/>
        <v>0.8975200000000001</v>
      </c>
    </row>
    <row r="26" spans="1:15" x14ac:dyDescent="0.4">
      <c r="A26">
        <v>1386.9644699999999</v>
      </c>
      <c r="B26" s="1">
        <v>3.0383200000000001</v>
      </c>
      <c r="D26">
        <v>1386.9644699999999</v>
      </c>
      <c r="E26" s="1">
        <v>4.0782800000000003</v>
      </c>
      <c r="G26">
        <v>1386.9644699999999</v>
      </c>
      <c r="H26" s="1">
        <v>3.5156299999999998</v>
      </c>
      <c r="J26">
        <f t="shared" si="0"/>
        <v>1386.9644699999999</v>
      </c>
      <c r="K26">
        <f t="shared" si="1"/>
        <v>3.5583</v>
      </c>
      <c r="L26" s="1">
        <f t="shared" si="2"/>
        <v>3.5156299999999998</v>
      </c>
      <c r="M26" s="1">
        <f t="shared" si="3"/>
        <v>4.2670000000000208E-2</v>
      </c>
      <c r="N26" s="3">
        <f t="shared" si="4"/>
        <v>1.2137227182610288E-2</v>
      </c>
      <c r="O26" s="1">
        <f t="shared" si="5"/>
        <v>1.0399600000000002</v>
      </c>
    </row>
    <row r="27" spans="1:15" x14ac:dyDescent="0.4">
      <c r="A27">
        <v>1389.2671600000001</v>
      </c>
      <c r="B27" s="1">
        <v>3.3914</v>
      </c>
      <c r="D27">
        <v>1389.2671600000001</v>
      </c>
      <c r="E27" s="1">
        <v>4.5914299999999999</v>
      </c>
      <c r="G27">
        <v>1389.2671600000001</v>
      </c>
      <c r="H27" s="1">
        <v>3.9454199999999999</v>
      </c>
      <c r="J27">
        <f t="shared" si="0"/>
        <v>1389.2671600000001</v>
      </c>
      <c r="K27">
        <f t="shared" si="1"/>
        <v>3.9914149999999999</v>
      </c>
      <c r="L27" s="1">
        <f t="shared" si="2"/>
        <v>3.9454199999999999</v>
      </c>
      <c r="M27" s="1">
        <f t="shared" si="3"/>
        <v>4.5995000000000008E-2</v>
      </c>
      <c r="N27" s="3">
        <f t="shared" si="4"/>
        <v>1.1657820967096028E-2</v>
      </c>
      <c r="O27" s="1">
        <f t="shared" si="5"/>
        <v>1.2000299999999999</v>
      </c>
    </row>
    <row r="28" spans="1:15" x14ac:dyDescent="0.4">
      <c r="A28">
        <v>1391.5698400000001</v>
      </c>
      <c r="B28" s="1">
        <v>3.7816999999999998</v>
      </c>
      <c r="D28">
        <v>1391.5698400000001</v>
      </c>
      <c r="E28" s="1">
        <v>5.1627200000000002</v>
      </c>
      <c r="G28">
        <v>1391.5698400000001</v>
      </c>
      <c r="H28" s="1">
        <v>4.4231499999999997</v>
      </c>
      <c r="J28">
        <f t="shared" si="0"/>
        <v>1391.5698400000001</v>
      </c>
      <c r="K28">
        <f t="shared" si="1"/>
        <v>4.4722100000000005</v>
      </c>
      <c r="L28" s="1">
        <f t="shared" si="2"/>
        <v>4.4231499999999997</v>
      </c>
      <c r="M28" s="1">
        <f t="shared" si="3"/>
        <v>4.906000000000077E-2</v>
      </c>
      <c r="N28" s="3">
        <f t="shared" si="4"/>
        <v>1.109164283372727E-2</v>
      </c>
      <c r="O28" s="1">
        <f t="shared" si="5"/>
        <v>1.3810200000000004</v>
      </c>
    </row>
    <row r="29" spans="1:15" x14ac:dyDescent="0.4">
      <c r="A29">
        <v>1393.8725300000001</v>
      </c>
      <c r="B29" s="1">
        <v>4.21441</v>
      </c>
      <c r="D29">
        <v>1393.8725300000001</v>
      </c>
      <c r="E29" s="1">
        <v>5.7991700000000002</v>
      </c>
      <c r="G29">
        <v>1393.8725300000001</v>
      </c>
      <c r="H29" s="1">
        <v>4.9545000000000003</v>
      </c>
      <c r="J29">
        <f t="shared" si="0"/>
        <v>1393.8725300000001</v>
      </c>
      <c r="K29">
        <f t="shared" si="1"/>
        <v>5.0067900000000005</v>
      </c>
      <c r="L29" s="1">
        <f t="shared" si="2"/>
        <v>4.9545000000000003</v>
      </c>
      <c r="M29" s="1">
        <f t="shared" si="3"/>
        <v>5.229000000000017E-2</v>
      </c>
      <c r="N29" s="3">
        <f t="shared" si="4"/>
        <v>1.0554041780199851E-2</v>
      </c>
      <c r="O29" s="1">
        <f t="shared" si="5"/>
        <v>1.5847600000000002</v>
      </c>
    </row>
    <row r="30" spans="1:15" x14ac:dyDescent="0.4">
      <c r="A30">
        <v>1396.1752200000001</v>
      </c>
      <c r="B30" s="1">
        <v>4.6925800000000004</v>
      </c>
      <c r="D30">
        <v>1396.1752200000001</v>
      </c>
      <c r="E30" s="1">
        <v>6.5064299999999999</v>
      </c>
      <c r="G30">
        <v>1396.1752200000001</v>
      </c>
      <c r="H30" s="1">
        <v>5.5436500000000004</v>
      </c>
      <c r="J30">
        <f t="shared" si="0"/>
        <v>1396.1752200000001</v>
      </c>
      <c r="K30">
        <f t="shared" si="1"/>
        <v>5.5995050000000006</v>
      </c>
      <c r="L30" s="1">
        <f t="shared" si="2"/>
        <v>5.5436500000000004</v>
      </c>
      <c r="M30" s="1">
        <f t="shared" si="3"/>
        <v>5.585500000000021E-2</v>
      </c>
      <c r="N30" s="3">
        <f t="shared" si="4"/>
        <v>1.0075491778882182E-2</v>
      </c>
      <c r="O30" s="1">
        <f t="shared" si="5"/>
        <v>1.8138499999999995</v>
      </c>
    </row>
    <row r="31" spans="1:15" x14ac:dyDescent="0.4">
      <c r="A31">
        <v>1398.4779000000001</v>
      </c>
      <c r="B31" s="1">
        <v>5.2189500000000004</v>
      </c>
      <c r="D31">
        <v>1398.4779000000001</v>
      </c>
      <c r="E31" s="1">
        <v>7.2895899999999996</v>
      </c>
      <c r="G31">
        <v>1398.4779000000001</v>
      </c>
      <c r="H31" s="1">
        <v>6.1943099999999998</v>
      </c>
      <c r="J31">
        <f t="shared" si="0"/>
        <v>1398.4779000000001</v>
      </c>
      <c r="K31">
        <f t="shared" si="1"/>
        <v>6.25427</v>
      </c>
      <c r="L31" s="1">
        <f t="shared" si="2"/>
        <v>6.1943099999999998</v>
      </c>
      <c r="M31" s="1">
        <f t="shared" si="3"/>
        <v>5.9960000000000235E-2</v>
      </c>
      <c r="N31" s="3">
        <f t="shared" si="4"/>
        <v>9.6798513474463232E-3</v>
      </c>
      <c r="O31" s="1">
        <f t="shared" si="5"/>
        <v>2.0706399999999991</v>
      </c>
    </row>
    <row r="32" spans="1:15" x14ac:dyDescent="0.4">
      <c r="A32">
        <v>1400.7805900000001</v>
      </c>
      <c r="B32" s="1">
        <v>5.7956000000000003</v>
      </c>
      <c r="D32">
        <v>1400.7805900000001</v>
      </c>
      <c r="E32" s="1">
        <v>8.1532400000000003</v>
      </c>
      <c r="G32">
        <v>1400.7805900000001</v>
      </c>
      <c r="H32" s="1">
        <v>6.9096000000000002</v>
      </c>
      <c r="J32">
        <f t="shared" si="0"/>
        <v>1400.7805900000001</v>
      </c>
      <c r="K32">
        <f t="shared" si="1"/>
        <v>6.9744200000000003</v>
      </c>
      <c r="L32" s="1">
        <f t="shared" si="2"/>
        <v>6.9096000000000002</v>
      </c>
      <c r="M32" s="1">
        <f t="shared" si="3"/>
        <v>6.48200000000001E-2</v>
      </c>
      <c r="N32" s="3">
        <f t="shared" si="4"/>
        <v>9.3811508625680357E-3</v>
      </c>
      <c r="O32" s="1">
        <f t="shared" si="5"/>
        <v>2.35764</v>
      </c>
    </row>
    <row r="33" spans="1:15" x14ac:dyDescent="0.4">
      <c r="A33">
        <v>1403.0832800000001</v>
      </c>
      <c r="B33" s="1">
        <v>6.4250400000000001</v>
      </c>
      <c r="D33">
        <v>1403.0832800000001</v>
      </c>
      <c r="E33" s="1">
        <v>9.1020199999999996</v>
      </c>
      <c r="G33">
        <v>1403.0832800000001</v>
      </c>
      <c r="H33" s="1">
        <v>7.6925699999999999</v>
      </c>
      <c r="J33">
        <f t="shared" si="0"/>
        <v>1403.0832800000001</v>
      </c>
      <c r="K33">
        <f t="shared" si="1"/>
        <v>7.7635299999999994</v>
      </c>
      <c r="L33" s="1">
        <f t="shared" si="2"/>
        <v>7.6925699999999999</v>
      </c>
      <c r="M33" s="1">
        <f t="shared" si="3"/>
        <v>7.0959999999999468E-2</v>
      </c>
      <c r="N33" s="3">
        <f t="shared" si="4"/>
        <v>9.2244854450462543E-3</v>
      </c>
      <c r="O33" s="1">
        <f t="shared" si="5"/>
        <v>2.6769799999999995</v>
      </c>
    </row>
    <row r="34" spans="1:15" x14ac:dyDescent="0.4">
      <c r="A34">
        <v>1405.3859600000001</v>
      </c>
      <c r="B34" s="1">
        <v>7.1046100000000001</v>
      </c>
      <c r="D34">
        <v>1405.3859600000001</v>
      </c>
      <c r="E34" s="1">
        <v>10.1333</v>
      </c>
      <c r="G34">
        <v>1405.3859600000001</v>
      </c>
      <c r="H34" s="1">
        <v>8.5409400000000009</v>
      </c>
      <c r="J34">
        <f t="shared" si="0"/>
        <v>1405.3859600000001</v>
      </c>
      <c r="K34">
        <f t="shared" si="1"/>
        <v>8.6189549999999997</v>
      </c>
      <c r="L34" s="1">
        <f t="shared" si="2"/>
        <v>8.5409400000000009</v>
      </c>
      <c r="M34" s="1">
        <f t="shared" si="3"/>
        <v>7.8014999999998835E-2</v>
      </c>
      <c r="N34" s="3">
        <f t="shared" si="4"/>
        <v>9.1342404934350117E-3</v>
      </c>
      <c r="O34" s="1">
        <f t="shared" si="5"/>
        <v>3.0286900000000001</v>
      </c>
    </row>
    <row r="35" spans="1:15" x14ac:dyDescent="0.4">
      <c r="A35">
        <v>1407.6886500000001</v>
      </c>
      <c r="B35" s="1">
        <v>7.8325800000000001</v>
      </c>
      <c r="D35">
        <v>1407.6886500000001</v>
      </c>
      <c r="E35" s="1">
        <v>11.2453</v>
      </c>
      <c r="G35">
        <v>1407.6886500000001</v>
      </c>
      <c r="H35" s="1">
        <v>9.4523700000000002</v>
      </c>
      <c r="J35">
        <f t="shared" si="0"/>
        <v>1407.6886500000001</v>
      </c>
      <c r="K35">
        <f t="shared" si="1"/>
        <v>9.5389400000000002</v>
      </c>
      <c r="L35" s="1">
        <f t="shared" si="2"/>
        <v>9.4523700000000002</v>
      </c>
      <c r="M35" s="1">
        <f t="shared" si="3"/>
        <v>8.6570000000000036E-2</v>
      </c>
      <c r="N35" s="3">
        <f t="shared" si="4"/>
        <v>9.1585496547426769E-3</v>
      </c>
      <c r="O35" s="1">
        <f t="shared" si="5"/>
        <v>3.4127200000000002</v>
      </c>
    </row>
    <row r="36" spans="1:15" x14ac:dyDescent="0.4">
      <c r="A36">
        <v>1409.9913300000001</v>
      </c>
      <c r="B36" s="1">
        <v>8.6017100000000006</v>
      </c>
      <c r="D36">
        <v>1409.9913300000001</v>
      </c>
      <c r="E36" s="1">
        <v>12.429500000000001</v>
      </c>
      <c r="G36">
        <v>1409.9913300000001</v>
      </c>
      <c r="H36" s="1">
        <v>10.4184</v>
      </c>
      <c r="J36">
        <f t="shared" si="0"/>
        <v>1409.9913300000001</v>
      </c>
      <c r="K36">
        <f t="shared" si="1"/>
        <v>10.515605000000001</v>
      </c>
      <c r="L36" s="1">
        <f t="shared" si="2"/>
        <v>10.4184</v>
      </c>
      <c r="M36" s="1">
        <f t="shared" si="3"/>
        <v>9.7205000000000652E-2</v>
      </c>
      <c r="N36" s="3">
        <f t="shared" si="4"/>
        <v>9.3301274667895884E-3</v>
      </c>
      <c r="O36" s="1">
        <f t="shared" si="5"/>
        <v>3.8277900000000002</v>
      </c>
    </row>
    <row r="37" spans="1:15" x14ac:dyDescent="0.4">
      <c r="A37">
        <v>1412.29402</v>
      </c>
      <c r="B37" s="1">
        <v>9.4026200000000006</v>
      </c>
      <c r="D37">
        <v>1412.29402</v>
      </c>
      <c r="E37" s="1">
        <v>13.6729</v>
      </c>
      <c r="G37">
        <v>1412.29402</v>
      </c>
      <c r="H37" s="1">
        <v>11.4275</v>
      </c>
      <c r="J37">
        <f t="shared" si="0"/>
        <v>1412.29402</v>
      </c>
      <c r="K37">
        <f t="shared" si="1"/>
        <v>11.53776</v>
      </c>
      <c r="L37" s="1">
        <f t="shared" si="2"/>
        <v>11.4275</v>
      </c>
      <c r="M37" s="1">
        <f t="shared" si="3"/>
        <v>0.11026000000000025</v>
      </c>
      <c r="N37" s="3">
        <f t="shared" si="4"/>
        <v>9.6486545613651501E-3</v>
      </c>
      <c r="O37" s="1">
        <f t="shared" si="5"/>
        <v>4.2702799999999996</v>
      </c>
    </row>
    <row r="38" spans="1:15" x14ac:dyDescent="0.4">
      <c r="A38">
        <v>1414.59671</v>
      </c>
      <c r="B38" s="1">
        <v>10.220000000000001</v>
      </c>
      <c r="D38">
        <v>1414.59671</v>
      </c>
      <c r="E38" s="1">
        <v>14.9535</v>
      </c>
      <c r="G38">
        <v>1414.59671</v>
      </c>
      <c r="H38" s="1">
        <v>12.4598</v>
      </c>
      <c r="J38">
        <f t="shared" si="0"/>
        <v>1414.59671</v>
      </c>
      <c r="K38">
        <f t="shared" si="1"/>
        <v>12.58675</v>
      </c>
      <c r="L38" s="1">
        <f t="shared" si="2"/>
        <v>12.4598</v>
      </c>
      <c r="M38" s="1">
        <f t="shared" si="3"/>
        <v>0.12695000000000078</v>
      </c>
      <c r="N38" s="3">
        <f t="shared" si="4"/>
        <v>1.0188767074912983E-2</v>
      </c>
      <c r="O38" s="1">
        <f t="shared" si="5"/>
        <v>4.7334999999999994</v>
      </c>
    </row>
    <row r="39" spans="1:15" x14ac:dyDescent="0.4">
      <c r="A39">
        <v>1416.89939</v>
      </c>
      <c r="B39" s="1">
        <v>11.0321</v>
      </c>
      <c r="D39">
        <v>1416.89939</v>
      </c>
      <c r="E39" s="1">
        <v>16.2424</v>
      </c>
      <c r="G39">
        <v>1416.89939</v>
      </c>
      <c r="H39" s="1">
        <v>13.489000000000001</v>
      </c>
      <c r="J39">
        <f t="shared" si="0"/>
        <v>1416.89939</v>
      </c>
      <c r="K39">
        <f t="shared" si="1"/>
        <v>13.63725</v>
      </c>
      <c r="L39" s="1">
        <f t="shared" si="2"/>
        <v>13.489000000000001</v>
      </c>
      <c r="M39" s="1">
        <f t="shared" si="3"/>
        <v>0.1482499999999991</v>
      </c>
      <c r="N39" s="3">
        <f t="shared" si="4"/>
        <v>1.0990436652086818E-2</v>
      </c>
      <c r="O39" s="1">
        <f t="shared" si="5"/>
        <v>5.2103000000000002</v>
      </c>
    </row>
    <row r="40" spans="1:15" x14ac:dyDescent="0.4">
      <c r="A40">
        <v>1419.20208</v>
      </c>
      <c r="B40" s="1">
        <v>11.813000000000001</v>
      </c>
      <c r="D40">
        <v>1419.20208</v>
      </c>
      <c r="E40" s="1">
        <v>17.507100000000001</v>
      </c>
      <c r="G40">
        <v>1419.20208</v>
      </c>
      <c r="H40" s="1">
        <v>14.4838</v>
      </c>
      <c r="J40">
        <f t="shared" si="0"/>
        <v>1419.20208</v>
      </c>
      <c r="K40">
        <f t="shared" si="1"/>
        <v>14.660050000000002</v>
      </c>
      <c r="L40" s="1">
        <f t="shared" si="2"/>
        <v>14.4838</v>
      </c>
      <c r="M40" s="1">
        <f t="shared" si="3"/>
        <v>0.17625000000000135</v>
      </c>
      <c r="N40" s="3">
        <f t="shared" si="4"/>
        <v>1.2168767864786958E-2</v>
      </c>
      <c r="O40" s="1">
        <f t="shared" si="5"/>
        <v>5.6941000000000006</v>
      </c>
    </row>
    <row r="41" spans="1:15" x14ac:dyDescent="0.4">
      <c r="A41">
        <v>1421.50477</v>
      </c>
      <c r="B41" s="1">
        <v>12.5382</v>
      </c>
      <c r="D41">
        <v>1421.50477</v>
      </c>
      <c r="E41" s="1">
        <v>18.706700000000001</v>
      </c>
      <c r="G41">
        <v>1421.50477</v>
      </c>
      <c r="H41" s="1">
        <v>15.4087</v>
      </c>
      <c r="J41">
        <f t="shared" si="0"/>
        <v>1421.50477</v>
      </c>
      <c r="K41">
        <f t="shared" si="1"/>
        <v>15.622450000000001</v>
      </c>
      <c r="L41" s="1">
        <f t="shared" si="2"/>
        <v>15.4087</v>
      </c>
      <c r="M41" s="1">
        <f t="shared" si="3"/>
        <v>0.21375000000000099</v>
      </c>
      <c r="N41" s="3">
        <f t="shared" si="4"/>
        <v>1.3872033331819102E-2</v>
      </c>
      <c r="O41" s="1">
        <f t="shared" si="5"/>
        <v>6.1685000000000016</v>
      </c>
    </row>
    <row r="42" spans="1:15" x14ac:dyDescent="0.4">
      <c r="A42">
        <v>1423.80745</v>
      </c>
      <c r="B42" s="1">
        <v>13.173400000000001</v>
      </c>
      <c r="D42">
        <v>1423.80745</v>
      </c>
      <c r="E42" s="1">
        <v>19.7971</v>
      </c>
      <c r="G42">
        <v>1423.80745</v>
      </c>
      <c r="H42" s="1">
        <v>16.219799999999999</v>
      </c>
      <c r="J42">
        <f t="shared" si="0"/>
        <v>1423.80745</v>
      </c>
      <c r="K42">
        <f t="shared" si="1"/>
        <v>16.485250000000001</v>
      </c>
      <c r="L42" s="1">
        <f t="shared" si="2"/>
        <v>16.219799999999999</v>
      </c>
      <c r="M42" s="1">
        <f t="shared" si="3"/>
        <v>0.2654500000000013</v>
      </c>
      <c r="N42" s="3">
        <f t="shared" si="4"/>
        <v>1.6365799824905443E-2</v>
      </c>
      <c r="O42" s="1">
        <f t="shared" si="5"/>
        <v>6.6236999999999995</v>
      </c>
    </row>
    <row r="43" spans="1:15" x14ac:dyDescent="0.4">
      <c r="A43">
        <v>1426.11014</v>
      </c>
      <c r="B43" s="1">
        <v>13.6761</v>
      </c>
      <c r="D43">
        <v>1426.11014</v>
      </c>
      <c r="E43" s="1">
        <v>20.715800000000002</v>
      </c>
      <c r="G43">
        <v>1426.11014</v>
      </c>
      <c r="H43" s="1">
        <v>16.856300000000001</v>
      </c>
      <c r="J43">
        <f t="shared" si="0"/>
        <v>1426.11014</v>
      </c>
      <c r="K43">
        <f t="shared" si="1"/>
        <v>17.19595</v>
      </c>
      <c r="L43" s="1">
        <f t="shared" si="2"/>
        <v>16.856300000000001</v>
      </c>
      <c r="M43" s="1">
        <f t="shared" si="3"/>
        <v>0.3396499999999989</v>
      </c>
      <c r="N43" s="3">
        <f t="shared" si="4"/>
        <v>2.0149736300374275E-2</v>
      </c>
      <c r="O43" s="1">
        <f t="shared" si="5"/>
        <v>7.0397000000000016</v>
      </c>
    </row>
    <row r="44" spans="1:15" x14ac:dyDescent="0.4">
      <c r="A44">
        <v>1428.41282</v>
      </c>
      <c r="B44" s="1">
        <v>13.9678</v>
      </c>
      <c r="D44">
        <v>1428.41282</v>
      </c>
      <c r="E44" s="1">
        <v>21.375499999999999</v>
      </c>
      <c r="G44">
        <v>1428.41282</v>
      </c>
      <c r="H44" s="1">
        <v>17.216999999999999</v>
      </c>
      <c r="J44">
        <f t="shared" si="0"/>
        <v>1428.41282</v>
      </c>
      <c r="K44">
        <f t="shared" si="1"/>
        <v>17.67165</v>
      </c>
      <c r="L44" s="1">
        <f t="shared" si="2"/>
        <v>17.216999999999999</v>
      </c>
      <c r="M44" s="1">
        <f t="shared" si="3"/>
        <v>0.45465000000000089</v>
      </c>
      <c r="N44" s="3">
        <f t="shared" si="4"/>
        <v>2.6407039553929309E-2</v>
      </c>
      <c r="O44" s="1">
        <f t="shared" si="5"/>
        <v>7.4076999999999984</v>
      </c>
    </row>
    <row r="45" spans="1:15" x14ac:dyDescent="0.4">
      <c r="A45">
        <v>1430.71551</v>
      </c>
      <c r="B45" s="1">
        <v>13.871700000000001</v>
      </c>
      <c r="D45">
        <v>1430.71551</v>
      </c>
      <c r="E45" s="1">
        <v>21.558</v>
      </c>
      <c r="G45">
        <v>1430.71551</v>
      </c>
      <c r="H45" s="1">
        <v>17.046900000000001</v>
      </c>
      <c r="J45">
        <f t="shared" si="0"/>
        <v>1430.71551</v>
      </c>
      <c r="K45">
        <f t="shared" si="1"/>
        <v>17.714849999999998</v>
      </c>
      <c r="L45" s="1">
        <f t="shared" si="2"/>
        <v>17.046900000000001</v>
      </c>
      <c r="M45" s="1">
        <f t="shared" si="3"/>
        <v>0.6679499999999976</v>
      </c>
      <c r="N45" s="3">
        <f t="shared" si="4"/>
        <v>3.9183077275046933E-2</v>
      </c>
      <c r="O45" s="1">
        <f t="shared" si="5"/>
        <v>7.6862999999999992</v>
      </c>
    </row>
    <row r="46" spans="1:15" x14ac:dyDescent="0.4">
      <c r="A46">
        <v>1433.0182</v>
      </c>
      <c r="B46" s="1">
        <v>8.9787800000000004</v>
      </c>
      <c r="D46">
        <v>1433.0182</v>
      </c>
      <c r="E46" s="1">
        <v>19.6433</v>
      </c>
      <c r="G46">
        <v>1433.0182</v>
      </c>
      <c r="H46" s="1">
        <v>13.0932</v>
      </c>
      <c r="J46">
        <f t="shared" si="0"/>
        <v>1433.0182</v>
      </c>
      <c r="K46">
        <f t="shared" si="1"/>
        <v>14.31104</v>
      </c>
      <c r="L46" s="1">
        <f t="shared" si="2"/>
        <v>13.0932</v>
      </c>
      <c r="M46" s="1">
        <f t="shared" si="3"/>
        <v>1.2178400000000007</v>
      </c>
      <c r="N46" s="3">
        <f t="shared" si="4"/>
        <v>9.3013167140194961E-2</v>
      </c>
      <c r="O46" s="1">
        <f t="shared" si="5"/>
        <v>10.66452</v>
      </c>
    </row>
    <row r="47" spans="1:15" x14ac:dyDescent="0.4">
      <c r="A47">
        <v>1435.32088</v>
      </c>
      <c r="B47" s="1">
        <v>8.1556800000000003</v>
      </c>
      <c r="D47">
        <v>1435.32088</v>
      </c>
      <c r="E47" s="1">
        <v>22.144100000000002</v>
      </c>
      <c r="G47">
        <v>1435.32088</v>
      </c>
      <c r="H47" s="1">
        <v>13.763199999999999</v>
      </c>
      <c r="J47">
        <f t="shared" si="0"/>
        <v>1435.32088</v>
      </c>
      <c r="K47">
        <f t="shared" si="1"/>
        <v>15.149890000000001</v>
      </c>
      <c r="L47" s="1">
        <f t="shared" si="2"/>
        <v>13.763199999999999</v>
      </c>
      <c r="M47" s="1">
        <f t="shared" si="3"/>
        <v>1.3866900000000015</v>
      </c>
      <c r="N47" s="3">
        <f t="shared" si="4"/>
        <v>0.10075345849802383</v>
      </c>
      <c r="O47" s="1">
        <f t="shared" si="5"/>
        <v>13.988420000000001</v>
      </c>
    </row>
    <row r="48" spans="1:15" x14ac:dyDescent="0.4">
      <c r="A48">
        <v>1437.62357</v>
      </c>
      <c r="B48" s="1">
        <v>8.0973400000000009</v>
      </c>
      <c r="D48">
        <v>1437.62357</v>
      </c>
      <c r="E48" s="1">
        <v>24.4254</v>
      </c>
      <c r="G48">
        <v>1437.62357</v>
      </c>
      <c r="H48" s="1">
        <v>14.712300000000001</v>
      </c>
      <c r="J48">
        <f t="shared" si="0"/>
        <v>1437.62357</v>
      </c>
      <c r="K48">
        <f t="shared" si="1"/>
        <v>16.261369999999999</v>
      </c>
      <c r="L48" s="1">
        <f t="shared" si="2"/>
        <v>14.712300000000001</v>
      </c>
      <c r="M48" s="1">
        <f t="shared" si="3"/>
        <v>1.5490699999999986</v>
      </c>
      <c r="N48" s="3">
        <f t="shared" si="4"/>
        <v>0.10529081109004021</v>
      </c>
      <c r="O48" s="1">
        <f t="shared" si="5"/>
        <v>16.328060000000001</v>
      </c>
    </row>
    <row r="49" spans="1:15" x14ac:dyDescent="0.4">
      <c r="A49">
        <v>1439.92626</v>
      </c>
      <c r="B49" s="1">
        <v>8.1548099999999994</v>
      </c>
      <c r="D49">
        <v>1439.92626</v>
      </c>
      <c r="E49" s="1">
        <v>26.533000000000001</v>
      </c>
      <c r="G49">
        <v>1439.92626</v>
      </c>
      <c r="H49" s="1">
        <v>15.621600000000001</v>
      </c>
      <c r="J49">
        <f t="shared" si="0"/>
        <v>1439.92626</v>
      </c>
      <c r="K49">
        <f t="shared" si="1"/>
        <v>17.343904999999999</v>
      </c>
      <c r="L49" s="1">
        <f t="shared" si="2"/>
        <v>15.621600000000001</v>
      </c>
      <c r="M49" s="1">
        <f t="shared" si="3"/>
        <v>1.7223049999999986</v>
      </c>
      <c r="N49" s="3">
        <f t="shared" si="4"/>
        <v>0.11025151072873449</v>
      </c>
      <c r="O49" s="1">
        <f t="shared" si="5"/>
        <v>18.378190000000004</v>
      </c>
    </row>
    <row r="50" spans="1:15" x14ac:dyDescent="0.4">
      <c r="A50">
        <v>1442.22894</v>
      </c>
      <c r="B50" s="1">
        <v>8.1879000000000008</v>
      </c>
      <c r="D50">
        <v>1442.22894</v>
      </c>
      <c r="E50" s="1">
        <v>28.506399999999999</v>
      </c>
      <c r="G50">
        <v>1442.22894</v>
      </c>
      <c r="H50" s="1">
        <v>16.437100000000001</v>
      </c>
      <c r="J50">
        <f t="shared" si="0"/>
        <v>1442.22894</v>
      </c>
      <c r="K50">
        <f t="shared" si="1"/>
        <v>18.347149999999999</v>
      </c>
      <c r="L50" s="1">
        <f t="shared" si="2"/>
        <v>16.437100000000001</v>
      </c>
      <c r="M50" s="1">
        <f t="shared" si="3"/>
        <v>1.9100499999999982</v>
      </c>
      <c r="N50" s="3">
        <f t="shared" si="4"/>
        <v>0.11620358822420002</v>
      </c>
      <c r="O50" s="1">
        <f t="shared" si="5"/>
        <v>20.3185</v>
      </c>
    </row>
    <row r="51" spans="1:15" x14ac:dyDescent="0.4">
      <c r="A51">
        <v>1444.53163</v>
      </c>
      <c r="B51" s="1">
        <v>8.1364999999999998</v>
      </c>
      <c r="D51">
        <v>1444.53163</v>
      </c>
      <c r="E51" s="1">
        <v>30.2319</v>
      </c>
      <c r="G51">
        <v>1444.53163</v>
      </c>
      <c r="H51" s="1">
        <v>17.083600000000001</v>
      </c>
      <c r="J51">
        <f t="shared" si="0"/>
        <v>1444.53163</v>
      </c>
      <c r="K51">
        <f t="shared" si="1"/>
        <v>19.184200000000001</v>
      </c>
      <c r="L51" s="1">
        <f t="shared" si="2"/>
        <v>17.083600000000001</v>
      </c>
      <c r="M51" s="1">
        <f t="shared" si="3"/>
        <v>2.1006</v>
      </c>
      <c r="N51" s="3">
        <f t="shared" si="4"/>
        <v>0.12296003184340537</v>
      </c>
      <c r="O51" s="1">
        <f t="shared" si="5"/>
        <v>22.095399999999998</v>
      </c>
    </row>
    <row r="52" spans="1:15" x14ac:dyDescent="0.4">
      <c r="A52">
        <v>1446.83431</v>
      </c>
      <c r="B52" s="1">
        <v>7.9723199999999999</v>
      </c>
      <c r="D52">
        <v>1446.83431</v>
      </c>
      <c r="E52" s="1">
        <v>31.5913</v>
      </c>
      <c r="G52">
        <v>1446.83431</v>
      </c>
      <c r="H52" s="1">
        <v>17.5029</v>
      </c>
      <c r="J52">
        <f t="shared" si="0"/>
        <v>1446.83431</v>
      </c>
      <c r="K52">
        <f t="shared" si="1"/>
        <v>19.78181</v>
      </c>
      <c r="L52" s="1">
        <f t="shared" si="2"/>
        <v>17.5029</v>
      </c>
      <c r="M52" s="1">
        <f t="shared" si="3"/>
        <v>2.2789099999999998</v>
      </c>
      <c r="N52" s="3">
        <f t="shared" si="4"/>
        <v>0.13020185226448186</v>
      </c>
      <c r="O52" s="1">
        <f t="shared" si="5"/>
        <v>23.618980000000001</v>
      </c>
    </row>
    <row r="53" spans="1:15" x14ac:dyDescent="0.4">
      <c r="A53">
        <v>1449.1369999999999</v>
      </c>
      <c r="B53" s="1">
        <v>7.6841499999999998</v>
      </c>
      <c r="D53">
        <v>1449.1369999999999</v>
      </c>
      <c r="E53" s="1">
        <v>32.436700000000002</v>
      </c>
      <c r="G53">
        <v>1449.1369999999999</v>
      </c>
      <c r="H53" s="1">
        <v>17.634399999999999</v>
      </c>
      <c r="J53">
        <f t="shared" si="0"/>
        <v>1449.1369999999999</v>
      </c>
      <c r="K53">
        <f t="shared" si="1"/>
        <v>20.060425000000002</v>
      </c>
      <c r="L53" s="1">
        <f t="shared" si="2"/>
        <v>17.634399999999999</v>
      </c>
      <c r="M53" s="1">
        <f t="shared" si="3"/>
        <v>2.4260250000000028</v>
      </c>
      <c r="N53" s="3">
        <f t="shared" si="4"/>
        <v>0.13757343601143235</v>
      </c>
      <c r="O53" s="1">
        <f t="shared" si="5"/>
        <v>24.752550000000003</v>
      </c>
    </row>
    <row r="54" spans="1:15" x14ac:dyDescent="0.4">
      <c r="A54">
        <v>1451.4396899999999</v>
      </c>
      <c r="B54" s="1">
        <v>7.2782299999999998</v>
      </c>
      <c r="D54">
        <v>1451.4396899999999</v>
      </c>
      <c r="E54" s="1">
        <v>32.626300000000001</v>
      </c>
      <c r="G54">
        <v>1451.4396899999999</v>
      </c>
      <c r="H54" s="1">
        <v>17.4312</v>
      </c>
      <c r="J54">
        <f t="shared" si="0"/>
        <v>1451.4396899999999</v>
      </c>
      <c r="K54">
        <f t="shared" si="1"/>
        <v>19.952265000000001</v>
      </c>
      <c r="L54" s="1">
        <f t="shared" si="2"/>
        <v>17.4312</v>
      </c>
      <c r="M54" s="1">
        <f t="shared" si="3"/>
        <v>2.5210650000000001</v>
      </c>
      <c r="N54" s="3">
        <f t="shared" si="4"/>
        <v>0.14462945752443893</v>
      </c>
      <c r="O54" s="1">
        <f t="shared" si="5"/>
        <v>25.34807</v>
      </c>
    </row>
    <row r="55" spans="1:15" x14ac:dyDescent="0.4">
      <c r="A55">
        <v>1453.7423699999999</v>
      </c>
      <c r="B55" s="1">
        <v>6.7747000000000002</v>
      </c>
      <c r="D55">
        <v>1453.7423699999999</v>
      </c>
      <c r="E55" s="1">
        <v>32.065600000000003</v>
      </c>
      <c r="G55">
        <v>1453.7423699999999</v>
      </c>
      <c r="H55" s="1">
        <v>16.8734</v>
      </c>
      <c r="J55">
        <f t="shared" si="0"/>
        <v>1453.7423699999999</v>
      </c>
      <c r="K55">
        <f t="shared" si="1"/>
        <v>19.420150000000003</v>
      </c>
      <c r="L55" s="1">
        <f t="shared" si="2"/>
        <v>16.8734</v>
      </c>
      <c r="M55" s="1">
        <f t="shared" si="3"/>
        <v>2.546750000000003</v>
      </c>
      <c r="N55" s="3">
        <f t="shared" si="4"/>
        <v>0.15093282918676751</v>
      </c>
      <c r="O55" s="1">
        <f t="shared" si="5"/>
        <v>25.290900000000004</v>
      </c>
    </row>
    <row r="56" spans="1:15" x14ac:dyDescent="0.4">
      <c r="A56">
        <v>1456.0450599999999</v>
      </c>
      <c r="B56" s="1">
        <v>6.2099799999999998</v>
      </c>
      <c r="D56">
        <v>1456.0450599999999</v>
      </c>
      <c r="E56" s="1">
        <v>30.757000000000001</v>
      </c>
      <c r="G56">
        <v>1456.0450599999999</v>
      </c>
      <c r="H56" s="1">
        <v>15.9887</v>
      </c>
      <c r="J56">
        <f t="shared" si="0"/>
        <v>1456.0450599999999</v>
      </c>
      <c r="K56">
        <f t="shared" si="1"/>
        <v>18.48349</v>
      </c>
      <c r="L56" s="1">
        <f t="shared" si="2"/>
        <v>15.9887</v>
      </c>
      <c r="M56" s="1">
        <f t="shared" si="3"/>
        <v>2.4947900000000001</v>
      </c>
      <c r="N56" s="3">
        <f t="shared" si="4"/>
        <v>0.15603457441818286</v>
      </c>
      <c r="O56" s="1">
        <f t="shared" si="5"/>
        <v>24.547020000000003</v>
      </c>
    </row>
    <row r="57" spans="1:15" x14ac:dyDescent="0.4">
      <c r="A57">
        <v>1458.3477499999999</v>
      </c>
      <c r="B57" s="1">
        <v>5.6238999999999999</v>
      </c>
      <c r="D57">
        <v>1458.3477499999999</v>
      </c>
      <c r="E57" s="1">
        <v>28.838999999999999</v>
      </c>
      <c r="G57">
        <v>1458.3477499999999</v>
      </c>
      <c r="H57" s="1">
        <v>14.858000000000001</v>
      </c>
      <c r="J57">
        <f t="shared" si="0"/>
        <v>1458.3477499999999</v>
      </c>
      <c r="K57">
        <f t="shared" si="1"/>
        <v>17.231449999999999</v>
      </c>
      <c r="L57" s="1">
        <f t="shared" si="2"/>
        <v>14.858000000000001</v>
      </c>
      <c r="M57" s="1">
        <f t="shared" si="3"/>
        <v>2.3734499999999983</v>
      </c>
      <c r="N57" s="3">
        <f t="shared" si="4"/>
        <v>0.15974222641001468</v>
      </c>
      <c r="O57" s="1">
        <f t="shared" si="5"/>
        <v>23.2151</v>
      </c>
    </row>
    <row r="58" spans="1:15" x14ac:dyDescent="0.4">
      <c r="A58">
        <v>1460.6504299999999</v>
      </c>
      <c r="B58" s="1">
        <v>5.0646699999999996</v>
      </c>
      <c r="D58">
        <v>1460.6504299999999</v>
      </c>
      <c r="E58" s="1">
        <v>26.527100000000001</v>
      </c>
      <c r="G58">
        <v>1460.6504299999999</v>
      </c>
      <c r="H58" s="1">
        <v>13.598599999999999</v>
      </c>
      <c r="J58">
        <f t="shared" si="0"/>
        <v>1460.6504299999999</v>
      </c>
      <c r="K58">
        <f t="shared" si="1"/>
        <v>15.795885</v>
      </c>
      <c r="L58" s="1">
        <f t="shared" si="2"/>
        <v>13.598599999999999</v>
      </c>
      <c r="M58" s="1">
        <f t="shared" si="3"/>
        <v>2.1972850000000008</v>
      </c>
      <c r="N58" s="3">
        <f t="shared" si="4"/>
        <v>0.1615817069404204</v>
      </c>
      <c r="O58" s="1">
        <f t="shared" si="5"/>
        <v>21.462430000000001</v>
      </c>
    </row>
    <row r="59" spans="1:15" x14ac:dyDescent="0.4">
      <c r="A59">
        <v>1462.9531199999999</v>
      </c>
      <c r="B59" s="1">
        <v>4.5496600000000003</v>
      </c>
      <c r="D59">
        <v>1462.9531199999999</v>
      </c>
      <c r="E59" s="1">
        <v>24.025400000000001</v>
      </c>
      <c r="G59">
        <v>1462.9531199999999</v>
      </c>
      <c r="H59" s="1">
        <v>12.297499999999999</v>
      </c>
      <c r="J59">
        <f t="shared" si="0"/>
        <v>1462.9531199999999</v>
      </c>
      <c r="K59">
        <f t="shared" si="1"/>
        <v>14.28753</v>
      </c>
      <c r="L59" s="1">
        <f t="shared" si="2"/>
        <v>12.297499999999999</v>
      </c>
      <c r="M59" s="1">
        <f t="shared" si="3"/>
        <v>1.9900300000000009</v>
      </c>
      <c r="N59" s="3">
        <f t="shared" si="4"/>
        <v>0.16182394795690189</v>
      </c>
      <c r="O59" s="1">
        <f t="shared" si="5"/>
        <v>19.475740000000002</v>
      </c>
    </row>
    <row r="60" spans="1:15" x14ac:dyDescent="0.4">
      <c r="A60">
        <v>1465.2558100000001</v>
      </c>
      <c r="B60" s="1">
        <v>4.0896600000000003</v>
      </c>
      <c r="D60">
        <v>1465.2558100000001</v>
      </c>
      <c r="E60" s="1">
        <v>21.5396</v>
      </c>
      <c r="G60">
        <v>1465.2558100000001</v>
      </c>
      <c r="H60" s="1">
        <v>11.039899999999999</v>
      </c>
      <c r="J60">
        <f t="shared" si="0"/>
        <v>1465.2558100000001</v>
      </c>
      <c r="K60">
        <f t="shared" si="1"/>
        <v>12.814630000000001</v>
      </c>
      <c r="L60" s="1">
        <f t="shared" si="2"/>
        <v>11.039899999999999</v>
      </c>
      <c r="M60" s="1">
        <f t="shared" si="3"/>
        <v>1.7747300000000017</v>
      </c>
      <c r="N60" s="3">
        <f t="shared" si="4"/>
        <v>0.16075598510856093</v>
      </c>
      <c r="O60" s="1">
        <f t="shared" si="5"/>
        <v>17.449939999999998</v>
      </c>
    </row>
    <row r="61" spans="1:15" x14ac:dyDescent="0.4">
      <c r="A61">
        <v>1467.5584899999999</v>
      </c>
      <c r="B61" s="1">
        <v>3.6881400000000002</v>
      </c>
      <c r="D61">
        <v>1467.5584899999999</v>
      </c>
      <c r="E61" s="1">
        <v>19.1661</v>
      </c>
      <c r="G61">
        <v>1467.5584899999999</v>
      </c>
      <c r="H61" s="1">
        <v>9.8654600000000006</v>
      </c>
      <c r="J61">
        <f t="shared" si="0"/>
        <v>1467.5584899999999</v>
      </c>
      <c r="K61">
        <f t="shared" si="1"/>
        <v>11.42712</v>
      </c>
      <c r="L61" s="1">
        <f t="shared" si="2"/>
        <v>9.8654600000000006</v>
      </c>
      <c r="M61" s="1">
        <f t="shared" si="3"/>
        <v>1.5616599999999998</v>
      </c>
      <c r="N61" s="3">
        <f t="shared" si="4"/>
        <v>0.15829571048891788</v>
      </c>
      <c r="O61" s="1">
        <f t="shared" si="5"/>
        <v>15.477959999999999</v>
      </c>
    </row>
    <row r="62" spans="1:15" x14ac:dyDescent="0.4">
      <c r="A62">
        <v>1469.8611800000001</v>
      </c>
      <c r="B62" s="1">
        <v>3.3379300000000001</v>
      </c>
      <c r="D62">
        <v>1469.8611800000001</v>
      </c>
      <c r="E62" s="1">
        <v>16.9833</v>
      </c>
      <c r="G62">
        <v>1469.8611800000001</v>
      </c>
      <c r="H62" s="1">
        <v>8.7982499999999995</v>
      </c>
      <c r="J62">
        <f t="shared" si="0"/>
        <v>1469.8611800000001</v>
      </c>
      <c r="K62">
        <f t="shared" si="1"/>
        <v>10.160615</v>
      </c>
      <c r="L62" s="1">
        <f t="shared" si="2"/>
        <v>8.7982499999999995</v>
      </c>
      <c r="M62" s="1">
        <f t="shared" si="3"/>
        <v>1.3623650000000005</v>
      </c>
      <c r="N62" s="3">
        <f t="shared" si="4"/>
        <v>0.15484499758474704</v>
      </c>
      <c r="O62" s="1">
        <f t="shared" si="5"/>
        <v>13.64537</v>
      </c>
    </row>
    <row r="63" spans="1:15" x14ac:dyDescent="0.4">
      <c r="A63">
        <v>1472.1638600000001</v>
      </c>
      <c r="B63" s="1">
        <v>3.0315500000000002</v>
      </c>
      <c r="D63">
        <v>1472.1638600000001</v>
      </c>
      <c r="E63" s="1">
        <v>15.021100000000001</v>
      </c>
      <c r="G63">
        <v>1472.1638600000001</v>
      </c>
      <c r="H63" s="1">
        <v>7.8442800000000004</v>
      </c>
      <c r="J63">
        <f t="shared" si="0"/>
        <v>1472.1638600000001</v>
      </c>
      <c r="K63">
        <f t="shared" si="1"/>
        <v>9.0263249999999999</v>
      </c>
      <c r="L63" s="1">
        <f t="shared" si="2"/>
        <v>7.8442800000000004</v>
      </c>
      <c r="M63" s="1">
        <f t="shared" si="3"/>
        <v>1.1820449999999996</v>
      </c>
      <c r="N63" s="3">
        <f t="shared" si="4"/>
        <v>0.15068878214444148</v>
      </c>
      <c r="O63" s="1">
        <f t="shared" si="5"/>
        <v>11.989550000000001</v>
      </c>
    </row>
    <row r="64" spans="1:15" x14ac:dyDescent="0.4">
      <c r="A64">
        <v>1474.4665500000001</v>
      </c>
      <c r="B64" s="1">
        <v>2.75644</v>
      </c>
      <c r="D64">
        <v>1474.4665500000001</v>
      </c>
      <c r="E64" s="1">
        <v>13.2759</v>
      </c>
      <c r="G64">
        <v>1474.4665500000001</v>
      </c>
      <c r="H64" s="1">
        <v>6.9929300000000003</v>
      </c>
      <c r="J64">
        <f t="shared" si="0"/>
        <v>1474.4665500000001</v>
      </c>
      <c r="K64">
        <f t="shared" si="1"/>
        <v>8.0161700000000007</v>
      </c>
      <c r="L64" s="1">
        <f t="shared" si="2"/>
        <v>6.9929300000000003</v>
      </c>
      <c r="M64" s="1">
        <f t="shared" si="3"/>
        <v>1.0232400000000004</v>
      </c>
      <c r="N64" s="3">
        <f t="shared" si="4"/>
        <v>0.14632493103749078</v>
      </c>
      <c r="O64" s="1">
        <f t="shared" si="5"/>
        <v>10.51946</v>
      </c>
    </row>
    <row r="65" spans="1:15" x14ac:dyDescent="0.4">
      <c r="A65">
        <v>1476.7692400000001</v>
      </c>
      <c r="B65" s="1">
        <v>2.5091100000000002</v>
      </c>
      <c r="D65">
        <v>1476.7692400000001</v>
      </c>
      <c r="E65" s="1">
        <v>11.738899999999999</v>
      </c>
      <c r="G65">
        <v>1476.7692400000001</v>
      </c>
      <c r="H65" s="1">
        <v>6.2388000000000003</v>
      </c>
      <c r="J65">
        <f t="shared" si="0"/>
        <v>1476.7692400000001</v>
      </c>
      <c r="K65">
        <f t="shared" si="1"/>
        <v>7.1240049999999995</v>
      </c>
      <c r="L65" s="1">
        <f t="shared" si="2"/>
        <v>6.2388000000000003</v>
      </c>
      <c r="M65" s="1">
        <f t="shared" si="3"/>
        <v>0.88520499999999913</v>
      </c>
      <c r="N65" s="3">
        <f t="shared" si="4"/>
        <v>0.14188706161441289</v>
      </c>
      <c r="O65" s="1">
        <f t="shared" si="5"/>
        <v>9.2297899999999995</v>
      </c>
    </row>
    <row r="66" spans="1:15" x14ac:dyDescent="0.4">
      <c r="A66">
        <v>1479.0719200000001</v>
      </c>
      <c r="B66" s="1">
        <v>2.28559</v>
      </c>
      <c r="D66">
        <v>1479.0719200000001</v>
      </c>
      <c r="E66" s="1">
        <v>10.391500000000001</v>
      </c>
      <c r="G66">
        <v>1479.0719200000001</v>
      </c>
      <c r="H66" s="1">
        <v>5.5722300000000002</v>
      </c>
      <c r="J66">
        <f t="shared" si="0"/>
        <v>1479.0719200000001</v>
      </c>
      <c r="K66">
        <f t="shared" si="1"/>
        <v>6.3385449999999999</v>
      </c>
      <c r="L66" s="1">
        <f t="shared" si="2"/>
        <v>5.5722300000000002</v>
      </c>
      <c r="M66" s="1">
        <f t="shared" si="3"/>
        <v>0.76631499999999964</v>
      </c>
      <c r="N66" s="3">
        <f t="shared" si="4"/>
        <v>0.13752393565951146</v>
      </c>
      <c r="O66" s="1">
        <f t="shared" si="5"/>
        <v>8.1059100000000015</v>
      </c>
    </row>
    <row r="67" spans="1:15" x14ac:dyDescent="0.4">
      <c r="A67">
        <v>1481.3746100000001</v>
      </c>
      <c r="B67" s="1">
        <v>2.0817800000000002</v>
      </c>
      <c r="D67">
        <v>1481.3746100000001</v>
      </c>
      <c r="E67" s="1">
        <v>9.2143200000000007</v>
      </c>
      <c r="G67">
        <v>1481.3746100000001</v>
      </c>
      <c r="H67" s="1">
        <v>4.9830899999999998</v>
      </c>
      <c r="J67">
        <f t="shared" ref="J67:J97" si="6">G67</f>
        <v>1481.3746100000001</v>
      </c>
      <c r="K67">
        <f t="shared" ref="K67:K97" si="7">(B67+E67)/2</f>
        <v>5.6480500000000005</v>
      </c>
      <c r="L67" s="1">
        <f t="shared" ref="L67:L97" si="8">H67</f>
        <v>4.9830899999999998</v>
      </c>
      <c r="M67" s="1">
        <f t="shared" ref="M67:M97" si="9">K67-L67</f>
        <v>0.66496000000000066</v>
      </c>
      <c r="N67" s="3">
        <f t="shared" ref="N67:N97" si="10">M67/L67</f>
        <v>0.13344330525838399</v>
      </c>
      <c r="O67" s="1">
        <f t="shared" ref="O67:O97" si="11">E67-B67</f>
        <v>7.1325400000000005</v>
      </c>
    </row>
    <row r="68" spans="1:15" x14ac:dyDescent="0.4">
      <c r="A68">
        <v>1483.6773000000001</v>
      </c>
      <c r="B68" s="1">
        <v>1.8940600000000001</v>
      </c>
      <c r="D68">
        <v>1483.6773000000001</v>
      </c>
      <c r="E68" s="1">
        <v>8.1887500000000006</v>
      </c>
      <c r="G68">
        <v>1483.6773000000001</v>
      </c>
      <c r="H68" s="1">
        <v>4.4617699999999996</v>
      </c>
      <c r="J68">
        <f t="shared" si="6"/>
        <v>1483.6773000000001</v>
      </c>
      <c r="K68">
        <f t="shared" si="7"/>
        <v>5.0414050000000001</v>
      </c>
      <c r="L68" s="1">
        <f t="shared" si="8"/>
        <v>4.4617699999999996</v>
      </c>
      <c r="M68" s="1">
        <f t="shared" si="9"/>
        <v>0.57963500000000057</v>
      </c>
      <c r="N68" s="3">
        <f t="shared" si="10"/>
        <v>0.12991144769900748</v>
      </c>
      <c r="O68" s="1">
        <f t="shared" si="11"/>
        <v>6.294690000000001</v>
      </c>
    </row>
    <row r="69" spans="1:15" x14ac:dyDescent="0.4">
      <c r="A69">
        <v>1485.9799800000001</v>
      </c>
      <c r="B69" s="1">
        <v>1.7219899999999999</v>
      </c>
      <c r="D69">
        <v>1485.9799800000001</v>
      </c>
      <c r="E69" s="1">
        <v>7.2956599999999998</v>
      </c>
      <c r="G69">
        <v>1485.9799800000001</v>
      </c>
      <c r="H69" s="1">
        <v>4.0010000000000003</v>
      </c>
      <c r="J69">
        <f t="shared" si="6"/>
        <v>1485.9799800000001</v>
      </c>
      <c r="K69">
        <f t="shared" si="7"/>
        <v>4.5088249999999999</v>
      </c>
      <c r="L69" s="1">
        <f t="shared" si="8"/>
        <v>4.0010000000000003</v>
      </c>
      <c r="M69" s="1">
        <f t="shared" si="9"/>
        <v>0.50782499999999953</v>
      </c>
      <c r="N69" s="3">
        <f t="shared" si="10"/>
        <v>0.1269245188702823</v>
      </c>
      <c r="O69" s="1">
        <f t="shared" si="11"/>
        <v>5.5736699999999999</v>
      </c>
    </row>
    <row r="70" spans="1:15" x14ac:dyDescent="0.4">
      <c r="A70">
        <v>1488.2826700000001</v>
      </c>
      <c r="B70" s="1">
        <v>1.56406</v>
      </c>
      <c r="D70">
        <v>1488.2826700000001</v>
      </c>
      <c r="E70" s="1">
        <v>6.5188600000000001</v>
      </c>
      <c r="G70">
        <v>1488.2826700000001</v>
      </c>
      <c r="H70" s="1">
        <v>3.5936900000000001</v>
      </c>
      <c r="J70">
        <f t="shared" si="6"/>
        <v>1488.2826700000001</v>
      </c>
      <c r="K70">
        <f t="shared" si="7"/>
        <v>4.0414599999999998</v>
      </c>
      <c r="L70" s="1">
        <f t="shared" si="8"/>
        <v>3.5936900000000001</v>
      </c>
      <c r="M70" s="1">
        <f t="shared" si="9"/>
        <v>0.44776999999999978</v>
      </c>
      <c r="N70" s="3">
        <f t="shared" si="10"/>
        <v>0.12459894982594485</v>
      </c>
      <c r="O70" s="1">
        <f t="shared" si="11"/>
        <v>4.9548000000000005</v>
      </c>
    </row>
    <row r="71" spans="1:15" x14ac:dyDescent="0.4">
      <c r="A71">
        <v>1490.5853500000001</v>
      </c>
      <c r="B71" s="1">
        <v>1.4205300000000001</v>
      </c>
      <c r="D71">
        <v>1490.5853500000001</v>
      </c>
      <c r="E71" s="1">
        <v>5.8445299999999998</v>
      </c>
      <c r="G71">
        <v>1490.5853500000001</v>
      </c>
      <c r="H71" s="1">
        <v>3.2349399999999999</v>
      </c>
      <c r="J71">
        <f t="shared" si="6"/>
        <v>1490.5853500000001</v>
      </c>
      <c r="K71">
        <f t="shared" si="7"/>
        <v>3.63253</v>
      </c>
      <c r="L71" s="1">
        <f t="shared" si="8"/>
        <v>3.2349399999999999</v>
      </c>
      <c r="M71" s="1">
        <f t="shared" si="9"/>
        <v>0.39759000000000011</v>
      </c>
      <c r="N71" s="3">
        <f t="shared" si="10"/>
        <v>0.12290490704618946</v>
      </c>
      <c r="O71" s="1">
        <f t="shared" si="11"/>
        <v>4.4239999999999995</v>
      </c>
    </row>
    <row r="72" spans="1:15" x14ac:dyDescent="0.4">
      <c r="A72">
        <v>1492.88804</v>
      </c>
      <c r="B72" s="1">
        <v>1.29433</v>
      </c>
      <c r="D72">
        <v>1492.88804</v>
      </c>
      <c r="E72" s="1">
        <v>5.2581800000000003</v>
      </c>
      <c r="G72">
        <v>1492.88804</v>
      </c>
      <c r="H72" s="1">
        <v>2.9214099999999998</v>
      </c>
      <c r="J72">
        <f t="shared" si="6"/>
        <v>1492.88804</v>
      </c>
      <c r="K72">
        <f t="shared" si="7"/>
        <v>3.2762549999999999</v>
      </c>
      <c r="L72" s="1">
        <f t="shared" si="8"/>
        <v>2.9214099999999998</v>
      </c>
      <c r="M72" s="1">
        <f t="shared" si="9"/>
        <v>0.35484500000000008</v>
      </c>
      <c r="N72" s="3">
        <f t="shared" si="10"/>
        <v>0.12146360832611654</v>
      </c>
      <c r="O72" s="1">
        <f t="shared" si="11"/>
        <v>3.9638500000000003</v>
      </c>
    </row>
    <row r="73" spans="1:15" x14ac:dyDescent="0.4">
      <c r="A73">
        <v>1495.19073</v>
      </c>
      <c r="B73" s="1">
        <v>1.1898599999999999</v>
      </c>
      <c r="D73">
        <v>1495.19073</v>
      </c>
      <c r="E73" s="1">
        <v>4.7519</v>
      </c>
      <c r="G73">
        <v>1495.19073</v>
      </c>
      <c r="H73" s="1">
        <v>2.6531099999999999</v>
      </c>
      <c r="J73">
        <f t="shared" si="6"/>
        <v>1495.19073</v>
      </c>
      <c r="K73">
        <f t="shared" si="7"/>
        <v>2.9708800000000002</v>
      </c>
      <c r="L73" s="1">
        <f t="shared" si="8"/>
        <v>2.6531099999999999</v>
      </c>
      <c r="M73" s="1">
        <f t="shared" si="9"/>
        <v>0.31777000000000033</v>
      </c>
      <c r="N73" s="3">
        <f t="shared" si="10"/>
        <v>0.11977264417984944</v>
      </c>
      <c r="O73" s="1">
        <f t="shared" si="11"/>
        <v>3.5620400000000001</v>
      </c>
    </row>
    <row r="74" spans="1:15" x14ac:dyDescent="0.4">
      <c r="A74">
        <v>1497.49341</v>
      </c>
      <c r="B74" s="1">
        <v>1.0944799999999999</v>
      </c>
      <c r="D74">
        <v>1497.49341</v>
      </c>
      <c r="E74" s="1">
        <v>4.3156400000000001</v>
      </c>
      <c r="G74">
        <v>1497.49341</v>
      </c>
      <c r="H74" s="1">
        <v>2.4174799999999999</v>
      </c>
      <c r="J74">
        <f t="shared" si="6"/>
        <v>1497.49341</v>
      </c>
      <c r="K74">
        <f t="shared" si="7"/>
        <v>2.70506</v>
      </c>
      <c r="L74" s="1">
        <f t="shared" si="8"/>
        <v>2.4174799999999999</v>
      </c>
      <c r="M74" s="1">
        <f t="shared" si="9"/>
        <v>0.28758000000000017</v>
      </c>
      <c r="N74" s="3">
        <f t="shared" si="10"/>
        <v>0.11895858497278165</v>
      </c>
      <c r="O74" s="1">
        <f t="shared" si="11"/>
        <v>3.2211600000000002</v>
      </c>
    </row>
    <row r="75" spans="1:15" x14ac:dyDescent="0.4">
      <c r="A75">
        <v>1499.7961</v>
      </c>
      <c r="B75" s="1">
        <v>1.0064599999999999</v>
      </c>
      <c r="D75">
        <v>1499.7961</v>
      </c>
      <c r="E75" s="1">
        <v>3.9358</v>
      </c>
      <c r="G75">
        <v>1499.7961</v>
      </c>
      <c r="H75" s="1">
        <v>2.20817</v>
      </c>
      <c r="J75">
        <f t="shared" si="6"/>
        <v>1499.7961</v>
      </c>
      <c r="K75">
        <f t="shared" si="7"/>
        <v>2.47113</v>
      </c>
      <c r="L75" s="1">
        <f t="shared" si="8"/>
        <v>2.20817</v>
      </c>
      <c r="M75" s="1">
        <f t="shared" si="9"/>
        <v>0.26296000000000008</v>
      </c>
      <c r="N75" s="3">
        <f t="shared" si="10"/>
        <v>0.11908503421385133</v>
      </c>
      <c r="O75" s="1">
        <f t="shared" si="11"/>
        <v>2.9293399999999998</v>
      </c>
    </row>
    <row r="76" spans="1:15" x14ac:dyDescent="0.4">
      <c r="A76">
        <v>1502.09879</v>
      </c>
      <c r="B76" s="1">
        <v>0.92627099999999996</v>
      </c>
      <c r="D76">
        <v>1502.09879</v>
      </c>
      <c r="E76" s="1">
        <v>3.5961500000000002</v>
      </c>
      <c r="G76">
        <v>1502.09879</v>
      </c>
      <c r="H76" s="1">
        <v>2.0194000000000001</v>
      </c>
      <c r="J76">
        <f t="shared" si="6"/>
        <v>1502.09879</v>
      </c>
      <c r="K76">
        <f t="shared" si="7"/>
        <v>2.2612105000000002</v>
      </c>
      <c r="L76" s="1">
        <f t="shared" si="8"/>
        <v>2.0194000000000001</v>
      </c>
      <c r="M76" s="1">
        <f t="shared" si="9"/>
        <v>0.24181050000000015</v>
      </c>
      <c r="N76" s="3">
        <f t="shared" si="10"/>
        <v>0.11974373576309802</v>
      </c>
      <c r="O76" s="1">
        <f t="shared" si="11"/>
        <v>2.6698790000000003</v>
      </c>
    </row>
    <row r="77" spans="1:15" x14ac:dyDescent="0.4">
      <c r="A77">
        <v>1504.40147</v>
      </c>
      <c r="B77" s="1">
        <v>0.85794899999999996</v>
      </c>
      <c r="D77">
        <v>1504.40147</v>
      </c>
      <c r="E77" s="1">
        <v>3.2971200000000001</v>
      </c>
      <c r="G77">
        <v>1504.40147</v>
      </c>
      <c r="H77" s="1">
        <v>1.8536699999999999</v>
      </c>
      <c r="J77">
        <f t="shared" si="6"/>
        <v>1504.40147</v>
      </c>
      <c r="K77">
        <f t="shared" si="7"/>
        <v>2.0775345000000001</v>
      </c>
      <c r="L77" s="1">
        <f t="shared" si="8"/>
        <v>1.8536699999999999</v>
      </c>
      <c r="M77" s="1">
        <f t="shared" si="9"/>
        <v>0.22386450000000013</v>
      </c>
      <c r="N77" s="3">
        <f t="shared" si="10"/>
        <v>0.12076825972260442</v>
      </c>
      <c r="O77" s="1">
        <f t="shared" si="11"/>
        <v>2.439171</v>
      </c>
    </row>
    <row r="78" spans="1:15" x14ac:dyDescent="0.4">
      <c r="A78">
        <v>1506.70416</v>
      </c>
      <c r="B78" s="1">
        <v>0.80445599999999995</v>
      </c>
      <c r="D78">
        <v>1506.70416</v>
      </c>
      <c r="E78" s="1">
        <v>3.0380799999999999</v>
      </c>
      <c r="G78">
        <v>1506.70416</v>
      </c>
      <c r="H78" s="1">
        <v>1.71262</v>
      </c>
      <c r="J78">
        <f t="shared" si="6"/>
        <v>1506.70416</v>
      </c>
      <c r="K78">
        <f t="shared" si="7"/>
        <v>1.921268</v>
      </c>
      <c r="L78" s="1">
        <f t="shared" si="8"/>
        <v>1.71262</v>
      </c>
      <c r="M78" s="1">
        <f t="shared" si="9"/>
        <v>0.20864799999999994</v>
      </c>
      <c r="N78" s="3">
        <f t="shared" si="10"/>
        <v>0.12182971120271861</v>
      </c>
      <c r="O78" s="1">
        <f t="shared" si="11"/>
        <v>2.2336239999999998</v>
      </c>
    </row>
    <row r="79" spans="1:15" x14ac:dyDescent="0.4">
      <c r="A79">
        <v>1509.00684</v>
      </c>
      <c r="B79" s="1">
        <v>0.76456299999999999</v>
      </c>
      <c r="D79">
        <v>1509.00684</v>
      </c>
      <c r="E79" s="1">
        <v>2.8152699999999999</v>
      </c>
      <c r="G79">
        <v>1509.00684</v>
      </c>
      <c r="H79" s="1">
        <v>1.5935999999999999</v>
      </c>
      <c r="J79">
        <f t="shared" si="6"/>
        <v>1509.00684</v>
      </c>
      <c r="K79">
        <f t="shared" si="7"/>
        <v>1.7899164999999999</v>
      </c>
      <c r="L79" s="1">
        <f t="shared" si="8"/>
        <v>1.5935999999999999</v>
      </c>
      <c r="M79" s="1">
        <f t="shared" si="9"/>
        <v>0.1963165</v>
      </c>
      <c r="N79" s="3">
        <f t="shared" si="10"/>
        <v>0.1231905747991968</v>
      </c>
      <c r="O79" s="1">
        <f t="shared" si="11"/>
        <v>2.0507070000000001</v>
      </c>
    </row>
    <row r="80" spans="1:15" x14ac:dyDescent="0.4">
      <c r="A80">
        <v>1511.30953</v>
      </c>
      <c r="B80" s="1">
        <v>0.74007699999999998</v>
      </c>
      <c r="D80">
        <v>1511.30953</v>
      </c>
      <c r="E80" s="1">
        <v>2.6161799999999999</v>
      </c>
      <c r="G80">
        <v>1511.30953</v>
      </c>
      <c r="H80" s="1">
        <v>1.4926600000000001</v>
      </c>
      <c r="J80">
        <f t="shared" si="6"/>
        <v>1511.30953</v>
      </c>
      <c r="K80">
        <f t="shared" si="7"/>
        <v>1.6781284999999999</v>
      </c>
      <c r="L80" s="1">
        <f t="shared" si="8"/>
        <v>1.4926600000000001</v>
      </c>
      <c r="M80" s="1">
        <f t="shared" si="9"/>
        <v>0.18546849999999981</v>
      </c>
      <c r="N80" s="3">
        <f t="shared" si="10"/>
        <v>0.12425368134739311</v>
      </c>
      <c r="O80" s="1">
        <f t="shared" si="11"/>
        <v>1.8761030000000001</v>
      </c>
    </row>
    <row r="81" spans="1:15" x14ac:dyDescent="0.4">
      <c r="A81">
        <v>1513.61222</v>
      </c>
      <c r="B81" s="1">
        <v>0.72583900000000001</v>
      </c>
      <c r="D81">
        <v>1513.61222</v>
      </c>
      <c r="E81" s="1">
        <v>2.44259</v>
      </c>
      <c r="G81">
        <v>1513.61222</v>
      </c>
      <c r="H81" s="1">
        <v>1.4079600000000001</v>
      </c>
      <c r="J81">
        <f t="shared" si="6"/>
        <v>1513.61222</v>
      </c>
      <c r="K81">
        <f t="shared" si="7"/>
        <v>1.5842145000000001</v>
      </c>
      <c r="L81" s="1">
        <f t="shared" si="8"/>
        <v>1.4079600000000001</v>
      </c>
      <c r="M81" s="1">
        <f t="shared" si="9"/>
        <v>0.17625449999999998</v>
      </c>
      <c r="N81" s="3">
        <f t="shared" si="10"/>
        <v>0.1251843092133299</v>
      </c>
      <c r="O81" s="1">
        <f t="shared" si="11"/>
        <v>1.7167509999999999</v>
      </c>
    </row>
    <row r="82" spans="1:15" x14ac:dyDescent="0.4">
      <c r="A82">
        <v>1515.9149</v>
      </c>
      <c r="B82" s="1">
        <v>0.705735</v>
      </c>
      <c r="D82">
        <v>1515.9149</v>
      </c>
      <c r="E82" s="1">
        <v>2.2801</v>
      </c>
      <c r="G82">
        <v>1515.9149</v>
      </c>
      <c r="H82" s="1">
        <v>1.32568</v>
      </c>
      <c r="J82">
        <f t="shared" si="6"/>
        <v>1515.9149</v>
      </c>
      <c r="K82">
        <f t="shared" si="7"/>
        <v>1.4929174999999999</v>
      </c>
      <c r="L82" s="1">
        <f t="shared" si="8"/>
        <v>1.32568</v>
      </c>
      <c r="M82" s="1">
        <f t="shared" si="9"/>
        <v>0.16723749999999993</v>
      </c>
      <c r="N82" s="3">
        <f t="shared" si="10"/>
        <v>0.12615223885100471</v>
      </c>
      <c r="O82" s="1">
        <f t="shared" si="11"/>
        <v>1.574365</v>
      </c>
    </row>
    <row r="83" spans="1:15" x14ac:dyDescent="0.4">
      <c r="A83">
        <v>1518.21759</v>
      </c>
      <c r="B83" s="1">
        <v>0.66116699999999995</v>
      </c>
      <c r="D83">
        <v>1518.21759</v>
      </c>
      <c r="E83" s="1">
        <v>2.1064799999999999</v>
      </c>
      <c r="G83">
        <v>1518.21759</v>
      </c>
      <c r="H83" s="1">
        <v>1.2272400000000001</v>
      </c>
      <c r="J83">
        <f t="shared" si="6"/>
        <v>1518.21759</v>
      </c>
      <c r="K83">
        <f t="shared" si="7"/>
        <v>1.3838234999999999</v>
      </c>
      <c r="L83" s="1">
        <f t="shared" si="8"/>
        <v>1.2272400000000001</v>
      </c>
      <c r="M83" s="1">
        <f t="shared" si="9"/>
        <v>0.15658349999999976</v>
      </c>
      <c r="N83" s="3">
        <f t="shared" si="10"/>
        <v>0.12758995795443415</v>
      </c>
      <c r="O83" s="1">
        <f t="shared" si="11"/>
        <v>1.4453130000000001</v>
      </c>
    </row>
    <row r="84" spans="1:15" x14ac:dyDescent="0.4">
      <c r="A84">
        <v>1520.52028</v>
      </c>
      <c r="B84" s="1">
        <v>0.59395699999999996</v>
      </c>
      <c r="D84">
        <v>1520.52028</v>
      </c>
      <c r="E84" s="1">
        <v>1.9282999999999999</v>
      </c>
      <c r="G84">
        <v>1520.52028</v>
      </c>
      <c r="H84" s="1">
        <v>1.11643</v>
      </c>
      <c r="J84">
        <f t="shared" si="6"/>
        <v>1520.52028</v>
      </c>
      <c r="K84">
        <f t="shared" si="7"/>
        <v>1.2611284999999999</v>
      </c>
      <c r="L84" s="1">
        <f t="shared" si="8"/>
        <v>1.11643</v>
      </c>
      <c r="M84" s="1">
        <f t="shared" si="9"/>
        <v>0.14469849999999984</v>
      </c>
      <c r="N84" s="3">
        <f t="shared" si="10"/>
        <v>0.12960821547253285</v>
      </c>
      <c r="O84" s="1">
        <f t="shared" si="11"/>
        <v>1.3343430000000001</v>
      </c>
    </row>
    <row r="85" spans="1:15" x14ac:dyDescent="0.4">
      <c r="A85">
        <v>1522.82296</v>
      </c>
      <c r="B85" s="1">
        <v>0.52506900000000001</v>
      </c>
      <c r="D85">
        <v>1522.82296</v>
      </c>
      <c r="E85" s="1">
        <v>1.76003</v>
      </c>
      <c r="G85">
        <v>1522.82296</v>
      </c>
      <c r="H85" s="1">
        <v>1.0098499999999999</v>
      </c>
      <c r="J85">
        <f t="shared" si="6"/>
        <v>1522.82296</v>
      </c>
      <c r="K85">
        <f t="shared" si="7"/>
        <v>1.1425494999999999</v>
      </c>
      <c r="L85" s="1">
        <f t="shared" si="8"/>
        <v>1.0098499999999999</v>
      </c>
      <c r="M85" s="1">
        <f t="shared" si="9"/>
        <v>0.13269949999999997</v>
      </c>
      <c r="N85" s="3">
        <f t="shared" si="10"/>
        <v>0.13140515918205672</v>
      </c>
      <c r="O85" s="1">
        <f t="shared" si="11"/>
        <v>1.234961</v>
      </c>
    </row>
    <row r="86" spans="1:15" x14ac:dyDescent="0.4">
      <c r="A86">
        <v>1525.12565</v>
      </c>
      <c r="B86" s="1">
        <v>0.46315400000000001</v>
      </c>
      <c r="D86">
        <v>1525.12565</v>
      </c>
      <c r="E86" s="1">
        <v>1.6069100000000001</v>
      </c>
      <c r="G86">
        <v>1525.12565</v>
      </c>
      <c r="H86" s="1">
        <v>0.91312099999999996</v>
      </c>
      <c r="J86">
        <f t="shared" si="6"/>
        <v>1525.12565</v>
      </c>
      <c r="K86">
        <f t="shared" si="7"/>
        <v>1.035032</v>
      </c>
      <c r="L86" s="1">
        <f t="shared" si="8"/>
        <v>0.91312099999999996</v>
      </c>
      <c r="M86" s="1">
        <f t="shared" si="9"/>
        <v>0.12191099999999999</v>
      </c>
      <c r="N86" s="3">
        <f t="shared" si="10"/>
        <v>0.1335102357737912</v>
      </c>
      <c r="O86" s="1">
        <f t="shared" si="11"/>
        <v>1.143756</v>
      </c>
    </row>
    <row r="87" spans="1:15" x14ac:dyDescent="0.4">
      <c r="A87">
        <v>1527.42833</v>
      </c>
      <c r="B87" s="1">
        <v>0.41122300000000001</v>
      </c>
      <c r="D87">
        <v>1527.42833</v>
      </c>
      <c r="E87" s="1">
        <v>1.4705699999999999</v>
      </c>
      <c r="G87">
        <v>1527.42833</v>
      </c>
      <c r="H87" s="1">
        <v>0.82852000000000003</v>
      </c>
      <c r="J87">
        <f t="shared" si="6"/>
        <v>1527.42833</v>
      </c>
      <c r="K87">
        <f t="shared" si="7"/>
        <v>0.94089650000000002</v>
      </c>
      <c r="L87" s="1">
        <f t="shared" si="8"/>
        <v>0.82852000000000003</v>
      </c>
      <c r="M87" s="1">
        <f t="shared" si="9"/>
        <v>0.11237649999999999</v>
      </c>
      <c r="N87" s="3">
        <f t="shared" si="10"/>
        <v>0.13563522908318446</v>
      </c>
      <c r="O87" s="1">
        <f t="shared" si="11"/>
        <v>1.0593469999999998</v>
      </c>
    </row>
    <row r="88" spans="1:15" x14ac:dyDescent="0.4">
      <c r="A88">
        <v>1529.7310199999999</v>
      </c>
      <c r="B88" s="1">
        <v>0.36935899999999999</v>
      </c>
      <c r="D88">
        <v>1529.7310199999999</v>
      </c>
      <c r="E88" s="1">
        <v>1.34829</v>
      </c>
      <c r="G88">
        <v>1529.7310199999999</v>
      </c>
      <c r="H88" s="1">
        <v>0.75537399999999999</v>
      </c>
      <c r="J88">
        <f t="shared" si="6"/>
        <v>1529.7310199999999</v>
      </c>
      <c r="K88">
        <f t="shared" si="7"/>
        <v>0.85882449999999999</v>
      </c>
      <c r="L88" s="1">
        <f t="shared" si="8"/>
        <v>0.75537399999999999</v>
      </c>
      <c r="M88" s="1">
        <f t="shared" si="9"/>
        <v>0.1034505</v>
      </c>
      <c r="N88" s="3">
        <f t="shared" si="10"/>
        <v>0.13695268833716809</v>
      </c>
      <c r="O88" s="1">
        <f t="shared" si="11"/>
        <v>0.978931</v>
      </c>
    </row>
    <row r="89" spans="1:15" x14ac:dyDescent="0.4">
      <c r="A89">
        <v>1532.0337099999999</v>
      </c>
      <c r="B89" s="1">
        <v>0.33412199999999997</v>
      </c>
      <c r="D89">
        <v>1532.0337099999999</v>
      </c>
      <c r="E89" s="1">
        <v>1.24295</v>
      </c>
      <c r="G89">
        <v>1532.0337099999999</v>
      </c>
      <c r="H89" s="1">
        <v>0.69225800000000004</v>
      </c>
      <c r="J89">
        <f t="shared" si="6"/>
        <v>1532.0337099999999</v>
      </c>
      <c r="K89">
        <f t="shared" si="7"/>
        <v>0.78853600000000001</v>
      </c>
      <c r="L89" s="1">
        <f t="shared" si="8"/>
        <v>0.69225800000000004</v>
      </c>
      <c r="M89" s="1">
        <f t="shared" si="9"/>
        <v>9.6277999999999975E-2</v>
      </c>
      <c r="N89" s="3">
        <f t="shared" si="10"/>
        <v>0.13907820494671058</v>
      </c>
      <c r="O89" s="1">
        <f t="shared" si="11"/>
        <v>0.90882799999999997</v>
      </c>
    </row>
    <row r="90" spans="1:15" x14ac:dyDescent="0.4">
      <c r="A90">
        <v>1534.3363899999999</v>
      </c>
      <c r="B90" s="1">
        <v>0.304504</v>
      </c>
      <c r="D90">
        <v>1534.3363899999999</v>
      </c>
      <c r="E90" s="1">
        <v>1.1495500000000001</v>
      </c>
      <c r="G90">
        <v>1534.3363899999999</v>
      </c>
      <c r="H90" s="1">
        <v>0.63702499999999995</v>
      </c>
      <c r="J90">
        <f t="shared" si="6"/>
        <v>1534.3363899999999</v>
      </c>
      <c r="K90">
        <f t="shared" si="7"/>
        <v>0.72702700000000009</v>
      </c>
      <c r="L90" s="1">
        <f t="shared" si="8"/>
        <v>0.63702499999999995</v>
      </c>
      <c r="M90" s="1">
        <f t="shared" si="9"/>
        <v>9.0002000000000137E-2</v>
      </c>
      <c r="N90" s="3">
        <f t="shared" si="10"/>
        <v>0.14128487892939859</v>
      </c>
      <c r="O90" s="1">
        <f t="shared" si="11"/>
        <v>0.84504600000000007</v>
      </c>
    </row>
    <row r="91" spans="1:15" x14ac:dyDescent="0.4">
      <c r="A91">
        <v>1536.6390799999999</v>
      </c>
      <c r="B91" s="1">
        <v>0.27942899999999998</v>
      </c>
      <c r="D91">
        <v>1536.6390799999999</v>
      </c>
      <c r="E91" s="1">
        <v>1.06206</v>
      </c>
      <c r="G91">
        <v>1536.6390799999999</v>
      </c>
      <c r="H91" s="1">
        <v>0.58722300000000005</v>
      </c>
      <c r="J91">
        <f t="shared" si="6"/>
        <v>1536.6390799999999</v>
      </c>
      <c r="K91">
        <f t="shared" si="7"/>
        <v>0.67074449999999997</v>
      </c>
      <c r="L91" s="1">
        <f t="shared" si="8"/>
        <v>0.58722300000000005</v>
      </c>
      <c r="M91" s="1">
        <f t="shared" si="9"/>
        <v>8.3521499999999915E-2</v>
      </c>
      <c r="N91" s="3">
        <f t="shared" si="10"/>
        <v>0.14223131587148308</v>
      </c>
      <c r="O91" s="1">
        <f t="shared" si="11"/>
        <v>0.78263100000000008</v>
      </c>
    </row>
    <row r="92" spans="1:15" x14ac:dyDescent="0.4">
      <c r="A92">
        <v>1538.9417699999999</v>
      </c>
      <c r="B92" s="1">
        <v>0.25684000000000001</v>
      </c>
      <c r="D92">
        <v>1538.9417699999999</v>
      </c>
      <c r="E92" s="1">
        <v>0.98752600000000001</v>
      </c>
      <c r="G92">
        <v>1538.9417699999999</v>
      </c>
      <c r="H92" s="1">
        <v>0.54351899999999997</v>
      </c>
      <c r="J92">
        <f t="shared" si="6"/>
        <v>1538.9417699999999</v>
      </c>
      <c r="K92">
        <f t="shared" si="7"/>
        <v>0.62218300000000004</v>
      </c>
      <c r="L92" s="1">
        <f t="shared" si="8"/>
        <v>0.54351899999999997</v>
      </c>
      <c r="M92" s="1">
        <f t="shared" si="9"/>
        <v>7.8664000000000067E-2</v>
      </c>
      <c r="N92" s="3">
        <f t="shared" si="10"/>
        <v>0.14473091097091376</v>
      </c>
      <c r="O92" s="1">
        <f t="shared" si="11"/>
        <v>0.73068599999999995</v>
      </c>
    </row>
    <row r="93" spans="1:15" x14ac:dyDescent="0.4">
      <c r="A93">
        <v>1541.2444499999999</v>
      </c>
      <c r="B93" s="1">
        <v>0.236707</v>
      </c>
      <c r="D93">
        <v>1541.2444499999999</v>
      </c>
      <c r="E93" s="1">
        <v>0.91978599999999999</v>
      </c>
      <c r="G93">
        <v>1541.2444499999999</v>
      </c>
      <c r="H93" s="1">
        <v>0.50395800000000002</v>
      </c>
      <c r="J93">
        <f t="shared" si="6"/>
        <v>1541.2444499999999</v>
      </c>
      <c r="K93">
        <f t="shared" si="7"/>
        <v>0.5782465</v>
      </c>
      <c r="L93" s="1">
        <f t="shared" si="8"/>
        <v>0.50395800000000002</v>
      </c>
      <c r="M93" s="1">
        <f t="shared" si="9"/>
        <v>7.428849999999998E-2</v>
      </c>
      <c r="N93" s="3">
        <f t="shared" si="10"/>
        <v>0.14741010163545371</v>
      </c>
      <c r="O93" s="1">
        <f t="shared" si="11"/>
        <v>0.68307899999999999</v>
      </c>
    </row>
    <row r="94" spans="1:15" x14ac:dyDescent="0.4">
      <c r="A94">
        <v>1543.5471399999999</v>
      </c>
      <c r="B94" s="1">
        <v>0.21889500000000001</v>
      </c>
      <c r="D94">
        <v>1543.5471399999999</v>
      </c>
      <c r="E94" s="1">
        <v>0.85860700000000001</v>
      </c>
      <c r="G94">
        <v>1543.5471399999999</v>
      </c>
      <c r="H94" s="1">
        <v>0.468447</v>
      </c>
      <c r="J94">
        <f t="shared" si="6"/>
        <v>1543.5471399999999</v>
      </c>
      <c r="K94">
        <f t="shared" si="7"/>
        <v>0.53875099999999998</v>
      </c>
      <c r="L94" s="1">
        <f t="shared" si="8"/>
        <v>0.468447</v>
      </c>
      <c r="M94" s="1">
        <f t="shared" si="9"/>
        <v>7.0303999999999978E-2</v>
      </c>
      <c r="N94" s="3">
        <f t="shared" si="10"/>
        <v>0.15007887765318165</v>
      </c>
      <c r="O94" s="1">
        <f t="shared" si="11"/>
        <v>0.63971200000000006</v>
      </c>
    </row>
    <row r="95" spans="1:15" x14ac:dyDescent="0.4">
      <c r="A95">
        <v>1545.8498300000001</v>
      </c>
      <c r="B95" s="1">
        <v>0.202684</v>
      </c>
      <c r="D95">
        <v>1545.8498300000001</v>
      </c>
      <c r="E95" s="1">
        <v>0.80288899999999996</v>
      </c>
      <c r="G95">
        <v>1545.8498300000001</v>
      </c>
      <c r="H95" s="1">
        <v>0.43607499999999999</v>
      </c>
      <c r="J95">
        <f t="shared" si="6"/>
        <v>1545.8498300000001</v>
      </c>
      <c r="K95">
        <f t="shared" si="7"/>
        <v>0.50278650000000003</v>
      </c>
      <c r="L95" s="1">
        <f t="shared" si="8"/>
        <v>0.43607499999999999</v>
      </c>
      <c r="M95" s="1">
        <f t="shared" si="9"/>
        <v>6.6711500000000035E-2</v>
      </c>
      <c r="N95" s="3">
        <f t="shared" si="10"/>
        <v>0.15298171186149179</v>
      </c>
      <c r="O95" s="1">
        <f t="shared" si="11"/>
        <v>0.60020499999999999</v>
      </c>
    </row>
    <row r="96" spans="1:15" x14ac:dyDescent="0.4">
      <c r="A96">
        <v>1548.1525099999999</v>
      </c>
      <c r="B96" s="1">
        <v>0.18786</v>
      </c>
      <c r="D96">
        <v>1548.1525099999999</v>
      </c>
      <c r="E96" s="1">
        <v>0.75249500000000002</v>
      </c>
      <c r="G96">
        <v>1548.1525099999999</v>
      </c>
      <c r="H96" s="1">
        <v>0.40663199999999999</v>
      </c>
      <c r="J96">
        <f t="shared" si="6"/>
        <v>1548.1525099999999</v>
      </c>
      <c r="K96">
        <f t="shared" si="7"/>
        <v>0.47017750000000003</v>
      </c>
      <c r="L96" s="1">
        <f t="shared" si="8"/>
        <v>0.40663199999999999</v>
      </c>
      <c r="M96" s="1">
        <f t="shared" si="9"/>
        <v>6.3545500000000033E-2</v>
      </c>
      <c r="N96" s="3">
        <f t="shared" si="10"/>
        <v>0.15627274784079961</v>
      </c>
      <c r="O96" s="1">
        <f t="shared" si="11"/>
        <v>0.564635</v>
      </c>
    </row>
    <row r="97" spans="1:15" x14ac:dyDescent="0.4">
      <c r="A97">
        <v>1550.4552000000001</v>
      </c>
      <c r="B97" s="1">
        <v>0.17403399999999999</v>
      </c>
      <c r="D97">
        <v>1550.4552000000001</v>
      </c>
      <c r="E97" s="1">
        <v>0.70532099999999998</v>
      </c>
      <c r="G97">
        <v>1550.4552000000001</v>
      </c>
      <c r="H97" s="1">
        <v>0.37916800000000001</v>
      </c>
      <c r="J97">
        <f t="shared" si="6"/>
        <v>1550.4552000000001</v>
      </c>
      <c r="K97">
        <f t="shared" si="7"/>
        <v>0.4396775</v>
      </c>
      <c r="L97" s="1">
        <f t="shared" si="8"/>
        <v>0.37916800000000001</v>
      </c>
      <c r="M97" s="1">
        <f t="shared" si="9"/>
        <v>6.0509499999999994E-2</v>
      </c>
      <c r="N97" s="3">
        <f t="shared" si="10"/>
        <v>0.15958493332770696</v>
      </c>
      <c r="O97" s="1">
        <f t="shared" si="11"/>
        <v>0.53128699999999995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3"/>
  <sheetViews>
    <sheetView tabSelected="1" zoomScale="70" zoomScaleNormal="70" workbookViewId="0">
      <selection activeCell="C14" sqref="C14"/>
    </sheetView>
  </sheetViews>
  <sheetFormatPr defaultRowHeight="18.75" x14ac:dyDescent="0.4"/>
  <cols>
    <col min="14" max="14" width="2.125" customWidth="1"/>
    <col min="15" max="15" width="16.375" bestFit="1" customWidth="1"/>
    <col min="16" max="16" width="12.625" bestFit="1" customWidth="1"/>
  </cols>
  <sheetData>
    <row r="1" spans="2:16" x14ac:dyDescent="0.4">
      <c r="B1">
        <v>197.3</v>
      </c>
      <c r="C1" t="s">
        <v>11</v>
      </c>
      <c r="D1">
        <v>139.57</v>
      </c>
      <c r="F1" t="s">
        <v>13</v>
      </c>
      <c r="G1">
        <v>493.68</v>
      </c>
    </row>
    <row r="2" spans="2:16" x14ac:dyDescent="0.4">
      <c r="C2" t="s">
        <v>12</v>
      </c>
      <c r="D2">
        <v>1189</v>
      </c>
      <c r="F2" t="s">
        <v>14</v>
      </c>
      <c r="G2">
        <v>938.27200000000005</v>
      </c>
    </row>
    <row r="3" spans="2:16" x14ac:dyDescent="0.4">
      <c r="C3" t="s">
        <v>9</v>
      </c>
      <c r="E3" t="s">
        <v>6</v>
      </c>
      <c r="G3" t="s">
        <v>7</v>
      </c>
    </row>
    <row r="5" spans="2:16" x14ac:dyDescent="0.4">
      <c r="B5" t="s">
        <v>25</v>
      </c>
      <c r="C5" t="s">
        <v>8</v>
      </c>
      <c r="D5" t="s">
        <v>10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23</v>
      </c>
      <c r="L5" t="s">
        <v>24</v>
      </c>
      <c r="M5" t="s">
        <v>21</v>
      </c>
      <c r="O5" t="s">
        <v>9</v>
      </c>
      <c r="P5" t="s">
        <v>22</v>
      </c>
    </row>
    <row r="6" spans="2:16" x14ac:dyDescent="0.4">
      <c r="B6">
        <f>D6/$B$1</f>
        <v>1.081090893248182</v>
      </c>
      <c r="C6">
        <v>1500</v>
      </c>
      <c r="D6">
        <f>SQRT((C6^2-($G$1+$G$2)^2)*(C6^2-($G$1-$G$2)^2))/2/C6</f>
        <v>213.2992332378663</v>
      </c>
      <c r="E6">
        <v>100</v>
      </c>
      <c r="F6">
        <f>SQRT(D6^2+$G$1^2)</f>
        <v>537.7885321386666</v>
      </c>
      <c r="G6">
        <f>SQRT(E6^2+$G$1^2)</f>
        <v>503.70620643386957</v>
      </c>
      <c r="H6">
        <f>SQRT(D6^2+$G$2^2)</f>
        <v>962.2114678613334</v>
      </c>
      <c r="I6">
        <f>SQRT(E6^2+$G$2^2)</f>
        <v>943.58589751225099</v>
      </c>
      <c r="J6">
        <f>G6+I6</f>
        <v>1447.2921039461205</v>
      </c>
      <c r="K6">
        <f>F6+G6</f>
        <v>1041.4947385725361</v>
      </c>
      <c r="L6">
        <f>H6+I6</f>
        <v>1905.7973653735844</v>
      </c>
      <c r="M6">
        <f>K6*L6/(K6+L6)</f>
        <v>673.45816390728362</v>
      </c>
      <c r="O6">
        <f>1/(C6-J6)</f>
        <v>1.8972489415585322E-2</v>
      </c>
      <c r="P6">
        <f>M6/(D6^2-E6^2)</f>
        <v>1.8972489415585297E-2</v>
      </c>
    </row>
    <row r="7" spans="2:16" x14ac:dyDescent="0.4">
      <c r="B7">
        <f>D7/$B$1</f>
        <v>0.80264422219580878</v>
      </c>
      <c r="C7">
        <v>1470</v>
      </c>
      <c r="D7">
        <f>SQRT((C7^2-($G$1+$G$2)^2)*(C7^2-($G$1-$G$2)^2))/2/C7</f>
        <v>158.36170503923307</v>
      </c>
      <c r="E7">
        <v>100</v>
      </c>
      <c r="F7">
        <f>SQRT(D7^2+$G$1^2)</f>
        <v>518.4576858557823</v>
      </c>
      <c r="G7">
        <f>SQRT(E7^2+$G$1^2)</f>
        <v>503.70620643386957</v>
      </c>
      <c r="H7">
        <f>SQRT(D7^2+$G$2^2)</f>
        <v>951.5423141442177</v>
      </c>
      <c r="I7">
        <f>SQRT(E7^2+$G$2^2)</f>
        <v>943.58589751225099</v>
      </c>
      <c r="J7">
        <f>G7+I7</f>
        <v>1447.2921039461205</v>
      </c>
      <c r="K7">
        <f>F7+G7</f>
        <v>1022.1638922896518</v>
      </c>
      <c r="L7">
        <f>H7+I7</f>
        <v>1895.1282116564687</v>
      </c>
      <c r="M7">
        <f>K7*L7/(K7+L7)</f>
        <v>664.0170268155224</v>
      </c>
      <c r="O7">
        <f>1/(C7-J7)</f>
        <v>4.4037545249779167E-2</v>
      </c>
      <c r="P7">
        <f>M7/(D7^2-E7^2)</f>
        <v>4.4037545249778987E-2</v>
      </c>
    </row>
    <row r="8" spans="2:16" x14ac:dyDescent="0.4">
      <c r="B8">
        <f>D8/$B$1</f>
        <v>0.36645633549715828</v>
      </c>
      <c r="C8">
        <v>1440</v>
      </c>
      <c r="D8">
        <f>SQRT((C8^2-($G$1+$G$2)^2)*(C8^2-($G$1-$G$2)^2))/2/C8</f>
        <v>72.301834993589338</v>
      </c>
      <c r="E8">
        <v>100</v>
      </c>
      <c r="F8">
        <f>SQRT(D8^2+$G$1^2)</f>
        <v>498.94638764444443</v>
      </c>
      <c r="G8">
        <f>SQRT(E8^2+$G$1^2)</f>
        <v>503.70620643386957</v>
      </c>
      <c r="H8">
        <f>SQRT(D8^2+$G$2^2)</f>
        <v>941.05361235555563</v>
      </c>
      <c r="I8">
        <f>SQRT(E8^2+$G$2^2)</f>
        <v>943.58589751225099</v>
      </c>
      <c r="J8">
        <f>G8+I8</f>
        <v>1447.2921039461205</v>
      </c>
      <c r="K8">
        <f>F8+G8</f>
        <v>1002.652594078314</v>
      </c>
      <c r="L8">
        <f>H8+I8</f>
        <v>1884.6395098678067</v>
      </c>
      <c r="M8">
        <f>K8*L8/(K8+L8)</f>
        <v>654.46744750516621</v>
      </c>
      <c r="O8">
        <f>1/(C8-J8)</f>
        <v>-0.13713463321268385</v>
      </c>
      <c r="P8">
        <f>M8/(D8^2-E8^2)</f>
        <v>-0.13713463321268549</v>
      </c>
    </row>
    <row r="9" spans="2:16" x14ac:dyDescent="0.4">
      <c r="B9">
        <f>D9/$B$1</f>
        <v>0.18002772054227223</v>
      </c>
      <c r="C9">
        <v>1430</v>
      </c>
      <c r="D9">
        <f>SQRT(ABS(C9^2-($G$1+$G$2)^2)*(C9^2-($G$1-$G$2)^2))/2/C9</f>
        <v>35.519469262990313</v>
      </c>
      <c r="E9">
        <v>100</v>
      </c>
      <c r="F9">
        <f>SQRT(D9^2+$G$1^2)</f>
        <v>494.95613451772118</v>
      </c>
      <c r="G9">
        <f>SQRT(E9^2+$G$1^2)</f>
        <v>503.70620643386957</v>
      </c>
      <c r="H9">
        <f>SQRT(D9^2+$G$2^2)</f>
        <v>938.94407643944623</v>
      </c>
      <c r="I9">
        <f>SQRT(E9^2+$G$2^2)</f>
        <v>943.58589751225099</v>
      </c>
      <c r="J9">
        <f>G9+I9</f>
        <v>1447.2921039461205</v>
      </c>
      <c r="K9">
        <f>F9+G9</f>
        <v>998.66234095159075</v>
      </c>
      <c r="L9">
        <f>H9+I9</f>
        <v>1882.5299739516972</v>
      </c>
      <c r="M9">
        <f>K9*L9/(K9+L9)</f>
        <v>652.51173306744181</v>
      </c>
      <c r="O9">
        <f>1/(C9-J9)</f>
        <v>-5.7829862873589225E-2</v>
      </c>
      <c r="P9">
        <f>M9/(D9^2-E9^2)</f>
        <v>-7.4672042318804172E-2</v>
      </c>
    </row>
    <row r="10" spans="2:16" x14ac:dyDescent="0.4">
      <c r="B10">
        <f>D10/$B$1</f>
        <v>0.60068786764791304</v>
      </c>
      <c r="C10">
        <v>1410</v>
      </c>
      <c r="D10">
        <f>SQRT(ABS(C10^2-($G$1+$G$2)^2)*(C10^2-($G$1-$G$2)^2))/2/C10</f>
        <v>118.51571628693326</v>
      </c>
      <c r="E10">
        <v>100</v>
      </c>
      <c r="F10">
        <f>SQRT(D10^2+$G$1^2)</f>
        <v>507.70652685090118</v>
      </c>
      <c r="G10">
        <f>SQRT(E10^2+$G$1^2)</f>
        <v>503.70620643386957</v>
      </c>
      <c r="H10">
        <f>SQRT(D10^2+$G$2^2)</f>
        <v>945.72740310884774</v>
      </c>
      <c r="I10">
        <f>SQRT(E10^2+$G$2^2)</f>
        <v>943.58589751225099</v>
      </c>
      <c r="J10">
        <f>G10+I10</f>
        <v>1447.2921039461205</v>
      </c>
      <c r="K10">
        <f>F10+G10</f>
        <v>1011.4127332847708</v>
      </c>
      <c r="L10">
        <f>H10+I10</f>
        <v>1889.3133006210987</v>
      </c>
      <c r="M10">
        <f>K10*L10/(K10+L10)</f>
        <v>658.75767207130411</v>
      </c>
      <c r="O10">
        <f>1/(C10-J10)</f>
        <v>-2.6815328023454946E-2</v>
      </c>
      <c r="P10">
        <f>M10/(D10^2-E10^2)</f>
        <v>0.16281802802310624</v>
      </c>
    </row>
    <row r="11" spans="2:16" x14ac:dyDescent="0.4">
      <c r="B11">
        <f>D11/$B$1</f>
        <v>0.72285543095439364</v>
      </c>
      <c r="C11">
        <v>1400</v>
      </c>
      <c r="D11">
        <f>SQRT(ABS(C11^2-($G$1+$G$2)^2)*(C11^2-($G$1-$G$2)^2))/2/C11</f>
        <v>142.61937652730188</v>
      </c>
      <c r="E11">
        <v>100</v>
      </c>
      <c r="F11">
        <f>SQRT(D11^2+$G$1^2)</f>
        <v>513.86791003237033</v>
      </c>
      <c r="G11">
        <f>SQRT(E11^2+$G$1^2)</f>
        <v>503.70620643386957</v>
      </c>
      <c r="H11">
        <f>SQRT(D11^2+$G$2^2)</f>
        <v>949.04933093334853</v>
      </c>
      <c r="I11">
        <f>SQRT(E11^2+$G$2^2)</f>
        <v>943.58589751225099</v>
      </c>
      <c r="J11">
        <f>G11+I11</f>
        <v>1447.2921039461205</v>
      </c>
      <c r="K11">
        <f>F11+G11</f>
        <v>1017.57411646624</v>
      </c>
      <c r="L11">
        <f>H11+I11</f>
        <v>1892.6352284455995</v>
      </c>
      <c r="M11">
        <f>K11*L11/(K11+L11)</f>
        <v>661.77253665466242</v>
      </c>
      <c r="O11">
        <f>1/(C11-J11)</f>
        <v>-2.1145178931757647E-2</v>
      </c>
      <c r="P11">
        <f>M11/(D11^2-E11^2)</f>
        <v>6.399943877264648E-2</v>
      </c>
    </row>
    <row r="12" spans="2:16" x14ac:dyDescent="0.4">
      <c r="B12">
        <f>D12/$B$1</f>
        <v>0.9169641210325411</v>
      </c>
      <c r="C12">
        <v>1380</v>
      </c>
      <c r="D12">
        <f>SQRT(ABS(C12^2-($G$1+$G$2)^2)*(C12^2-($G$1-$G$2)^2))/2/C12</f>
        <v>180.91702107972037</v>
      </c>
      <c r="E12">
        <v>100</v>
      </c>
      <c r="F12">
        <f>SQRT(D12^2+$G$1^2)</f>
        <v>525.78599345775649</v>
      </c>
      <c r="G12">
        <f>SQRT(E12^2+$G$1^2)</f>
        <v>503.70620643386957</v>
      </c>
      <c r="H12">
        <f>SQRT(D12^2+$G$2^2)</f>
        <v>955.55497722546568</v>
      </c>
      <c r="I12">
        <f>SQRT(E12^2+$G$2^2)</f>
        <v>943.58589751225099</v>
      </c>
      <c r="J12">
        <f>G12+I12</f>
        <v>1447.2921039461205</v>
      </c>
      <c r="K12">
        <f>F12+G12</f>
        <v>1029.4921998916261</v>
      </c>
      <c r="L12">
        <f>H12+I12</f>
        <v>1899.1408747377168</v>
      </c>
      <c r="M12">
        <f>K12*L12/(K12+L12)</f>
        <v>667.5983871025868</v>
      </c>
      <c r="O12">
        <f>1/(C12-J12)</f>
        <v>-1.4860584546452595E-2</v>
      </c>
      <c r="P12">
        <f>M12/(D12^2-E12^2)</f>
        <v>2.9369553110862888E-2</v>
      </c>
    </row>
    <row r="13" spans="2:16" x14ac:dyDescent="0.4">
      <c r="B13">
        <f>D13/$B$1</f>
        <v>1.0734363188848839</v>
      </c>
      <c r="C13">
        <v>1360</v>
      </c>
      <c r="D13">
        <f>SQRT(ABS(C13^2-($G$1+$G$2)^2)*(C13^2-($G$1-$G$2)^2))/2/C13</f>
        <v>211.78898571598762</v>
      </c>
      <c r="E13">
        <v>100</v>
      </c>
      <c r="F13">
        <f>SQRT(D13^2+$G$1^2)</f>
        <v>537.19132240814054</v>
      </c>
      <c r="G13">
        <f>SQRT(E13^2+$G$1^2)</f>
        <v>503.70620643386957</v>
      </c>
      <c r="H13">
        <f>SQRT(D13^2+$G$2^2)</f>
        <v>961.87780952395758</v>
      </c>
      <c r="I13">
        <f>SQRT(E13^2+$G$2^2)</f>
        <v>943.58589751225099</v>
      </c>
      <c r="J13">
        <f>G13+I13</f>
        <v>1447.2921039461205</v>
      </c>
      <c r="K13">
        <f>F13+G13</f>
        <v>1040.8975288420102</v>
      </c>
      <c r="L13">
        <f>H13+I13</f>
        <v>1905.4637070362087</v>
      </c>
      <c r="M13">
        <f>K13*L13/(K13+L13)</f>
        <v>673.16676577199746</v>
      </c>
      <c r="O13">
        <f>1/(C13-J13)</f>
        <v>-1.1455789868660197E-2</v>
      </c>
      <c r="P13">
        <f>M13/(D13^2-E13^2)</f>
        <v>1.9313584400225153E-2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 A</vt:lpstr>
      <vt:lpstr>Model 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noumi</dc:creator>
  <cp:lastModifiedBy>noumi</cp:lastModifiedBy>
  <dcterms:created xsi:type="dcterms:W3CDTF">2015-06-05T18:19:34Z</dcterms:created>
  <dcterms:modified xsi:type="dcterms:W3CDTF">2017-09-09T00:08:48Z</dcterms:modified>
</cp:coreProperties>
</file>