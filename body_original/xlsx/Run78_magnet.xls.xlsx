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13.xml"/>
  <Override ContentType="application/vnd.openxmlformats-officedocument.drawingml.chart+xml" PartName="/xl/charts/chart44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9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16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37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40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電流表" sheetId="2" r:id="rId5"/>
    <sheet state="visible" name="電流→磁場" sheetId="3" r:id="rId6"/>
    <sheet state="visible" name="磁場データ" sheetId="4" r:id="rId7"/>
    <sheet state="visible" name="電圧データ" sheetId="5" r:id="rId8"/>
    <sheet state="visible" name="流量データ" sheetId="6" r:id="rId9"/>
    <sheet state="visible" name="K1.8D1" sheetId="7" r:id="rId10"/>
    <sheet state="visible" name="K1.8Q1" sheetId="8" r:id="rId11"/>
    <sheet state="visible" name="K1.8Q2" sheetId="9" r:id="rId12"/>
    <sheet state="visible" name="K1.8D2" sheetId="10" r:id="rId13"/>
    <sheet state="visible" name="K1.8Q3" sheetId="11" r:id="rId14"/>
    <sheet state="visible" name="K1.8O1" sheetId="12" r:id="rId15"/>
    <sheet state="visible" name="K1.8Q4" sheetId="13" r:id="rId16"/>
    <sheet state="visible" name="K1.8S1" sheetId="14" r:id="rId17"/>
    <sheet state="visible" name="K1.8S2" sheetId="15" r:id="rId18"/>
    <sheet state="visible" name="K1.8Q5" sheetId="16" r:id="rId19"/>
    <sheet state="visible" name="K1.8Q6" sheetId="17" r:id="rId20"/>
    <sheet state="visible" name="K1.8D3" sheetId="18" r:id="rId21"/>
    <sheet state="visible" name="K1.8Q7" sheetId="19" r:id="rId22"/>
    <sheet state="visible" name="K1.8O2" sheetId="20" r:id="rId23"/>
    <sheet state="visible" name="K1.8S3" sheetId="21" r:id="rId24"/>
    <sheet state="visible" name="K1.8S4" sheetId="22" r:id="rId25"/>
    <sheet state="visible" name="K1.8Q8" sheetId="23" r:id="rId26"/>
    <sheet state="visible" name="K1.8O3" sheetId="24" r:id="rId27"/>
    <sheet state="visible" name="K1.8Q9" sheetId="25" r:id="rId28"/>
    <sheet state="visible" name="K1.8Q10" sheetId="26" r:id="rId29"/>
    <sheet state="visible" name="K1.8Q11" sheetId="27" r:id="rId30"/>
    <sheet state="visible" name="K1.8Q12" sheetId="28" r:id="rId31"/>
    <sheet state="visible" name="K1.8Q13" sheetId="29" r:id="rId32"/>
  </sheets>
  <definedNames>
    <definedName localSheetId="27" name="solver_adj">K1.8Q12!$B$61:$B$65</definedName>
    <definedName localSheetId="22" name="solver_adj">K1.8Q8!$B$61:$B$65</definedName>
    <definedName localSheetId="12" name="solver_adj">K1.8Q4!$B$65:$B$68</definedName>
    <definedName localSheetId="18" name="solver_adj">K1.8Q7!$B$61:$B$65</definedName>
    <definedName localSheetId="20" name="solver_adj">K1.8S3!$B$41:$B$45</definedName>
    <definedName localSheetId="13" name="solver_opt">K1.8S1!$F$38</definedName>
    <definedName localSheetId="8" name="solver_adj">K1.8Q2!$B$72:$B$76</definedName>
    <definedName localSheetId="28" name="solver_opt">K1.8Q13!$F$58</definedName>
    <definedName localSheetId="28" name="solver_adj">K1.8Q13!$B$61:$B$65</definedName>
    <definedName localSheetId="7" name="solver_rhs1">#REF!</definedName>
    <definedName localSheetId="21" name="solver_adj">K1.8S4!$B$41:$B$45</definedName>
    <definedName localSheetId="23" name="solver_adj">K1.8O3!$B$33:$B$35</definedName>
    <definedName localSheetId="9" name="solver_opt">K1.8D2!$F$68</definedName>
    <definedName localSheetId="16" name="solver_adj">K1.8Q6!$B$55:$B$58</definedName>
    <definedName localSheetId="7" name="solver_opt">K1.8Q1!$F$19</definedName>
    <definedName localSheetId="27" name="solver_opt">K1.8Q12!$F$58</definedName>
    <definedName localSheetId="7" name="solver_lhs2">#REF!</definedName>
    <definedName localSheetId="19" name="solver_opt">K1.8O2!$F$30</definedName>
    <definedName localSheetId="26" name="solver_adj">K1.8Q11!$B$61:$B$65</definedName>
    <definedName localSheetId="9" name="solver_adj">K1.8D2!$B$71:$B$75</definedName>
    <definedName localSheetId="6" name="solver_opt">K1.8D1!$F$42</definedName>
    <definedName localSheetId="24" name="solver_opt">K1.8Q9!$F$58</definedName>
    <definedName localSheetId="8" name="solver_opt">K1.8Q2!$F$69</definedName>
    <definedName localSheetId="16" name="solver_opt">K1.8Q6!$F$52</definedName>
    <definedName localSheetId="18" name="solver_opt">K1.8Q7!$F$58</definedName>
    <definedName localSheetId="26" name="solver_opt">K1.8Q11!$F$58</definedName>
    <definedName localSheetId="17" name="solver_opt">K1.8D3!$F$38</definedName>
    <definedName localSheetId="11" name="solver_adj">K1.8O1!$B$27:$B$28</definedName>
    <definedName localSheetId="25" name="solver_adj">K1.8Q10!$B$61:$B$65</definedName>
    <definedName localSheetId="21" name="solver_opt">K1.8S4!$F$38</definedName>
    <definedName localSheetId="11" name="solver_opt">K1.8O1!$F$24</definedName>
    <definedName localSheetId="12" name="solver_opt">K1.8Q4!$F$62</definedName>
    <definedName localSheetId="14" name="solver_adj">K1.8S2!$B$41:$B$44</definedName>
    <definedName localSheetId="13" name="solver_adj">K1.8S1!$B$41:$B$44</definedName>
    <definedName localSheetId="10" name="solver_opt">K1.8Q3!$F$62</definedName>
    <definedName localSheetId="25" name="solver_opt">K1.8Q10!$F$58</definedName>
    <definedName localSheetId="15" name="solver_opt">K1.8Q5!$F$42</definedName>
    <definedName localSheetId="7" name="solver_adj">K1.8Q1!$B$22:$B$25</definedName>
    <definedName localSheetId="24" name="solver_adj">K1.8Q9!$B$61:$B$65</definedName>
    <definedName localSheetId="17" name="solver_adj">K1.8D3!$B$41:$B$44</definedName>
    <definedName localSheetId="22" name="solver_opt">K1.8Q8!$F$58</definedName>
    <definedName localSheetId="7" name="solver_lhs1">#REF!</definedName>
    <definedName localSheetId="15" name="solver_adj">K1.8Q5!$B$45:$B$48</definedName>
    <definedName localSheetId="6" name="solver_adj">K1.8D1!$B$45:$B$48</definedName>
    <definedName localSheetId="10" name="solver_adj">K1.8Q3!$B$65:$B$68</definedName>
    <definedName localSheetId="14" name="solver_opt">K1.8S2!$F$38</definedName>
    <definedName localSheetId="19" name="solver_adj">K1.8O2!$B$33:$B$35</definedName>
    <definedName localSheetId="20" name="solver_opt">K1.8S3!$F$38</definedName>
    <definedName localSheetId="23" name="solver_opt">K1.8O3!$F$30</definedName>
    <definedName localSheetId="7" name="solver_rhs2">#REF!</definedName>
  </definedNames>
  <calcPr/>
</workbook>
</file>

<file path=xl/sharedStrings.xml><?xml version="1.0" encoding="utf-8"?>
<sst xmlns="http://schemas.openxmlformats.org/spreadsheetml/2006/main" count="964" uniqueCount="158">
  <si>
    <t>FF+600 focus</t>
  </si>
  <si>
    <t>要素名</t>
  </si>
  <si>
    <t>FF+460 focus</t>
  </si>
  <si>
    <t>1.8GeV/c</t>
  </si>
  <si>
    <t>型式</t>
  </si>
  <si>
    <t>1.5GeV/c</t>
  </si>
  <si>
    <t>TRANS</t>
  </si>
  <si>
    <t>磁場強度</t>
  </si>
  <si>
    <t>2012.2.19</t>
  </si>
  <si>
    <t>B [kG]</t>
  </si>
  <si>
    <t>I[A]</t>
  </si>
  <si>
    <t>電流</t>
  </si>
  <si>
    <t>D1</t>
  </si>
  <si>
    <t>電圧</t>
  </si>
  <si>
    <t>電力</t>
  </si>
  <si>
    <t>差圧</t>
  </si>
  <si>
    <t>流量</t>
  </si>
  <si>
    <t>温度上昇</t>
  </si>
  <si>
    <t>Q1</t>
  </si>
  <si>
    <t>Q2</t>
  </si>
  <si>
    <t>at-poleからのファクター</t>
  </si>
  <si>
    <t>D2</t>
  </si>
  <si>
    <t>Q3</t>
  </si>
  <si>
    <t>O1</t>
  </si>
  <si>
    <t>参照電流[A]</t>
  </si>
  <si>
    <t>Q4</t>
  </si>
  <si>
    <t>S1</t>
  </si>
  <si>
    <t>CM1</t>
  </si>
  <si>
    <t>CM2</t>
  </si>
  <si>
    <t>S2</t>
  </si>
  <si>
    <t>Q5</t>
  </si>
  <si>
    <t>参照磁場強度[G]</t>
  </si>
  <si>
    <t>Q6</t>
  </si>
  <si>
    <t>参照差圧[kg/cm2]</t>
  </si>
  <si>
    <t>参照流量[l/min]</t>
  </si>
  <si>
    <t>D3</t>
  </si>
  <si>
    <t>Q7</t>
  </si>
  <si>
    <t>O2</t>
  </si>
  <si>
    <t>S3</t>
  </si>
  <si>
    <t>CM3</t>
  </si>
  <si>
    <t>CM4</t>
  </si>
  <si>
    <t>S4</t>
  </si>
  <si>
    <t>[A]</t>
  </si>
  <si>
    <t>[kG]</t>
  </si>
  <si>
    <t>Q8</t>
  </si>
  <si>
    <t>O3</t>
  </si>
  <si>
    <t>Q9</t>
  </si>
  <si>
    <t>[V]</t>
  </si>
  <si>
    <t>Q10</t>
  </si>
  <si>
    <t>Q11</t>
  </si>
  <si>
    <t>[kW]</t>
  </si>
  <si>
    <t>[kg/cm2]</t>
  </si>
  <si>
    <t>[l/min]</t>
  </si>
  <si>
    <t>[K]</t>
  </si>
  <si>
    <t>D4</t>
  </si>
  <si>
    <t>#1</t>
  </si>
  <si>
    <t>#2</t>
  </si>
  <si>
    <t>K1.8D1</t>
  </si>
  <si>
    <t>5C216SMIC</t>
  </si>
  <si>
    <t>D4S</t>
  </si>
  <si>
    <t>Q12</t>
  </si>
  <si>
    <t>Q13</t>
  </si>
  <si>
    <t>励磁特性 [A]vs[G]</t>
  </si>
  <si>
    <t>K1.8Q1</t>
  </si>
  <si>
    <t>NQ312MIC</t>
  </si>
  <si>
    <t>K1.8Q2</t>
  </si>
  <si>
    <t>Q416MIC</t>
  </si>
  <si>
    <t>K1.8D2</t>
  </si>
  <si>
    <t>8D218SMIC</t>
  </si>
  <si>
    <t>K1.8Q3</t>
  </si>
  <si>
    <t>Q410</t>
  </si>
  <si>
    <t>K1.8O1</t>
  </si>
  <si>
    <t>O503</t>
  </si>
  <si>
    <t>K1.8Q4</t>
  </si>
  <si>
    <t>K1.8S1</t>
  </si>
  <si>
    <t>SX504</t>
  </si>
  <si>
    <t>K1.8CM1</t>
  </si>
  <si>
    <t>4D604V</t>
  </si>
  <si>
    <t>K1.8CM2</t>
  </si>
  <si>
    <t>K1.8S2</t>
  </si>
  <si>
    <t>K1.8Q5</t>
  </si>
  <si>
    <t>NQ510</t>
  </si>
  <si>
    <t>K1.8Q6</t>
  </si>
  <si>
    <t>NQ610</t>
  </si>
  <si>
    <t>K1.8D3</t>
  </si>
  <si>
    <t>6D330S</t>
  </si>
  <si>
    <t>K1.8Q7</t>
  </si>
  <si>
    <t>NQ408</t>
  </si>
  <si>
    <t>K1.8O2</t>
  </si>
  <si>
    <t>O603</t>
  </si>
  <si>
    <t>K1.8S3</t>
  </si>
  <si>
    <t>SX604</t>
  </si>
  <si>
    <t>K1.8CM3</t>
  </si>
  <si>
    <t>K1.8CM4</t>
  </si>
  <si>
    <t>※K1.8BRS3は2Aピッチ</t>
  </si>
  <si>
    <t>※K1.8BRD4はフィットした式からの計算値</t>
  </si>
  <si>
    <t>※K1.8D4主は500Aピッチ、4000Aより上は計算値</t>
  </si>
  <si>
    <t>K1.8CM3,CM4はK1.8CM1のデータ</t>
  </si>
  <si>
    <t>K1.8S4</t>
  </si>
  <si>
    <t>K1.8Q8</t>
  </si>
  <si>
    <t>NQ512</t>
  </si>
  <si>
    <t>K1.8O3</t>
  </si>
  <si>
    <t>K1.8Q9</t>
  </si>
  <si>
    <t>NQ518</t>
  </si>
  <si>
    <t>K1.8Q10</t>
  </si>
  <si>
    <t>NQ418</t>
  </si>
  <si>
    <t>K1.8Q11</t>
  </si>
  <si>
    <t>NQ412</t>
  </si>
  <si>
    <t>K1.8D4</t>
  </si>
  <si>
    <t>13D389S</t>
  </si>
  <si>
    <t>K1.8D4副</t>
  </si>
  <si>
    <t>13D389S副</t>
  </si>
  <si>
    <t>K1.8Q12</t>
  </si>
  <si>
    <t>K1.8Q13</t>
  </si>
  <si>
    <t>流量特性 [kg/cm2]vs[l/min]</t>
  </si>
  <si>
    <t>K1.8BRS3</t>
  </si>
  <si>
    <t>SX404</t>
  </si>
  <si>
    <t>K1.8BRQ7</t>
  </si>
  <si>
    <t>Q306</t>
  </si>
  <si>
    <t>K1.8BRD4</t>
  </si>
  <si>
    <t>8D440S</t>
  </si>
  <si>
    <t>K1.8BRQ8</t>
  </si>
  <si>
    <t>K1.8BRD5</t>
  </si>
  <si>
    <t>8D240S</t>
  </si>
  <si>
    <t>KLD1</t>
  </si>
  <si>
    <t>6D230</t>
  </si>
  <si>
    <t>KURAMA</t>
  </si>
  <si>
    <t>20D1616</t>
  </si>
  <si>
    <t>※K1.8D1,Q1は式からの計算値</t>
  </si>
  <si>
    <t>Half Gap=4cm</t>
  </si>
  <si>
    <t>Half Width=20cm</t>
  </si>
  <si>
    <t>I/100 [A]</t>
  </si>
  <si>
    <t>f(x)</t>
  </si>
  <si>
    <t>f(x)-Y</t>
  </si>
  <si>
    <t>Z</t>
  </si>
  <si>
    <t>f(x)=P0+P1*x+P2*x^2+P3*x^3</t>
  </si>
  <si>
    <t>P0</t>
  </si>
  <si>
    <t>P1</t>
  </si>
  <si>
    <t>P2</t>
  </si>
  <si>
    <t>P3</t>
  </si>
  <si>
    <t>BatPole [kG]</t>
  </si>
  <si>
    <t>Current [A] (Input)</t>
  </si>
  <si>
    <t>Field at Pole [kG]</t>
  </si>
  <si>
    <t>Field at Pole (Input)</t>
  </si>
  <si>
    <t>Current</t>
  </si>
  <si>
    <t>at Poleでは、x2</t>
  </si>
  <si>
    <t>half aperture=8cm</t>
  </si>
  <si>
    <t>7.5cm？か</t>
  </si>
  <si>
    <t>Half Gap=7.5cm</t>
  </si>
  <si>
    <t>half aperture=10cm</t>
  </si>
  <si>
    <t>f(x)=P0+P1*x+P2*x^2+P3*x^3+P4*x^4</t>
  </si>
  <si>
    <t>P4</t>
  </si>
  <si>
    <t>at Poleでは、x8</t>
  </si>
  <si>
    <t>half aperture=12.5cm</t>
  </si>
  <si>
    <t>f(x)=P0+P1*x</t>
  </si>
  <si>
    <t>at Poleでは、x4</t>
  </si>
  <si>
    <t>at Poleでは、x150/80</t>
  </si>
  <si>
    <t>half aperture=15cm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</si>
</sst>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_ "/>
    <numFmt numFmtId="165" formatCode="0.00000_ "/>
    <numFmt numFmtId="166" formatCode="0.0000_ "/>
    <numFmt numFmtId="167" formatCode="0_ "/>
    <numFmt numFmtId="168" formatCode="0.0000_);[Red]\(0.0000\)"/>
    <numFmt numFmtId="169" formatCode="0.000E+00"/>
  </numFmts>
  <fonts count="8">
    <font>
      <sz val="11.0"/>
      <color rgb="FF000000"/>
      <name val="MS PGothic"/>
    </font>
    <font>
      <sz val="11.0"/>
      <color theme="1"/>
      <name val="MS PGothic"/>
    </font>
    <font>
      <color theme="1"/>
      <name val="Calibri"/>
    </font>
    <font>
      <sz val="11.0"/>
      <color rgb="FFFF0000"/>
      <name val="MS PGothic"/>
    </font>
    <font/>
    <font>
      <sz val="11.0"/>
      <name val="MS PGothic"/>
    </font>
    <font>
      <b/>
      <sz val="11.0"/>
      <color theme="1"/>
      <name val="MS PGothic"/>
    </font>
    <font>
      <i/>
      <sz val="11.0"/>
      <color theme="1"/>
      <name val="MS PGothic"/>
    </font>
  </fonts>
  <fills count="5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60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vertical="center"/>
    </xf>
    <xf borderId="3" fillId="0" fontId="1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6" fillId="0" fontId="1" numFmtId="164" xfId="0" applyAlignment="1" applyBorder="1" applyFont="1" applyNumberFormat="1">
      <alignment horizontal="center" shrinkToFit="0" vertical="center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4" fillId="0" fontId="1" numFmtId="164" xfId="0" applyAlignment="1" applyBorder="1" applyFont="1" applyNumberFormat="1">
      <alignment horizontal="center" shrinkToFit="0" vertical="center" wrapText="0"/>
    </xf>
    <xf borderId="2" fillId="0" fontId="1" numFmtId="164" xfId="0" applyAlignment="1" applyBorder="1" applyFont="1" applyNumberFormat="1">
      <alignment horizontal="center" shrinkToFit="0" vertical="center" wrapText="0"/>
    </xf>
    <xf borderId="3" fillId="0" fontId="1" numFmtId="0" xfId="0" applyAlignment="1" applyBorder="1" applyFont="1">
      <alignment horizontal="center" shrinkToFit="0" vertical="center" wrapText="1"/>
    </xf>
    <xf borderId="7" fillId="0" fontId="1" numFmtId="164" xfId="0" applyAlignment="1" applyBorder="1" applyFont="1" applyNumberFormat="1">
      <alignment horizontal="center" shrinkToFit="0" vertical="center" wrapText="0"/>
    </xf>
    <xf borderId="8" fillId="0" fontId="1" numFmtId="164" xfId="0" applyAlignment="1" applyBorder="1" applyFont="1" applyNumberFormat="1">
      <alignment horizontal="center" shrinkToFit="0" vertical="center" wrapText="0"/>
    </xf>
    <xf borderId="9" fillId="0" fontId="4" numFmtId="0" xfId="0" applyAlignment="1" applyBorder="1" applyFont="1">
      <alignment vertical="center"/>
    </xf>
    <xf borderId="10" fillId="0" fontId="1" numFmtId="164" xfId="0" applyAlignment="1" applyBorder="1" applyFont="1" applyNumberFormat="1">
      <alignment horizontal="center" shrinkToFit="0" vertical="center" wrapText="0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13" fillId="0" fontId="4" numFmtId="0" xfId="0" applyAlignment="1" applyBorder="1" applyFont="1">
      <alignment vertical="center"/>
    </xf>
    <xf borderId="14" fillId="0" fontId="4" numFmtId="0" xfId="0" applyAlignment="1" applyBorder="1" applyFont="1">
      <alignment vertical="center"/>
    </xf>
    <xf borderId="15" fillId="0" fontId="1" numFmtId="0" xfId="0" applyAlignment="1" applyBorder="1" applyFont="1">
      <alignment horizontal="center" shrinkToFit="0" vertical="center" wrapText="0"/>
    </xf>
    <xf borderId="16" fillId="0" fontId="4" numFmtId="0" xfId="0" applyAlignment="1" applyBorder="1" applyFont="1">
      <alignment vertical="center"/>
    </xf>
    <xf borderId="17" fillId="0" fontId="1" numFmtId="0" xfId="0" applyAlignment="1" applyBorder="1" applyFont="1">
      <alignment horizontal="center" shrinkToFit="0" vertical="center" wrapText="0"/>
    </xf>
    <xf borderId="18" fillId="0" fontId="1" numFmtId="0" xfId="0" applyAlignment="1" applyBorder="1" applyFont="1">
      <alignment horizontal="center" shrinkToFit="0" vertical="center" wrapText="0"/>
    </xf>
    <xf borderId="19" fillId="0" fontId="1" numFmtId="164" xfId="0" applyAlignment="1" applyBorder="1" applyFont="1" applyNumberFormat="1">
      <alignment horizontal="center" shrinkToFit="0" vertical="center" wrapText="0"/>
    </xf>
    <xf borderId="14" fillId="0" fontId="1" numFmtId="164" xfId="0" applyAlignment="1" applyBorder="1" applyFont="1" applyNumberFormat="1">
      <alignment horizontal="center" shrinkToFit="0" vertical="center" wrapText="0"/>
    </xf>
    <xf borderId="13" fillId="0" fontId="1" numFmtId="164" xfId="0" applyAlignment="1" applyBorder="1" applyFont="1" applyNumberFormat="1">
      <alignment horizontal="center" shrinkToFit="0" vertical="center" wrapText="0"/>
    </xf>
    <xf borderId="20" fillId="0" fontId="1" numFmtId="164" xfId="0" applyAlignment="1" applyBorder="1" applyFont="1" applyNumberFormat="1">
      <alignment horizontal="center" shrinkToFit="0" vertical="center" wrapText="0"/>
    </xf>
    <xf borderId="15" fillId="0" fontId="4" numFmtId="0" xfId="0" applyAlignment="1" applyBorder="1" applyFont="1">
      <alignment vertical="center"/>
    </xf>
    <xf borderId="16" fillId="0" fontId="1" numFmtId="164" xfId="0" applyAlignment="1" applyBorder="1" applyFont="1" applyNumberFormat="1">
      <alignment horizontal="center" shrinkToFit="0" vertical="center" wrapText="0"/>
    </xf>
    <xf borderId="21" fillId="0" fontId="1" numFmtId="0" xfId="0" applyAlignment="1" applyBorder="1" applyFont="1">
      <alignment horizontal="center" shrinkToFit="0" vertical="center" wrapText="0"/>
    </xf>
    <xf borderId="18" fillId="0" fontId="4" numFmtId="0" xfId="0" applyAlignment="1" applyBorder="1" applyFont="1">
      <alignment vertical="center"/>
    </xf>
    <xf borderId="22" fillId="0" fontId="1" numFmtId="0" xfId="0" applyAlignment="1" applyBorder="1" applyFont="1">
      <alignment horizontal="center" shrinkToFit="0" vertical="center" wrapText="0"/>
    </xf>
    <xf borderId="23" fillId="0" fontId="1" numFmtId="0" xfId="0" applyAlignment="1" applyBorder="1" applyFont="1">
      <alignment horizontal="center" shrinkToFit="0" vertical="center" wrapText="0"/>
    </xf>
    <xf borderId="24" fillId="0" fontId="1" numFmtId="0" xfId="0" applyAlignment="1" applyBorder="1" applyFont="1">
      <alignment horizontal="center" shrinkToFit="0" vertical="center" wrapText="0"/>
    </xf>
    <xf borderId="25" fillId="0" fontId="1" numFmtId="0" xfId="0" applyAlignment="1" applyBorder="1" applyFont="1">
      <alignment horizontal="center" shrinkToFit="0" vertical="center" wrapText="0"/>
    </xf>
    <xf borderId="26" fillId="0" fontId="1" numFmtId="0" xfId="0" applyAlignment="1" applyBorder="1" applyFont="1">
      <alignment shrinkToFit="0" vertical="center" wrapText="0"/>
    </xf>
    <xf borderId="27" fillId="0" fontId="1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shrinkToFit="0" vertical="center" wrapText="0"/>
    </xf>
    <xf borderId="28" fillId="0" fontId="1" numFmtId="0" xfId="0" applyAlignment="1" applyBorder="1" applyFont="1">
      <alignment shrinkToFit="0" vertical="center" wrapText="0"/>
    </xf>
    <xf borderId="29" fillId="2" fontId="1" numFmtId="0" xfId="0" applyAlignment="1" applyBorder="1" applyFill="1" applyFont="1">
      <alignment shrinkToFit="0" vertical="center" wrapText="0"/>
    </xf>
    <xf borderId="30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horizontal="right" shrinkToFit="0" vertical="center" wrapText="0"/>
    </xf>
    <xf borderId="31" fillId="2" fontId="1" numFmtId="0" xfId="0" applyAlignment="1" applyBorder="1" applyFont="1">
      <alignment shrinkToFit="0" vertical="center" wrapText="0"/>
    </xf>
    <xf borderId="0" fillId="0" fontId="3" numFmtId="0" xfId="0" applyAlignment="1" applyFont="1">
      <alignment horizontal="right" shrinkToFit="0" vertical="center" wrapText="0"/>
    </xf>
    <xf borderId="9" fillId="0" fontId="1" numFmtId="165" xfId="0" applyAlignment="1" applyBorder="1" applyFont="1" applyNumberFormat="1">
      <alignment shrinkToFit="0" vertical="center" wrapText="0"/>
    </xf>
    <xf borderId="28" fillId="0" fontId="1" numFmtId="164" xfId="0" applyAlignment="1" applyBorder="1" applyFont="1" applyNumberFormat="1">
      <alignment shrinkToFit="0" vertical="center" wrapText="0"/>
    </xf>
    <xf borderId="32" fillId="0" fontId="1" numFmtId="164" xfId="0" applyAlignment="1" applyBorder="1" applyFont="1" applyNumberFormat="1">
      <alignment shrinkToFit="0" vertical="center" wrapText="0"/>
    </xf>
    <xf borderId="33" fillId="0" fontId="1" numFmtId="164" xfId="0" applyAlignment="1" applyBorder="1" applyFont="1" applyNumberFormat="1">
      <alignment shrinkToFit="0" vertical="center" wrapText="0"/>
    </xf>
    <xf borderId="32" fillId="3" fontId="1" numFmtId="164" xfId="0" applyAlignment="1" applyBorder="1" applyFill="1" applyFont="1" applyNumberFormat="1">
      <alignment shrinkToFit="0" vertical="center" wrapText="0"/>
    </xf>
    <xf borderId="34" fillId="3" fontId="1" numFmtId="164" xfId="0" applyAlignment="1" applyBorder="1" applyFont="1" applyNumberFormat="1">
      <alignment shrinkToFit="0" vertical="center" wrapText="0"/>
    </xf>
    <xf borderId="10" fillId="0" fontId="1" numFmtId="164" xfId="0" applyAlignment="1" applyBorder="1" applyFont="1" applyNumberFormat="1">
      <alignment shrinkToFit="0" vertical="center" wrapText="0"/>
    </xf>
    <xf borderId="35" fillId="0" fontId="1" numFmtId="164" xfId="0" applyAlignment="1" applyBorder="1" applyFont="1" applyNumberFormat="1">
      <alignment shrinkToFit="0" vertical="center" wrapText="0"/>
    </xf>
    <xf borderId="29" fillId="0" fontId="1" numFmtId="165" xfId="0" applyAlignment="1" applyBorder="1" applyFont="1" applyNumberFormat="1">
      <alignment shrinkToFit="0" vertical="center" wrapText="0"/>
    </xf>
    <xf borderId="36" fillId="0" fontId="1" numFmtId="165" xfId="0" applyAlignment="1" applyBorder="1" applyFont="1" applyNumberFormat="1">
      <alignment shrinkToFit="0" vertical="center" wrapText="0"/>
    </xf>
    <xf borderId="9" fillId="0" fontId="1" numFmtId="164" xfId="0" applyAlignment="1" applyBorder="1" applyFont="1" applyNumberFormat="1">
      <alignment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37" fillId="0" fontId="1" numFmtId="0" xfId="0" applyAlignment="1" applyBorder="1" applyFont="1">
      <alignment shrinkToFit="0" vertical="center" wrapText="0"/>
    </xf>
    <xf borderId="8" fillId="0" fontId="4" numFmtId="0" xfId="0" applyAlignment="1" applyBorder="1" applyFont="1">
      <alignment vertical="center"/>
    </xf>
    <xf borderId="38" fillId="0" fontId="1" numFmtId="0" xfId="0" applyAlignment="1" applyBorder="1" applyFont="1">
      <alignment shrinkToFit="0" vertical="center" wrapText="0"/>
    </xf>
    <xf borderId="39" fillId="0" fontId="1" numFmtId="164" xfId="0" applyAlignment="1" applyBorder="1" applyFont="1" applyNumberFormat="1">
      <alignment shrinkToFit="0" vertical="center" wrapText="0"/>
    </xf>
    <xf borderId="40" fillId="2" fontId="1" numFmtId="0" xfId="0" applyAlignment="1" applyBorder="1" applyFont="1">
      <alignment shrinkToFit="0" vertical="center" wrapText="0"/>
    </xf>
    <xf borderId="41" fillId="0" fontId="1" numFmtId="0" xfId="0" applyAlignment="1" applyBorder="1" applyFont="1">
      <alignment shrinkToFit="0" vertical="center" wrapText="0"/>
    </xf>
    <xf borderId="37" fillId="0" fontId="1" numFmtId="164" xfId="0" applyAlignment="1" applyBorder="1" applyFont="1" applyNumberFormat="1">
      <alignment shrinkToFit="0" vertical="center" wrapText="0"/>
    </xf>
    <xf borderId="25" fillId="0" fontId="1" numFmtId="0" xfId="0" applyAlignment="1" applyBorder="1" applyFont="1">
      <alignment shrinkToFit="0" vertical="center" wrapText="0"/>
    </xf>
    <xf borderId="42" fillId="0" fontId="1" numFmtId="164" xfId="0" applyAlignment="1" applyBorder="1" applyFont="1" applyNumberFormat="1">
      <alignment shrinkToFit="0" vertical="center" wrapText="0"/>
    </xf>
    <xf borderId="42" fillId="3" fontId="1" numFmtId="164" xfId="0" applyAlignment="1" applyBorder="1" applyFont="1" applyNumberFormat="1">
      <alignment shrinkToFit="0" vertical="center" wrapText="0"/>
    </xf>
    <xf borderId="43" fillId="0" fontId="1" numFmtId="165" xfId="0" applyAlignment="1" applyBorder="1" applyFont="1" applyNumberFormat="1">
      <alignment shrinkToFit="0" vertical="center" wrapText="0"/>
    </xf>
    <xf borderId="44" fillId="0" fontId="1" numFmtId="164" xfId="0" applyAlignment="1" applyBorder="1" applyFont="1" applyNumberFormat="1">
      <alignment shrinkToFit="0" vertical="center" wrapText="0"/>
    </xf>
    <xf borderId="27" fillId="0" fontId="1" numFmtId="0" xfId="0" applyAlignment="1" applyBorder="1" applyFont="1">
      <alignment shrinkToFit="0" vertical="center" wrapText="0"/>
    </xf>
    <xf borderId="45" fillId="0" fontId="1" numFmtId="165" xfId="0" applyAlignment="1" applyBorder="1" applyFont="1" applyNumberFormat="1">
      <alignment shrinkToFit="0" vertical="center" wrapText="0"/>
    </xf>
    <xf borderId="38" fillId="0" fontId="1" numFmtId="164" xfId="0" applyAlignment="1" applyBorder="1" applyFont="1" applyNumberFormat="1">
      <alignment shrinkToFit="0" vertical="center" wrapText="0"/>
    </xf>
    <xf borderId="35" fillId="0" fontId="1" numFmtId="0" xfId="0" applyAlignment="1" applyBorder="1" applyFont="1">
      <alignment shrinkToFit="0" vertical="center" wrapText="0"/>
    </xf>
    <xf borderId="46" fillId="0" fontId="1" numFmtId="164" xfId="0" applyAlignment="1" applyBorder="1" applyFont="1" applyNumberFormat="1">
      <alignment shrinkToFit="0" vertical="center" wrapText="0"/>
    </xf>
    <xf borderId="40" fillId="0" fontId="1" numFmtId="165" xfId="0" applyAlignment="1" applyBorder="1" applyFont="1" applyNumberFormat="1">
      <alignment shrinkToFit="0" vertical="center" wrapText="0"/>
    </xf>
    <xf borderId="43" fillId="0" fontId="1" numFmtId="164" xfId="0" applyAlignment="1" applyBorder="1" applyFont="1" applyNumberFormat="1">
      <alignment shrinkToFit="0" vertical="center" wrapText="0"/>
    </xf>
    <xf borderId="44" fillId="0" fontId="1" numFmtId="0" xfId="0" applyAlignment="1" applyBorder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47" fillId="0" fontId="1" numFmtId="0" xfId="0" applyAlignment="1" applyBorder="1" applyFont="1">
      <alignment shrinkToFit="0" vertical="center" wrapText="0"/>
    </xf>
    <xf borderId="24" fillId="0" fontId="1" numFmtId="0" xfId="0" applyAlignment="1" applyBorder="1" applyFont="1">
      <alignment shrinkToFit="0" vertical="center" wrapText="0"/>
    </xf>
    <xf borderId="21" fillId="0" fontId="1" numFmtId="164" xfId="0" applyAlignment="1" applyBorder="1" applyFont="1" applyNumberFormat="1">
      <alignment shrinkToFit="0" vertical="center" wrapText="0"/>
    </xf>
    <xf borderId="22" fillId="0" fontId="1" numFmtId="164" xfId="0" applyAlignment="1" applyBorder="1" applyFont="1" applyNumberFormat="1">
      <alignment shrinkToFit="0" vertical="center" wrapText="0"/>
    </xf>
    <xf borderId="24" fillId="0" fontId="1" numFmtId="164" xfId="0" applyAlignment="1" applyBorder="1" applyFont="1" applyNumberFormat="1">
      <alignment shrinkToFit="0" vertical="center" wrapText="0"/>
    </xf>
    <xf borderId="40" fillId="2" fontId="5" numFmtId="0" xfId="0" applyAlignment="1" applyBorder="1" applyFont="1">
      <alignment readingOrder="0" shrinkToFit="0" vertical="center" wrapText="0"/>
    </xf>
    <xf borderId="39" fillId="0" fontId="1" numFmtId="0" xfId="0" applyAlignment="1" applyBorder="1" applyFont="1">
      <alignment shrinkToFit="0" vertical="center" wrapText="0"/>
    </xf>
    <xf borderId="23" fillId="0" fontId="1" numFmtId="0" xfId="0" applyAlignment="1" applyBorder="1" applyFont="1">
      <alignment shrinkToFit="0" vertical="center" wrapText="0"/>
    </xf>
    <xf borderId="48" fillId="0" fontId="1" numFmtId="0" xfId="0" applyAlignment="1" applyBorder="1" applyFont="1">
      <alignment shrinkToFit="0" vertical="center" wrapText="0"/>
    </xf>
    <xf borderId="49" fillId="2" fontId="1" numFmtId="0" xfId="0" applyAlignment="1" applyBorder="1" applyFont="1">
      <alignment shrinkToFit="0" vertical="center" wrapText="0"/>
    </xf>
    <xf borderId="41" fillId="0" fontId="1" numFmtId="165" xfId="0" applyAlignment="1" applyBorder="1" applyFont="1" applyNumberFormat="1">
      <alignment shrinkToFit="0" vertical="center" wrapText="0"/>
    </xf>
    <xf borderId="25" fillId="0" fontId="1" numFmtId="164" xfId="0" applyAlignment="1" applyBorder="1" applyFont="1" applyNumberFormat="1">
      <alignment shrinkToFit="0" vertical="center" wrapText="0"/>
    </xf>
    <xf borderId="25" fillId="3" fontId="1" numFmtId="164" xfId="0" applyAlignment="1" applyBorder="1" applyFont="1" applyNumberFormat="1">
      <alignment shrinkToFit="0" vertical="center" wrapText="0"/>
    </xf>
    <xf borderId="48" fillId="0" fontId="1" numFmtId="164" xfId="0" applyAlignment="1" applyBorder="1" applyFont="1" applyNumberFormat="1">
      <alignment shrinkToFit="0" vertical="center" wrapText="0"/>
    </xf>
    <xf borderId="49" fillId="0" fontId="1" numFmtId="165" xfId="0" applyAlignment="1" applyBorder="1" applyFont="1" applyNumberFormat="1">
      <alignment shrinkToFit="0" vertical="center" wrapText="0"/>
    </xf>
    <xf borderId="50" fillId="0" fontId="1" numFmtId="0" xfId="0" applyAlignment="1" applyBorder="1" applyFont="1">
      <alignment shrinkToFit="0" vertical="center" wrapText="0"/>
    </xf>
    <xf borderId="41" fillId="0" fontId="1" numFmtId="164" xfId="0" applyAlignment="1" applyBorder="1" applyFont="1" applyNumberFormat="1">
      <alignment shrinkToFit="0" vertical="center" wrapText="0"/>
    </xf>
    <xf borderId="51" fillId="2" fontId="1" numFmtId="0" xfId="0" applyAlignment="1" applyBorder="1" applyFont="1">
      <alignment shrinkToFit="0" vertical="center" wrapText="0"/>
    </xf>
    <xf borderId="12" fillId="0" fontId="1" numFmtId="164" xfId="0" applyAlignment="1" applyBorder="1" applyFont="1" applyNumberFormat="1">
      <alignment shrinkToFit="0" vertical="center" wrapText="0"/>
    </xf>
    <xf borderId="19" fillId="0" fontId="1" numFmtId="164" xfId="0" applyAlignment="1" applyBorder="1" applyFont="1" applyNumberFormat="1">
      <alignment shrinkToFit="0" vertical="center" wrapText="0"/>
    </xf>
    <xf borderId="52" fillId="3" fontId="1" numFmtId="164" xfId="0" applyAlignment="1" applyBorder="1" applyFont="1" applyNumberFormat="1">
      <alignment shrinkToFit="0" vertical="center" wrapText="0"/>
    </xf>
    <xf borderId="27" fillId="0" fontId="1" numFmtId="164" xfId="0" applyAlignment="1" applyBorder="1" applyFont="1" applyNumberFormat="1">
      <alignment shrinkToFit="0" vertical="center" wrapText="0"/>
    </xf>
    <xf borderId="53" fillId="0" fontId="1" numFmtId="164" xfId="0" applyAlignment="1" applyBorder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26" fillId="0" fontId="1" numFmtId="164" xfId="0" applyAlignment="1" applyBorder="1" applyFont="1" applyNumberFormat="1">
      <alignment shrinkToFit="0" vertical="center" wrapText="0"/>
    </xf>
    <xf borderId="8" fillId="0" fontId="1" numFmtId="165" xfId="0" applyAlignment="1" applyBorder="1" applyFont="1" applyNumberFormat="1">
      <alignment shrinkToFit="0" vertical="center" wrapText="0"/>
    </xf>
    <xf borderId="54" fillId="0" fontId="1" numFmtId="0" xfId="0" applyAlignment="1" applyBorder="1" applyFont="1">
      <alignment horizontal="center" shrinkToFit="0" vertical="center" wrapText="0"/>
    </xf>
    <xf borderId="16" fillId="0" fontId="1" numFmtId="0" xfId="0" applyAlignment="1" applyBorder="1" applyFont="1">
      <alignment horizontal="center" shrinkToFit="0" vertical="center" wrapText="0"/>
    </xf>
    <xf borderId="46" fillId="0" fontId="1" numFmtId="0" xfId="0" applyAlignment="1" applyBorder="1" applyFont="1">
      <alignment shrinkToFit="0" vertical="center" wrapText="0"/>
    </xf>
    <xf borderId="43" fillId="0" fontId="1" numFmtId="0" xfId="0" applyAlignment="1" applyBorder="1" applyFont="1">
      <alignment shrinkToFit="0" vertical="center" wrapText="0"/>
    </xf>
    <xf borderId="21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horizontal="center" shrinkToFit="0" vertical="center" wrapText="0"/>
    </xf>
    <xf borderId="33" fillId="0" fontId="1" numFmtId="0" xfId="0" applyAlignment="1" applyBorder="1" applyFont="1">
      <alignment shrinkToFit="0" vertical="center" wrapText="0"/>
    </xf>
    <xf borderId="42" fillId="0" fontId="1" numFmtId="0" xfId="0" applyAlignment="1" applyBorder="1" applyFont="1">
      <alignment shrinkToFit="0" vertical="center" wrapText="0"/>
    </xf>
    <xf borderId="23" fillId="0" fontId="1" numFmtId="164" xfId="0" applyAlignment="1" applyBorder="1" applyFont="1" applyNumberFormat="1">
      <alignment shrinkToFit="0" vertical="center" wrapText="0"/>
    </xf>
    <xf borderId="55" fillId="0" fontId="1" numFmtId="165" xfId="0" applyAlignment="1" applyBorder="1" applyFont="1" applyNumberFormat="1">
      <alignment shrinkToFit="0" vertical="center" wrapText="0"/>
    </xf>
    <xf borderId="22" fillId="0" fontId="1" numFmtId="0" xfId="0" applyAlignment="1" applyBorder="1" applyFont="1">
      <alignment shrinkToFit="0" vertical="center" wrapText="0"/>
    </xf>
    <xf borderId="32" fillId="0" fontId="1" numFmtId="0" xfId="0" applyAlignment="1" applyBorder="1" applyFont="1">
      <alignment shrinkToFit="0" vertical="center" wrapText="0"/>
    </xf>
    <xf borderId="46" fillId="0" fontId="1" numFmtId="165" xfId="0" applyAlignment="1" applyBorder="1" applyFont="1" applyNumberFormat="1">
      <alignment shrinkToFit="0" vertical="center" wrapText="0"/>
    </xf>
    <xf borderId="30" fillId="0" fontId="1" numFmtId="164" xfId="0" applyAlignment="1" applyBorder="1" applyFont="1" applyNumberFormat="1">
      <alignment shrinkToFit="0" vertical="center" wrapText="0"/>
    </xf>
    <xf borderId="56" fillId="0" fontId="1" numFmtId="165" xfId="0" applyAlignment="1" applyBorder="1" applyFont="1" applyNumberFormat="1">
      <alignment shrinkToFit="0" vertical="center" wrapText="0"/>
    </xf>
    <xf borderId="14" fillId="0" fontId="1" numFmtId="164" xfId="0" applyAlignment="1" applyBorder="1" applyFont="1" applyNumberFormat="1">
      <alignment shrinkToFit="0" vertical="center" wrapText="0"/>
    </xf>
    <xf borderId="20" fillId="0" fontId="1" numFmtId="164" xfId="0" applyAlignment="1" applyBorder="1" applyFont="1" applyNumberFormat="1">
      <alignment shrinkToFit="0" vertical="center" wrapText="0"/>
    </xf>
    <xf borderId="57" fillId="3" fontId="1" numFmtId="164" xfId="0" applyAlignment="1" applyBorder="1" applyFont="1" applyNumberFormat="1">
      <alignment shrinkToFit="0" vertical="center" wrapText="0"/>
    </xf>
    <xf borderId="16" fillId="0" fontId="1" numFmtId="164" xfId="0" applyAlignment="1" applyBorder="1" applyFont="1" applyNumberFormat="1">
      <alignment shrinkToFit="0" vertical="center" wrapText="0"/>
    </xf>
    <xf borderId="58" fillId="0" fontId="1" numFmtId="165" xfId="0" applyAlignment="1" applyBorder="1" applyFont="1" applyNumberForma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167" xfId="0" applyAlignment="1" applyFont="1" applyNumberFormat="1">
      <alignment shrinkToFit="0" vertical="center" wrapText="0"/>
    </xf>
    <xf borderId="0" fillId="0" fontId="1" numFmtId="168" xfId="0" applyAlignment="1" applyFont="1" applyNumberFormat="1">
      <alignment shrinkToFit="0" vertical="center" wrapText="0"/>
    </xf>
    <xf borderId="0" fillId="0" fontId="1" numFmtId="169" xfId="0" applyAlignment="1" applyFont="1" applyNumberFormat="1">
      <alignment shrinkToFit="0" vertical="center" wrapText="0"/>
    </xf>
    <xf borderId="59" fillId="4" fontId="1" numFmtId="164" xfId="0" applyAlignment="1" applyBorder="1" applyFill="1" applyFont="1" applyNumberFormat="1">
      <alignment shrinkToFit="0" vertical="center" wrapText="0"/>
    </xf>
    <xf borderId="59" fillId="4" fontId="1" numFmtId="166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D1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K1.8D1!$A$6:$A$18</c:f>
            </c:numRef>
          </c:xVal>
          <c:yVal>
            <c:numRef>
              <c:f>K1.8D1!$C$6:$C$18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K1.8D1!$A$6:$A$18</c:f>
            </c:numRef>
          </c:xVal>
          <c:yVal>
            <c:numRef>
              <c:f>K1.8D1!$D$6:$D$18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407987"/>
        <c:axId val="2037839382"/>
      </c:scatterChart>
      <c:valAx>
        <c:axId val="356407987"/>
        <c:scaling>
          <c:orientation val="minMax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2037839382"/>
      </c:valAx>
      <c:valAx>
        <c:axId val="2037839382"/>
        <c:scaling>
          <c:orientation val="minMax"/>
          <c:max val="16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356407987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D1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K1.8D1!$C$29:$C$41</c:f>
            </c:numRef>
          </c:xVal>
          <c:yVal>
            <c:numRef>
              <c:f>K1.8D1!$A$29:$A$41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K1.8D1!$C$29:$C$41</c:f>
            </c:numRef>
          </c:xVal>
          <c:yVal>
            <c:numRef>
              <c:f>K1.8D1!$D$29:$D$41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5669127"/>
        <c:axId val="1525039285"/>
      </c:scatterChart>
      <c:valAx>
        <c:axId val="1405669127"/>
        <c:scaling>
          <c:orientation val="minMax"/>
          <c:max val="16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525039285"/>
      </c:valAx>
      <c:valAx>
        <c:axId val="1525039285"/>
        <c:scaling>
          <c:orientation val="minMax"/>
          <c:max val="14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405669127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Q1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K1.8Q1!$A$6:$A$18</c:f>
            </c:numRef>
          </c:xVal>
          <c:yVal>
            <c:numRef>
              <c:f>K1.8Q1!$C$6:$C$18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K1.8Q1!$A$6:$A$18</c:f>
            </c:numRef>
          </c:xVal>
          <c:yVal>
            <c:numRef>
              <c:f>K1.8Q1!$D$6:$D$18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117642"/>
        <c:axId val="1611864900"/>
      </c:scatterChart>
      <c:valAx>
        <c:axId val="593117642"/>
        <c:scaling>
          <c:orientation val="minMax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611864900"/>
      </c:valAx>
      <c:valAx>
        <c:axId val="1611864900"/>
        <c:scaling>
          <c:orientation val="minMax"/>
          <c:max val="8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593117642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Q1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K1.8Q1!$C$29:$C$41</c:f>
            </c:numRef>
          </c:xVal>
          <c:yVal>
            <c:numRef>
              <c:f>K1.8Q1!$A$29:$A$41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K1.8Q1!$C$29:$C$41</c:f>
            </c:numRef>
          </c:xVal>
          <c:yVal>
            <c:numRef>
              <c:f>K1.8Q1!$D$29:$D$41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4059319"/>
        <c:axId val="1251708790"/>
      </c:scatterChart>
      <c:valAx>
        <c:axId val="1954059319"/>
        <c:scaling>
          <c:orientation val="minMax"/>
          <c:max val="8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251708790"/>
      </c:valAx>
      <c:valAx>
        <c:axId val="1251708790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954059319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Q2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K1.8Q2!$A$6:$A$31</c:f>
            </c:numRef>
          </c:xVal>
          <c:yVal>
            <c:numRef>
              <c:f>K1.8Q2!$C$6:$C$31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K1.8Q2!$A$6:$A$31</c:f>
            </c:numRef>
          </c:xVal>
          <c:yVal>
            <c:numRef>
              <c:f>K1.8Q2!$D$6:$D$31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654568"/>
        <c:axId val="1888851565"/>
      </c:scatterChart>
      <c:valAx>
        <c:axId val="1042654568"/>
        <c:scaling>
          <c:orientation val="minMax"/>
          <c:max val="26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888851565"/>
      </c:valAx>
      <c:valAx>
        <c:axId val="1888851565"/>
        <c:scaling>
          <c:orientation val="minMax"/>
          <c:max val="12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042654568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Q2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K1.8Q2!$C$43:$C$68</c:f>
            </c:numRef>
          </c:xVal>
          <c:yVal>
            <c:numRef>
              <c:f>K1.8Q2!$A$43:$A$68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K1.8Q2!$C$43:$C$68</c:f>
            </c:numRef>
          </c:xVal>
          <c:yVal>
            <c:numRef>
              <c:f>K1.8Q2!$D$43:$D$68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740225"/>
        <c:axId val="1419405968"/>
      </c:scatterChart>
      <c:valAx>
        <c:axId val="1175740225"/>
        <c:scaling>
          <c:orientation val="minMax"/>
          <c:max val="12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419405968"/>
      </c:valAx>
      <c:valAx>
        <c:axId val="1419405968"/>
        <c:scaling>
          <c:orientation val="minMax"/>
          <c:max val="26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175740225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D2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K1.8D2!$A$6:$A$31</c:f>
            </c:numRef>
          </c:xVal>
          <c:yVal>
            <c:numRef>
              <c:f>K1.8D2!$C$6:$C$31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K1.8D2!$A$6:$A$31</c:f>
            </c:numRef>
          </c:xVal>
          <c:yVal>
            <c:numRef>
              <c:f>K1.8D2!$D$6:$D$31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2291518"/>
        <c:axId val="1348520058"/>
      </c:scatterChart>
      <c:valAx>
        <c:axId val="2082291518"/>
        <c:scaling>
          <c:orientation val="minMax"/>
          <c:max val="27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348520058"/>
      </c:valAx>
      <c:valAx>
        <c:axId val="1348520058"/>
        <c:scaling>
          <c:orientation val="minMax"/>
          <c:max val="25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2082291518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D2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K1.8D2!$C$42:$C$67</c:f>
            </c:numRef>
          </c:xVal>
          <c:yVal>
            <c:numRef>
              <c:f>K1.8D2!$A$42:$A$67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K1.8D2!$C$42:$C$67</c:f>
            </c:numRef>
          </c:xVal>
          <c:yVal>
            <c:numRef>
              <c:f>K1.8D2!$D$42:$D$67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437782"/>
        <c:axId val="2015966552"/>
      </c:scatterChart>
      <c:valAx>
        <c:axId val="512437782"/>
        <c:scaling>
          <c:orientation val="minMax"/>
          <c:max val="25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2015966552"/>
      </c:valAx>
      <c:valAx>
        <c:axId val="2015966552"/>
        <c:scaling>
          <c:orientation val="minMax"/>
          <c:max val="27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512437782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Q3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K1.8Q3!$A$6:$A$28</c:f>
            </c:numRef>
          </c:xVal>
          <c:yVal>
            <c:numRef>
              <c:f>K1.8Q3!$C$6:$C$28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K1.8Q3!$A$6:$A$28</c:f>
            </c:numRef>
          </c:xVal>
          <c:yVal>
            <c:numRef>
              <c:f>K1.8Q3!$D$6:$D$28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32149"/>
        <c:axId val="881041248"/>
      </c:scatterChart>
      <c:valAx>
        <c:axId val="90232149"/>
        <c:scaling>
          <c:orientation val="minMax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881041248"/>
      </c:valAx>
      <c:valAx>
        <c:axId val="881041248"/>
        <c:scaling>
          <c:orientation val="minMax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90232149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Q3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K1.8Q3!$C$39:$C$61</c:f>
            </c:numRef>
          </c:xVal>
          <c:yVal>
            <c:numRef>
              <c:f>K1.8Q3!$A$39:$A$61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K1.8Q3!$C$39:$C$61</c:f>
            </c:numRef>
          </c:xVal>
          <c:yVal>
            <c:numRef>
              <c:f>K1.8Q3!$D$39:$D$61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4862529"/>
        <c:axId val="1610830061"/>
      </c:scatterChart>
      <c:valAx>
        <c:axId val="2134862529"/>
        <c:scaling>
          <c:orientation val="minMax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610830061"/>
      </c:valAx>
      <c:valAx>
        <c:axId val="1610830061"/>
        <c:scaling>
          <c:orientation val="minMax"/>
          <c:max val="25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2134862529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O1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K1.8O1!$A$6:$A$8</c:f>
            </c:numRef>
          </c:xVal>
          <c:yVal>
            <c:numRef>
              <c:f>K1.8O1!$C$6:$C$8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K1.8O1!$A$6:$A$8</c:f>
            </c:numRef>
          </c:xVal>
          <c:yVal>
            <c:numRef>
              <c:f>K1.8O1!$D$6:$D$8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631493"/>
        <c:axId val="860371264"/>
      </c:scatterChart>
      <c:valAx>
        <c:axId val="2006631493"/>
        <c:scaling>
          <c:orientation val="minMax"/>
          <c:max val="2.5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860371264"/>
      </c:valAx>
      <c:valAx>
        <c:axId val="860371264"/>
        <c:scaling>
          <c:orientation val="minMax"/>
          <c:max val="4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2006631493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O1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K1.8O1!$C$21:$C$23</c:f>
            </c:numRef>
          </c:xVal>
          <c:yVal>
            <c:numRef>
              <c:f>K1.8O1!$A$21:$A$23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K1.8O1!$C$21:$C$23</c:f>
            </c:numRef>
          </c:xVal>
          <c:yVal>
            <c:numRef>
              <c:f>K1.8O1!$D$21:$D$23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996719"/>
        <c:axId val="1759874978"/>
      </c:scatterChart>
      <c:valAx>
        <c:axId val="254996719"/>
        <c:scaling>
          <c:orientation val="minMax"/>
          <c:max val="4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759874978"/>
      </c:valAx>
      <c:valAx>
        <c:axId val="1759874978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254996719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Q4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K1.8Q4!$A$6:$A$28</c:f>
            </c:numRef>
          </c:xVal>
          <c:yVal>
            <c:numRef>
              <c:f>K1.8Q4!$C$6:$C$28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K1.8Q4!$A$6:$A$28</c:f>
            </c:numRef>
          </c:xVal>
          <c:yVal>
            <c:numRef>
              <c:f>K1.8Q4!$D$6:$D$28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019983"/>
        <c:axId val="104424923"/>
      </c:scatterChart>
      <c:valAx>
        <c:axId val="1467019983"/>
        <c:scaling>
          <c:orientation val="minMax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04424923"/>
      </c:valAx>
      <c:valAx>
        <c:axId val="104424923"/>
        <c:scaling>
          <c:orientation val="minMax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467019983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Q4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K1.8Q4!$C$39:$C$61</c:f>
            </c:numRef>
          </c:xVal>
          <c:yVal>
            <c:numRef>
              <c:f>K1.8Q4!$A$39:$A$61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K1.8Q4!$C$39:$C$61</c:f>
            </c:numRef>
          </c:xVal>
          <c:yVal>
            <c:numRef>
              <c:f>K1.8Q4!$D$39:$D$61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520692"/>
        <c:axId val="1928146208"/>
      </c:scatterChart>
      <c:valAx>
        <c:axId val="610520692"/>
        <c:scaling>
          <c:orientation val="minMax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928146208"/>
      </c:valAx>
      <c:valAx>
        <c:axId val="1928146208"/>
        <c:scaling>
          <c:orientation val="minMax"/>
          <c:max val="25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610520692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K1.8S1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K1.8S1!$A$6:$A$16</c:f>
            </c:numRef>
          </c:xVal>
          <c:yVal>
            <c:numRef>
              <c:f>K1.8S1!$C$6:$C$16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K1.8S1!$A$6:$A$16</c:f>
            </c:numRef>
          </c:xVal>
          <c:yVal>
            <c:numRef>
              <c:f>K1.8S1!$D$6:$D$16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1567481"/>
        <c:axId val="410451376"/>
      </c:scatterChart>
      <c:valAx>
        <c:axId val="1041567481"/>
        <c:scaling>
          <c:orientation val="minMax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410451376"/>
      </c:valAx>
      <c:valAx>
        <c:axId val="410451376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041567481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K1.8S1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K1.8S1!$C$27:$C$37</c:f>
            </c:numRef>
          </c:xVal>
          <c:yVal>
            <c:numRef>
              <c:f>K1.8S1!$A$27:$A$37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K1.8S1!$C$27:$C$37</c:f>
            </c:numRef>
          </c:xVal>
          <c:yVal>
            <c:numRef>
              <c:f>K1.8S1!$D$27:$D$37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747065"/>
        <c:axId val="1043520589"/>
      </c:scatterChart>
      <c:valAx>
        <c:axId val="1170747065"/>
        <c:scaling>
          <c:orientation val="minMax"/>
          <c:max val="6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043520589"/>
      </c:valAx>
      <c:valAx>
        <c:axId val="1043520589"/>
        <c:scaling>
          <c:orientation val="minMax"/>
          <c:max val="12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170747065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K1.8S2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K1.8S2!$A$6:$A$16</c:f>
            </c:numRef>
          </c:xVal>
          <c:yVal>
            <c:numRef>
              <c:f>K1.8S2!$C$6:$C$16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K1.8S2!$A$6:$A$16</c:f>
            </c:numRef>
          </c:xVal>
          <c:yVal>
            <c:numRef>
              <c:f>K1.8S2!$D$6:$D$16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8318259"/>
        <c:axId val="2039863627"/>
      </c:scatterChart>
      <c:valAx>
        <c:axId val="1458318259"/>
        <c:scaling>
          <c:orientation val="minMax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2039863627"/>
      </c:valAx>
      <c:valAx>
        <c:axId val="2039863627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458318259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K1.8S2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K1.8S2!$C$27:$C$37</c:f>
            </c:numRef>
          </c:xVal>
          <c:yVal>
            <c:numRef>
              <c:f>K1.8S2!$A$27:$A$37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K1.8S2!$C$27:$C$37</c:f>
            </c:numRef>
          </c:xVal>
          <c:yVal>
            <c:numRef>
              <c:f>K1.8S2!$D$27:$D$37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919631"/>
        <c:axId val="1199578688"/>
      </c:scatterChart>
      <c:valAx>
        <c:axId val="820919631"/>
        <c:scaling>
          <c:orientation val="minMax"/>
          <c:max val="6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199578688"/>
      </c:valAx>
      <c:valAx>
        <c:axId val="1199578688"/>
        <c:scaling>
          <c:orientation val="minMax"/>
          <c:max val="12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820919631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Q5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K1.8Q5!$A$6:$A$18</c:f>
            </c:numRef>
          </c:xVal>
          <c:yVal>
            <c:numRef>
              <c:f>K1.8Q5!$C$6:$C$18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K1.8Q5!$A$6:$A$18</c:f>
            </c:numRef>
          </c:xVal>
          <c:yVal>
            <c:numRef>
              <c:f>K1.8Q5!$D$6:$D$18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231970"/>
        <c:axId val="1827909243"/>
      </c:scatterChart>
      <c:valAx>
        <c:axId val="756231970"/>
        <c:scaling>
          <c:orientation val="minMax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827909243"/>
      </c:valAx>
      <c:valAx>
        <c:axId val="1827909243"/>
        <c:scaling>
          <c:orientation val="minMax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756231970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Q5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K1.8Q5!$C$29:$C$41</c:f>
            </c:numRef>
          </c:xVal>
          <c:yVal>
            <c:numRef>
              <c:f>K1.8Q5!$A$29:$A$41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K1.8Q5!$C$29:$C$41</c:f>
            </c:numRef>
          </c:xVal>
          <c:yVal>
            <c:numRef>
              <c:f>K1.8Q5!$D$29:$D$41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9630973"/>
        <c:axId val="470913356"/>
      </c:scatterChart>
      <c:valAx>
        <c:axId val="1099630973"/>
        <c:scaling>
          <c:orientation val="minMax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470913356"/>
      </c:valAx>
      <c:valAx>
        <c:axId val="470913356"/>
        <c:scaling>
          <c:orientation val="minMax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099630973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Q6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K1.8Q6!$A$6:$A$23</c:f>
            </c:numRef>
          </c:xVal>
          <c:yVal>
            <c:numRef>
              <c:f>K1.8Q6!$C$6:$C$23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K1.8Q6!$A$6:$A$23</c:f>
            </c:numRef>
          </c:xVal>
          <c:yVal>
            <c:numRef>
              <c:f>K1.8Q6!$D$6:$D$23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615054"/>
        <c:axId val="1437866030"/>
      </c:scatterChart>
      <c:valAx>
        <c:axId val="656615054"/>
        <c:scaling>
          <c:orientation val="minMax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437866030"/>
      </c:valAx>
      <c:valAx>
        <c:axId val="1437866030"/>
        <c:scaling>
          <c:orientation val="minMax"/>
          <c:max val="14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656615054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Q6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K1.8Q6!$C$34:$C$51</c:f>
            </c:numRef>
          </c:xVal>
          <c:yVal>
            <c:numRef>
              <c:f>K1.8Q6!$A$34:$A$51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K1.8Q6!$C$34:$C$51</c:f>
            </c:numRef>
          </c:xVal>
          <c:yVal>
            <c:numRef>
              <c:f>K1.8Q6!$D$34:$D$51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374712"/>
        <c:axId val="1607868211"/>
      </c:scatterChart>
      <c:valAx>
        <c:axId val="1317374712"/>
        <c:scaling>
          <c:orientation val="minMax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607868211"/>
      </c:valAx>
      <c:valAx>
        <c:axId val="1607868211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317374712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D3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K1.8D3!$A$6:$A$16</c:f>
            </c:numRef>
          </c:xVal>
          <c:yVal>
            <c:numRef>
              <c:f>K1.8D3!$C$6:$C$16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K1.8D3!$A$6:$A$16</c:f>
            </c:numRef>
          </c:xVal>
          <c:yVal>
            <c:numRef>
              <c:f>K1.8D3!$D$6:$D$16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485249"/>
        <c:axId val="345912098"/>
      </c:scatterChart>
      <c:valAx>
        <c:axId val="387485249"/>
        <c:scaling>
          <c:orientation val="minMax"/>
          <c:max val="12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345912098"/>
      </c:valAx>
      <c:valAx>
        <c:axId val="345912098"/>
        <c:scaling>
          <c:orientation val="minMax"/>
          <c:max val="25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387485249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D3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K1.8D3!$C$27:$C$37</c:f>
            </c:numRef>
          </c:xVal>
          <c:yVal>
            <c:numRef>
              <c:f>K1.8D3!$A$27:$A$37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K1.8D3!$C$27:$C$37</c:f>
            </c:numRef>
          </c:xVal>
          <c:yVal>
            <c:numRef>
              <c:f>K1.8D3!$D$27:$D$37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546036"/>
        <c:axId val="621344819"/>
      </c:scatterChart>
      <c:valAx>
        <c:axId val="200546036"/>
        <c:scaling>
          <c:orientation val="minMax"/>
          <c:max val="25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621344819"/>
      </c:valAx>
      <c:valAx>
        <c:axId val="621344819"/>
        <c:scaling>
          <c:orientation val="minMax"/>
          <c:max val="12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200546036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Q7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K1.8Q7!$A$6:$A$26</c:f>
            </c:numRef>
          </c:xVal>
          <c:yVal>
            <c:numRef>
              <c:f>K1.8Q7!$C$6:$C$26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K1.8Q7!$A$6:$A$26</c:f>
            </c:numRef>
          </c:xVal>
          <c:yVal>
            <c:numRef>
              <c:f>K1.8Q7!$D$6:$D$26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92231"/>
        <c:axId val="801588173"/>
      </c:scatterChart>
      <c:valAx>
        <c:axId val="114192231"/>
        <c:scaling>
          <c:orientation val="minMax"/>
          <c:max val="22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801588173"/>
      </c:valAx>
      <c:valAx>
        <c:axId val="801588173"/>
        <c:scaling>
          <c:orientation val="minMax"/>
          <c:max val="8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14192231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Q7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K1.8Q7!$C$37:$C$57</c:f>
            </c:numRef>
          </c:xVal>
          <c:yVal>
            <c:numRef>
              <c:f>K1.8Q7!$A$37:$A$57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K1.8Q7!$C$37:$C$57</c:f>
            </c:numRef>
          </c:xVal>
          <c:yVal>
            <c:numRef>
              <c:f>K1.8Q7!$D$37:$D$57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359237"/>
        <c:axId val="1203173333"/>
      </c:scatterChart>
      <c:valAx>
        <c:axId val="1217359237"/>
        <c:scaling>
          <c:orientation val="minMax"/>
          <c:max val="8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203173333"/>
      </c:valAx>
      <c:valAx>
        <c:axId val="1203173333"/>
        <c:scaling>
          <c:orientation val="minMax"/>
          <c:max val="22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217359237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O2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K1.8O2!$A$6:$A$11</c:f>
            </c:numRef>
          </c:xVal>
          <c:yVal>
            <c:numRef>
              <c:f>K1.8O2!$C$6:$C$11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K1.8O2!$A$6:$A$11</c:f>
            </c:numRef>
          </c:xVal>
          <c:yVal>
            <c:numRef>
              <c:f>K1.8O2!$D$6:$D$11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269570"/>
        <c:axId val="1230436981"/>
      </c:scatterChart>
      <c:valAx>
        <c:axId val="1014269570"/>
        <c:scaling>
          <c:orientation val="minMax"/>
          <c:max val="6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230436981"/>
      </c:valAx>
      <c:valAx>
        <c:axId val="1230436981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014269570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O2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K1.8O2!$C$24:$C$29</c:f>
            </c:numRef>
          </c:xVal>
          <c:yVal>
            <c:numRef>
              <c:f>K1.8O2!$A$24:$A$29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K1.8O2!$C$24:$C$29</c:f>
            </c:numRef>
          </c:xVal>
          <c:yVal>
            <c:numRef>
              <c:f>K1.8O2!$D$24:$D$29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4066969"/>
        <c:axId val="1454690381"/>
      </c:scatterChart>
      <c:valAx>
        <c:axId val="814066969"/>
        <c:scaling>
          <c:orientation val="minMax"/>
          <c:max val="5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454690381"/>
      </c:valAx>
      <c:valAx>
        <c:axId val="1454690381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814066969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K1.8S3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K1.8S3!$A$6:$A$16</c:f>
            </c:numRef>
          </c:xVal>
          <c:yVal>
            <c:numRef>
              <c:f>K1.8S3!$C$6:$C$16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K1.8S3!$A$6:$A$16</c:f>
            </c:numRef>
          </c:xVal>
          <c:yVal>
            <c:numRef>
              <c:f>K1.8S3!$D$6:$D$16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293404"/>
        <c:axId val="704561444"/>
      </c:scatterChart>
      <c:valAx>
        <c:axId val="815293404"/>
        <c:scaling>
          <c:orientation val="minMax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704561444"/>
      </c:valAx>
      <c:valAx>
        <c:axId val="704561444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815293404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K1.8S3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K1.8S3!$C$27:$C$37</c:f>
            </c:numRef>
          </c:xVal>
          <c:yVal>
            <c:numRef>
              <c:f>K1.8S3!$A$27:$A$37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K1.8S3!$C$27:$C$37</c:f>
            </c:numRef>
          </c:xVal>
          <c:yVal>
            <c:numRef>
              <c:f>K1.8S3!$D$27:$D$37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919913"/>
        <c:axId val="129613590"/>
      </c:scatterChart>
      <c:valAx>
        <c:axId val="1940919913"/>
        <c:scaling>
          <c:orientation val="minMax"/>
          <c:max val="6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29613590"/>
      </c:valAx>
      <c:valAx>
        <c:axId val="129613590"/>
        <c:scaling>
          <c:orientation val="minMax"/>
          <c:max val="12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940919913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K1.8S4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K1.8S4!$A$6:$A$16</c:f>
            </c:numRef>
          </c:xVal>
          <c:yVal>
            <c:numRef>
              <c:f>K1.8S4!$C$6:$C$16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K1.8S4!$A$6:$A$16</c:f>
            </c:numRef>
          </c:xVal>
          <c:yVal>
            <c:numRef>
              <c:f>K1.8S4!$D$6:$D$16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6651663"/>
        <c:axId val="1274076007"/>
      </c:scatterChart>
      <c:valAx>
        <c:axId val="1616651663"/>
        <c:scaling>
          <c:orientation val="minMax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274076007"/>
      </c:valAx>
      <c:valAx>
        <c:axId val="1274076007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616651663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K1.8S4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K1.8S4!$C$27:$C$37</c:f>
            </c:numRef>
          </c:xVal>
          <c:yVal>
            <c:numRef>
              <c:f>K1.8S4!$A$27:$A$37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K1.8S4!$C$27:$C$37</c:f>
            </c:numRef>
          </c:xVal>
          <c:yVal>
            <c:numRef>
              <c:f>K1.8S4!$D$27:$D$37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333282"/>
        <c:axId val="2046783530"/>
      </c:scatterChart>
      <c:valAx>
        <c:axId val="1048333282"/>
        <c:scaling>
          <c:orientation val="minMax"/>
          <c:max val="6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2046783530"/>
      </c:valAx>
      <c:valAx>
        <c:axId val="2046783530"/>
        <c:scaling>
          <c:orientation val="minMax"/>
          <c:max val="12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048333282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Q8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K1.8Q8!$A$6:$A$26</c:f>
            </c:numRef>
          </c:xVal>
          <c:yVal>
            <c:numRef>
              <c:f>K1.8Q8!$C$6:$C$26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K1.8Q8!$A$6:$A$26</c:f>
            </c:numRef>
          </c:xVal>
          <c:yVal>
            <c:numRef>
              <c:f>K1.8Q8!$D$6:$D$26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141122"/>
        <c:axId val="1866415593"/>
      </c:scatterChart>
      <c:valAx>
        <c:axId val="1962141122"/>
        <c:scaling>
          <c:orientation val="minMax"/>
          <c:max val="22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866415593"/>
      </c:valAx>
      <c:valAx>
        <c:axId val="1866415593"/>
        <c:scaling>
          <c:orientation val="minMax"/>
          <c:max val="12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962141122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Q8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K1.8Q8!$C$37:$C$57</c:f>
            </c:numRef>
          </c:xVal>
          <c:yVal>
            <c:numRef>
              <c:f>K1.8Q8!$A$37:$A$57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K1.8Q8!$C$37:$C$57</c:f>
            </c:numRef>
          </c:xVal>
          <c:yVal>
            <c:numRef>
              <c:f>K1.8Q8!$D$37:$D$57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730488"/>
        <c:axId val="57712704"/>
      </c:scatterChart>
      <c:valAx>
        <c:axId val="1100730488"/>
        <c:scaling>
          <c:orientation val="minMax"/>
          <c:max val="12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57712704"/>
      </c:valAx>
      <c:valAx>
        <c:axId val="57712704"/>
        <c:scaling>
          <c:orientation val="minMax"/>
          <c:max val="22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100730488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O3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K1.8O3!$A$6:$A$11</c:f>
            </c:numRef>
          </c:xVal>
          <c:yVal>
            <c:numRef>
              <c:f>K1.8O3!$C$6:$C$11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K1.8O3!$A$6:$A$11</c:f>
            </c:numRef>
          </c:xVal>
          <c:yVal>
            <c:numRef>
              <c:f>K1.8O3!$D$6:$D$11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3142168"/>
        <c:axId val="1727174683"/>
      </c:scatterChart>
      <c:valAx>
        <c:axId val="1333142168"/>
        <c:scaling>
          <c:orientation val="minMax"/>
          <c:max val="6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727174683"/>
      </c:valAx>
      <c:valAx>
        <c:axId val="1727174683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333142168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O3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K1.8O3!$C$24:$C$29</c:f>
            </c:numRef>
          </c:xVal>
          <c:yVal>
            <c:numRef>
              <c:f>K1.8O3!$A$24:$A$29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K1.8O3!$C$24:$C$29</c:f>
            </c:numRef>
          </c:xVal>
          <c:yVal>
            <c:numRef>
              <c:f>K1.8O3!$D$24:$D$29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9900"/>
        <c:axId val="1444546843"/>
      </c:scatterChart>
      <c:valAx>
        <c:axId val="9439900"/>
        <c:scaling>
          <c:orientation val="minMax"/>
          <c:max val="5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444546843"/>
      </c:valAx>
      <c:valAx>
        <c:axId val="1444546843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9439900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Q9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K1.8Q9!$A$6:$A$26</c:f>
            </c:numRef>
          </c:xVal>
          <c:yVal>
            <c:numRef>
              <c:f>K1.8Q9!$C$6:$C$26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K1.8Q9!$A$6:$A$26</c:f>
            </c:numRef>
          </c:xVal>
          <c:yVal>
            <c:numRef>
              <c:f>K1.8Q9!$D$6:$D$26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928773"/>
        <c:axId val="530795263"/>
      </c:scatterChart>
      <c:valAx>
        <c:axId val="541928773"/>
        <c:scaling>
          <c:orientation val="minMax"/>
          <c:max val="22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530795263"/>
      </c:valAx>
      <c:valAx>
        <c:axId val="530795263"/>
        <c:scaling>
          <c:orientation val="minMax"/>
          <c:max val="14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541928773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Q9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K1.8Q9!$C$37:$C$57</c:f>
            </c:numRef>
          </c:xVal>
          <c:yVal>
            <c:numRef>
              <c:f>K1.8Q9!$A$37:$A$57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K1.8Q9!$C$37:$C$57</c:f>
            </c:numRef>
          </c:xVal>
          <c:yVal>
            <c:numRef>
              <c:f>K1.8Q9!$D$37:$D$57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942502"/>
        <c:axId val="1193996191"/>
      </c:scatterChart>
      <c:valAx>
        <c:axId val="645942502"/>
        <c:scaling>
          <c:orientation val="minMax"/>
          <c:max val="14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193996191"/>
      </c:valAx>
      <c:valAx>
        <c:axId val="1193996191"/>
        <c:scaling>
          <c:orientation val="minMax"/>
          <c:max val="22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645942502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Q10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K1.8Q10!$A$6:$A$26</c:f>
            </c:numRef>
          </c:xVal>
          <c:yVal>
            <c:numRef>
              <c:f>K1.8Q10!$C$6:$C$26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K1.8Q10!$A$6:$A$26</c:f>
            </c:numRef>
          </c:xVal>
          <c:yVal>
            <c:numRef>
              <c:f>K1.8Q10!$D$6:$D$26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909971"/>
        <c:axId val="748568333"/>
      </c:scatterChart>
      <c:valAx>
        <c:axId val="1512909971"/>
        <c:scaling>
          <c:orientation val="minMax"/>
          <c:max val="22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748568333"/>
      </c:valAx>
      <c:valAx>
        <c:axId val="748568333"/>
        <c:scaling>
          <c:orientation val="minMax"/>
          <c:max val="14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512909971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Q10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K1.8Q10!$C$37:$C$57</c:f>
            </c:numRef>
          </c:xVal>
          <c:yVal>
            <c:numRef>
              <c:f>K1.8Q10!$A$37:$A$57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K1.8Q10!$C$37:$C$57</c:f>
            </c:numRef>
          </c:xVal>
          <c:yVal>
            <c:numRef>
              <c:f>K1.8Q10!$D$37:$D$57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319889"/>
        <c:axId val="45811567"/>
      </c:scatterChart>
      <c:valAx>
        <c:axId val="249319889"/>
        <c:scaling>
          <c:orientation val="minMax"/>
          <c:max val="14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45811567"/>
      </c:valAx>
      <c:valAx>
        <c:axId val="45811567"/>
        <c:scaling>
          <c:orientation val="minMax"/>
          <c:max val="22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249319889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Q11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K1.8Q11!$A$6:$A$26</c:f>
            </c:numRef>
          </c:xVal>
          <c:yVal>
            <c:numRef>
              <c:f>K1.8Q11!$C$6:$C$26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K1.8Q11!$A$6:$A$26</c:f>
            </c:numRef>
          </c:xVal>
          <c:yVal>
            <c:numRef>
              <c:f>K1.8Q11!$D$6:$D$26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11557"/>
        <c:axId val="801285303"/>
      </c:scatterChart>
      <c:valAx>
        <c:axId val="151811557"/>
        <c:scaling>
          <c:orientation val="minMax"/>
          <c:max val="22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801285303"/>
      </c:valAx>
      <c:valAx>
        <c:axId val="801285303"/>
        <c:scaling>
          <c:orientation val="minMax"/>
          <c:max val="14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51811557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Q11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K1.8Q11!$C$37:$C$57</c:f>
            </c:numRef>
          </c:xVal>
          <c:yVal>
            <c:numRef>
              <c:f>K1.8Q11!$A$37:$A$57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K1.8Q11!$C$37:$C$57</c:f>
            </c:numRef>
          </c:xVal>
          <c:yVal>
            <c:numRef>
              <c:f>K1.8Q11!$D$37:$D$57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374630"/>
        <c:axId val="1001947728"/>
      </c:scatterChart>
      <c:valAx>
        <c:axId val="174374630"/>
        <c:scaling>
          <c:orientation val="minMax"/>
          <c:max val="14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001947728"/>
      </c:valAx>
      <c:valAx>
        <c:axId val="1001947728"/>
        <c:scaling>
          <c:orientation val="minMax"/>
          <c:max val="22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74374630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Q12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K1.8Q12!$A$6:$A$26</c:f>
            </c:numRef>
          </c:xVal>
          <c:yVal>
            <c:numRef>
              <c:f>K1.8Q12!$C$6:$C$26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K1.8Q12!$A$6:$A$26</c:f>
            </c:numRef>
          </c:xVal>
          <c:yVal>
            <c:numRef>
              <c:f>K1.8Q12!$D$6:$D$26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91869"/>
        <c:axId val="921317772"/>
      </c:scatterChart>
      <c:valAx>
        <c:axId val="79591869"/>
        <c:scaling>
          <c:orientation val="minMax"/>
          <c:max val="22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921317772"/>
      </c:valAx>
      <c:valAx>
        <c:axId val="921317772"/>
        <c:scaling>
          <c:orientation val="minMax"/>
          <c:max val="14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79591869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Q12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K1.8Q12!$C$37:$C$57</c:f>
            </c:numRef>
          </c:xVal>
          <c:yVal>
            <c:numRef>
              <c:f>K1.8Q12!$A$37:$A$57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K1.8Q12!$C$37:$C$57</c:f>
            </c:numRef>
          </c:xVal>
          <c:yVal>
            <c:numRef>
              <c:f>K1.8Q12!$D$37:$D$57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983940"/>
        <c:axId val="5815690"/>
      </c:scatterChart>
      <c:valAx>
        <c:axId val="2137983940"/>
        <c:scaling>
          <c:orientation val="minMax"/>
          <c:max val="14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5815690"/>
      </c:valAx>
      <c:valAx>
        <c:axId val="5815690"/>
        <c:scaling>
          <c:orientation val="minMax"/>
          <c:max val="22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2137983940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Q13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K1.8Q13!$A$6:$A$26</c:f>
            </c:numRef>
          </c:xVal>
          <c:yVal>
            <c:numRef>
              <c:f>K1.8Q13!$C$6:$C$26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K1.8Q13!$A$6:$A$26</c:f>
            </c:numRef>
          </c:xVal>
          <c:yVal>
            <c:numRef>
              <c:f>K1.8Q13!$D$6:$D$26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234236"/>
        <c:axId val="1481676252"/>
      </c:scatterChart>
      <c:valAx>
        <c:axId val="290234236"/>
        <c:scaling>
          <c:orientation val="minMax"/>
          <c:max val="22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1481676252"/>
      </c:valAx>
      <c:valAx>
        <c:axId val="1481676252"/>
        <c:scaling>
          <c:orientation val="minMax"/>
          <c:max val="14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290234236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t>K1.8 Q13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K1.8Q13!$C$37:$C$57</c:f>
            </c:numRef>
          </c:xVal>
          <c:yVal>
            <c:numRef>
              <c:f>K1.8Q13!$A$37:$A$57</c:f>
            </c:numRef>
          </c:yVal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K1.8Q13!$C$37:$C$57</c:f>
            </c:numRef>
          </c:xVal>
          <c:yVal>
            <c:numRef>
              <c:f>K1.8Q13!$D$37:$D$57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547466"/>
        <c:axId val="854154691"/>
      </c:scatterChart>
      <c:valAx>
        <c:axId val="719547466"/>
        <c:scaling>
          <c:orientation val="minMax"/>
          <c:max val="14.0"/>
        </c:scaling>
        <c:delete val="0"/>
        <c:axPos val="b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Field at Pole [kG]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854154691"/>
      </c:valAx>
      <c:valAx>
        <c:axId val="854154691"/>
        <c:scaling>
          <c:orientation val="minMax"/>
          <c:max val="22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t>I/100 [A]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alibri"/>
              </a:defRPr>
            </a:pPr>
          </a:p>
        </c:txPr>
        <c:crossAx val="719547466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Relationship Id="rId2" Type="http://schemas.openxmlformats.org/officeDocument/2006/relationships/chart" Target="../charts/chart28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5.xml"/><Relationship Id="rId2" Type="http://schemas.openxmlformats.org/officeDocument/2006/relationships/chart" Target="../charts/chart36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9.xml"/><Relationship Id="rId2" Type="http://schemas.openxmlformats.org/officeDocument/2006/relationships/chart" Target="../charts/chart40.xm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.xml"/><Relationship Id="rId2" Type="http://schemas.openxmlformats.org/officeDocument/2006/relationships/chart" Target="../charts/chart42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5.xml"/><Relationship Id="rId2" Type="http://schemas.openxmlformats.org/officeDocument/2006/relationships/chart" Target="../charts/chart4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4</xdr:row>
      <xdr:rowOff>0</xdr:rowOff>
    </xdr:from>
    <xdr:ext cx="4114800" cy="2695575"/>
    <xdr:graphicFrame>
      <xdr:nvGraphicFramePr>
        <xdr:cNvPr descr="Chart 0"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27</xdr:row>
      <xdr:rowOff>0</xdr:rowOff>
    </xdr:from>
    <xdr:ext cx="4114800" cy="2743200"/>
    <xdr:graphicFrame>
      <xdr:nvGraphicFramePr>
        <xdr:cNvPr descr="Chart 1"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257175</xdr:colOff>
      <xdr:row>3</xdr:row>
      <xdr:rowOff>0</xdr:rowOff>
    </xdr:from>
    <xdr:ext cx="4210050" cy="2695575"/>
    <xdr:graphicFrame>
      <xdr:nvGraphicFramePr>
        <xdr:cNvPr descr="Chart 0"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228600</xdr:colOff>
      <xdr:row>26</xdr:row>
      <xdr:rowOff>85725</xdr:rowOff>
    </xdr:from>
    <xdr:ext cx="4210050" cy="2743200"/>
    <xdr:graphicFrame>
      <xdr:nvGraphicFramePr>
        <xdr:cNvPr descr="Chart 1"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133350</xdr:colOff>
      <xdr:row>4</xdr:row>
      <xdr:rowOff>114300</xdr:rowOff>
    </xdr:from>
    <xdr:ext cx="4200525" cy="3400425"/>
    <xdr:graphicFrame>
      <xdr:nvGraphicFramePr>
        <xdr:cNvPr descr="Chart 0"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42</xdr:row>
      <xdr:rowOff>0</xdr:rowOff>
    </xdr:from>
    <xdr:ext cx="4200525" cy="3390900"/>
    <xdr:graphicFrame>
      <xdr:nvGraphicFramePr>
        <xdr:cNvPr descr="Chart 1"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4</xdr:row>
      <xdr:rowOff>0</xdr:rowOff>
    </xdr:from>
    <xdr:ext cx="4114800" cy="2695575"/>
    <xdr:graphicFrame>
      <xdr:nvGraphicFramePr>
        <xdr:cNvPr descr="Chart 0"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40</xdr:row>
      <xdr:rowOff>0</xdr:rowOff>
    </xdr:from>
    <xdr:ext cx="4114800" cy="2695575"/>
    <xdr:graphicFrame>
      <xdr:nvGraphicFramePr>
        <xdr:cNvPr descr="Chart 1"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5</xdr:row>
      <xdr:rowOff>38100</xdr:rowOff>
    </xdr:from>
    <xdr:ext cx="4248150" cy="2905125"/>
    <xdr:graphicFrame>
      <xdr:nvGraphicFramePr>
        <xdr:cNvPr descr="Chart 0"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37</xdr:row>
      <xdr:rowOff>0</xdr:rowOff>
    </xdr:from>
    <xdr:ext cx="4248150" cy="2895600"/>
    <xdr:graphicFrame>
      <xdr:nvGraphicFramePr>
        <xdr:cNvPr descr="Chart 1"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581025</xdr:colOff>
      <xdr:row>1</xdr:row>
      <xdr:rowOff>9525</xdr:rowOff>
    </xdr:from>
    <xdr:ext cx="4067175" cy="2743200"/>
    <xdr:graphicFrame>
      <xdr:nvGraphicFramePr>
        <xdr:cNvPr descr="Chart 0"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19</xdr:row>
      <xdr:rowOff>0</xdr:rowOff>
    </xdr:from>
    <xdr:ext cx="4057650" cy="2743200"/>
    <xdr:graphicFrame>
      <xdr:nvGraphicFramePr>
        <xdr:cNvPr descr="Chart 1"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5</xdr:row>
      <xdr:rowOff>0</xdr:rowOff>
    </xdr:from>
    <xdr:ext cx="4162425" cy="2895600"/>
    <xdr:graphicFrame>
      <xdr:nvGraphicFramePr>
        <xdr:cNvPr descr="Chart 0"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37</xdr:row>
      <xdr:rowOff>0</xdr:rowOff>
    </xdr:from>
    <xdr:ext cx="4162425" cy="2895600"/>
    <xdr:graphicFrame>
      <xdr:nvGraphicFramePr>
        <xdr:cNvPr descr="Chart 1"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600075</xdr:colOff>
      <xdr:row>4</xdr:row>
      <xdr:rowOff>0</xdr:rowOff>
    </xdr:from>
    <xdr:ext cx="4067175" cy="2743200"/>
    <xdr:graphicFrame>
      <xdr:nvGraphicFramePr>
        <xdr:cNvPr descr="Chart 0"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25</xdr:row>
      <xdr:rowOff>0</xdr:rowOff>
    </xdr:from>
    <xdr:ext cx="4057650" cy="2743200"/>
    <xdr:graphicFrame>
      <xdr:nvGraphicFramePr>
        <xdr:cNvPr descr="Chart 1"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4</xdr:row>
      <xdr:rowOff>0</xdr:rowOff>
    </xdr:from>
    <xdr:ext cx="4057650" cy="2743200"/>
    <xdr:graphicFrame>
      <xdr:nvGraphicFramePr>
        <xdr:cNvPr descr="Chart 0"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25</xdr:row>
      <xdr:rowOff>0</xdr:rowOff>
    </xdr:from>
    <xdr:ext cx="4057650" cy="2743200"/>
    <xdr:graphicFrame>
      <xdr:nvGraphicFramePr>
        <xdr:cNvPr descr="Chart 1"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4</xdr:row>
      <xdr:rowOff>0</xdr:rowOff>
    </xdr:from>
    <xdr:ext cx="4162425" cy="2895600"/>
    <xdr:graphicFrame>
      <xdr:nvGraphicFramePr>
        <xdr:cNvPr descr="Chart 0" id="1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27</xdr:row>
      <xdr:rowOff>0</xdr:rowOff>
    </xdr:from>
    <xdr:ext cx="4162425" cy="2895600"/>
    <xdr:graphicFrame>
      <xdr:nvGraphicFramePr>
        <xdr:cNvPr descr="Chart 1" id="2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4</xdr:row>
      <xdr:rowOff>0</xdr:rowOff>
    </xdr:from>
    <xdr:ext cx="4162425" cy="2895600"/>
    <xdr:graphicFrame>
      <xdr:nvGraphicFramePr>
        <xdr:cNvPr descr="Chart 0" id="2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32</xdr:row>
      <xdr:rowOff>0</xdr:rowOff>
    </xdr:from>
    <xdr:ext cx="4162425" cy="2895600"/>
    <xdr:graphicFrame>
      <xdr:nvGraphicFramePr>
        <xdr:cNvPr descr="Chart 1" id="2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3</xdr:row>
      <xdr:rowOff>133350</xdr:rowOff>
    </xdr:from>
    <xdr:ext cx="4114800" cy="2705100"/>
    <xdr:graphicFrame>
      <xdr:nvGraphicFramePr>
        <xdr:cNvPr descr="Chart 0" id="22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24</xdr:row>
      <xdr:rowOff>123825</xdr:rowOff>
    </xdr:from>
    <xdr:ext cx="4114800" cy="2743200"/>
    <xdr:graphicFrame>
      <xdr:nvGraphicFramePr>
        <xdr:cNvPr descr="Chart 1" id="24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4</xdr:row>
      <xdr:rowOff>0</xdr:rowOff>
    </xdr:from>
    <xdr:ext cx="4162425" cy="2895600"/>
    <xdr:graphicFrame>
      <xdr:nvGraphicFramePr>
        <xdr:cNvPr descr="Chart 0" id="25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35</xdr:row>
      <xdr:rowOff>0</xdr:rowOff>
    </xdr:from>
    <xdr:ext cx="4162425" cy="2895600"/>
    <xdr:graphicFrame>
      <xdr:nvGraphicFramePr>
        <xdr:cNvPr descr="Chart 1" id="29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4</xdr:row>
      <xdr:rowOff>0</xdr:rowOff>
    </xdr:from>
    <xdr:ext cx="4057650" cy="2743200"/>
    <xdr:graphicFrame>
      <xdr:nvGraphicFramePr>
        <xdr:cNvPr descr="Chart 0" id="26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22</xdr:row>
      <xdr:rowOff>0</xdr:rowOff>
    </xdr:from>
    <xdr:ext cx="4057650" cy="2743200"/>
    <xdr:graphicFrame>
      <xdr:nvGraphicFramePr>
        <xdr:cNvPr descr="Chart 1" id="28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4</xdr:row>
      <xdr:rowOff>0</xdr:rowOff>
    </xdr:from>
    <xdr:ext cx="4057650" cy="2743200"/>
    <xdr:graphicFrame>
      <xdr:nvGraphicFramePr>
        <xdr:cNvPr descr="Chart 0" id="27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25</xdr:row>
      <xdr:rowOff>0</xdr:rowOff>
    </xdr:from>
    <xdr:ext cx="4057650" cy="2743200"/>
    <xdr:graphicFrame>
      <xdr:nvGraphicFramePr>
        <xdr:cNvPr descr="Chart 1" id="30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4</xdr:row>
      <xdr:rowOff>0</xdr:rowOff>
    </xdr:from>
    <xdr:ext cx="4057650" cy="2743200"/>
    <xdr:graphicFrame>
      <xdr:nvGraphicFramePr>
        <xdr:cNvPr descr="Chart 0" id="31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25</xdr:row>
      <xdr:rowOff>0</xdr:rowOff>
    </xdr:from>
    <xdr:ext cx="4057650" cy="2743200"/>
    <xdr:graphicFrame>
      <xdr:nvGraphicFramePr>
        <xdr:cNvPr descr="Chart 1" id="32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4</xdr:row>
      <xdr:rowOff>0</xdr:rowOff>
    </xdr:from>
    <xdr:ext cx="4162425" cy="2895600"/>
    <xdr:graphicFrame>
      <xdr:nvGraphicFramePr>
        <xdr:cNvPr descr="Chart 0" id="32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35</xdr:row>
      <xdr:rowOff>0</xdr:rowOff>
    </xdr:from>
    <xdr:ext cx="4162425" cy="2895600"/>
    <xdr:graphicFrame>
      <xdr:nvGraphicFramePr>
        <xdr:cNvPr descr="Chart 1" id="35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4</xdr:row>
      <xdr:rowOff>0</xdr:rowOff>
    </xdr:from>
    <xdr:ext cx="4057650" cy="2743200"/>
    <xdr:graphicFrame>
      <xdr:nvGraphicFramePr>
        <xdr:cNvPr descr="Chart 0" id="33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22</xdr:row>
      <xdr:rowOff>0</xdr:rowOff>
    </xdr:from>
    <xdr:ext cx="4057650" cy="2743200"/>
    <xdr:graphicFrame>
      <xdr:nvGraphicFramePr>
        <xdr:cNvPr descr="Chart 1" id="34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4</xdr:row>
      <xdr:rowOff>0</xdr:rowOff>
    </xdr:from>
    <xdr:ext cx="4162425" cy="2895600"/>
    <xdr:graphicFrame>
      <xdr:nvGraphicFramePr>
        <xdr:cNvPr descr="Chart 0" id="36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35</xdr:row>
      <xdr:rowOff>0</xdr:rowOff>
    </xdr:from>
    <xdr:ext cx="4162425" cy="2895600"/>
    <xdr:graphicFrame>
      <xdr:nvGraphicFramePr>
        <xdr:cNvPr descr="Chart 1" id="38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4</xdr:row>
      <xdr:rowOff>0</xdr:rowOff>
    </xdr:from>
    <xdr:ext cx="4162425" cy="2895600"/>
    <xdr:graphicFrame>
      <xdr:nvGraphicFramePr>
        <xdr:cNvPr descr="Chart 0" id="37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35</xdr:row>
      <xdr:rowOff>0</xdr:rowOff>
    </xdr:from>
    <xdr:ext cx="4162425" cy="2895600"/>
    <xdr:graphicFrame>
      <xdr:nvGraphicFramePr>
        <xdr:cNvPr descr="Chart 1" id="40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4</xdr:row>
      <xdr:rowOff>0</xdr:rowOff>
    </xdr:from>
    <xdr:ext cx="4162425" cy="2895600"/>
    <xdr:graphicFrame>
      <xdr:nvGraphicFramePr>
        <xdr:cNvPr descr="Chart 0" id="39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35</xdr:row>
      <xdr:rowOff>0</xdr:rowOff>
    </xdr:from>
    <xdr:ext cx="4162425" cy="2895600"/>
    <xdr:graphicFrame>
      <xdr:nvGraphicFramePr>
        <xdr:cNvPr descr="Chart 1" id="41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4</xdr:row>
      <xdr:rowOff>0</xdr:rowOff>
    </xdr:from>
    <xdr:ext cx="4162425" cy="2895600"/>
    <xdr:graphicFrame>
      <xdr:nvGraphicFramePr>
        <xdr:cNvPr descr="Chart 0" id="42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35</xdr:row>
      <xdr:rowOff>0</xdr:rowOff>
    </xdr:from>
    <xdr:ext cx="4162425" cy="2895600"/>
    <xdr:graphicFrame>
      <xdr:nvGraphicFramePr>
        <xdr:cNvPr descr="Chart 1" id="44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4</xdr:row>
      <xdr:rowOff>0</xdr:rowOff>
    </xdr:from>
    <xdr:ext cx="4162425" cy="2895600"/>
    <xdr:graphicFrame>
      <xdr:nvGraphicFramePr>
        <xdr:cNvPr descr="Chart 0" id="43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35</xdr:row>
      <xdr:rowOff>0</xdr:rowOff>
    </xdr:from>
    <xdr:ext cx="4162425" cy="2895600"/>
    <xdr:graphicFrame>
      <xdr:nvGraphicFramePr>
        <xdr:cNvPr descr="Chart 1" id="45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4" width="8.63"/>
    <col customWidth="1" min="5" max="5" width="2.63"/>
    <col customWidth="1" min="6" max="8" width="8.63"/>
    <col customWidth="1" min="9" max="9" width="2.63"/>
    <col customWidth="1" min="10" max="12" width="8.63"/>
    <col customWidth="1" min="13" max="26" width="8.0"/>
  </cols>
  <sheetData>
    <row r="1" ht="13.5" customHeight="1">
      <c r="B1" s="1" t="s">
        <v>0</v>
      </c>
      <c r="D1" s="1"/>
      <c r="F1" s="1" t="s">
        <v>2</v>
      </c>
    </row>
    <row r="2" ht="13.5" customHeight="1">
      <c r="B2" s="3" t="s">
        <v>3</v>
      </c>
      <c r="F2" s="3" t="s">
        <v>3</v>
      </c>
      <c r="J2" s="3" t="s">
        <v>5</v>
      </c>
    </row>
    <row r="3" ht="13.5" customHeight="1">
      <c r="B3" s="5" t="s">
        <v>6</v>
      </c>
      <c r="C3" s="3" t="s">
        <v>8</v>
      </c>
      <c r="F3" s="5" t="s">
        <v>6</v>
      </c>
      <c r="G3" s="3"/>
      <c r="K3" s="3"/>
    </row>
    <row r="4" ht="13.5" customHeight="1">
      <c r="B4" s="3" t="s">
        <v>9</v>
      </c>
      <c r="C4" s="3" t="s">
        <v>10</v>
      </c>
      <c r="D4" s="3" t="s">
        <v>9</v>
      </c>
      <c r="E4" s="3"/>
      <c r="F4" s="3" t="s">
        <v>9</v>
      </c>
      <c r="G4" s="3" t="s">
        <v>10</v>
      </c>
      <c r="H4" s="3" t="s">
        <v>9</v>
      </c>
      <c r="J4" s="3" t="s">
        <v>9</v>
      </c>
      <c r="K4" s="3" t="s">
        <v>10</v>
      </c>
      <c r="L4" s="3" t="s">
        <v>9</v>
      </c>
    </row>
    <row r="5" ht="13.5" customHeight="1">
      <c r="A5" s="5" t="s">
        <v>12</v>
      </c>
      <c r="B5" s="5">
        <v>11.84605</v>
      </c>
      <c r="C5" s="5">
        <v>-708.0</v>
      </c>
      <c r="D5" s="8">
        <v>11.6426</v>
      </c>
      <c r="F5" s="5">
        <v>11.84605</v>
      </c>
      <c r="G5" s="5">
        <v>-708.0</v>
      </c>
      <c r="H5" s="10">
        <v>11.6426</v>
      </c>
      <c r="J5" s="5">
        <f t="shared" ref="J5:J12" si="1">F5*1.5/1.8</f>
        <v>9.871708333</v>
      </c>
      <c r="K5" s="5">
        <v>-562.0</v>
      </c>
      <c r="L5" s="5">
        <v>9.8721</v>
      </c>
    </row>
    <row r="6" ht="13.5" customHeight="1">
      <c r="A6" s="5" t="s">
        <v>18</v>
      </c>
      <c r="B6" s="5">
        <v>5.5</v>
      </c>
      <c r="C6" s="5">
        <v>-648.0</v>
      </c>
      <c r="D6" s="5">
        <v>5.49912</v>
      </c>
      <c r="F6" s="5">
        <v>5.5</v>
      </c>
      <c r="G6" s="5">
        <v>-648.0</v>
      </c>
      <c r="H6" s="10">
        <v>5.49912</v>
      </c>
      <c r="J6" s="5">
        <f t="shared" si="1"/>
        <v>4.583333333</v>
      </c>
      <c r="K6" s="5">
        <v>-534.0</v>
      </c>
      <c r="L6" s="5">
        <v>4.584</v>
      </c>
    </row>
    <row r="7" ht="13.5" customHeight="1">
      <c r="A7" s="5" t="s">
        <v>19</v>
      </c>
      <c r="B7" s="5">
        <v>-6.929</v>
      </c>
      <c r="C7" s="5">
        <v>-1214.0</v>
      </c>
      <c r="D7" s="5">
        <v>-6.93008</v>
      </c>
      <c r="F7" s="5">
        <v>-6.929</v>
      </c>
      <c r="G7" s="5">
        <v>-1214.0</v>
      </c>
      <c r="H7" s="10">
        <v>-6.93008</v>
      </c>
      <c r="J7" s="5">
        <f t="shared" si="1"/>
        <v>-5.774166667</v>
      </c>
      <c r="K7" s="5">
        <v>-996.0</v>
      </c>
      <c r="L7" s="5">
        <v>-5.7764</v>
      </c>
    </row>
    <row r="8" ht="13.5" customHeight="1">
      <c r="A8" s="5" t="s">
        <v>21</v>
      </c>
      <c r="B8" s="5">
        <v>15.77386</v>
      </c>
      <c r="C8" s="5">
        <v>-1309.0</v>
      </c>
      <c r="D8" s="10">
        <v>15.77455</v>
      </c>
      <c r="F8" s="5">
        <v>15.77386</v>
      </c>
      <c r="G8" s="5">
        <v>-1309.0</v>
      </c>
      <c r="H8" s="10">
        <v>15.77455</v>
      </c>
      <c r="J8" s="5">
        <f t="shared" si="1"/>
        <v>13.14488333</v>
      </c>
      <c r="K8" s="5">
        <v>-1057.0</v>
      </c>
      <c r="L8" s="5">
        <v>13.1502</v>
      </c>
    </row>
    <row r="9" ht="13.5" customHeight="1">
      <c r="A9" s="5" t="s">
        <v>22</v>
      </c>
      <c r="B9" s="5">
        <v>7.4</v>
      </c>
      <c r="C9" s="5">
        <v>-1221.0</v>
      </c>
      <c r="D9" s="5">
        <v>7.39796</v>
      </c>
      <c r="F9" s="5">
        <v>7.4</v>
      </c>
      <c r="G9" s="5">
        <v>-1221.0</v>
      </c>
      <c r="H9" s="10">
        <v>7.39796</v>
      </c>
      <c r="J9" s="5">
        <f t="shared" si="1"/>
        <v>6.166666667</v>
      </c>
      <c r="K9" s="5">
        <v>-1018.0</v>
      </c>
      <c r="L9" s="5">
        <v>6.1651</v>
      </c>
    </row>
    <row r="10" ht="13.5" customHeight="1">
      <c r="A10" s="5" t="s">
        <v>23</v>
      </c>
      <c r="B10" s="5">
        <v>1.0</v>
      </c>
      <c r="C10" s="5">
        <v>-52.0</v>
      </c>
      <c r="D10" s="5">
        <v>1.0004</v>
      </c>
      <c r="F10" s="5">
        <v>1.0</v>
      </c>
      <c r="G10" s="5">
        <v>-52.0</v>
      </c>
      <c r="H10" s="10">
        <v>1.0004</v>
      </c>
      <c r="J10" s="5">
        <f t="shared" si="1"/>
        <v>0.8333333333</v>
      </c>
      <c r="K10" s="5">
        <v>-43.0</v>
      </c>
      <c r="L10" s="5">
        <v>0.8276</v>
      </c>
    </row>
    <row r="11" ht="13.5" customHeight="1">
      <c r="A11" s="5" t="s">
        <v>25</v>
      </c>
      <c r="B11" s="5">
        <v>-8.2</v>
      </c>
      <c r="C11" s="5">
        <v>-1354.0</v>
      </c>
      <c r="D11" s="5">
        <v>-8.19727</v>
      </c>
      <c r="F11" s="5">
        <v>-8.2</v>
      </c>
      <c r="G11" s="5">
        <v>-1354.0</v>
      </c>
      <c r="H11" s="10">
        <v>-8.19727</v>
      </c>
      <c r="J11" s="5">
        <f t="shared" si="1"/>
        <v>-6.833333333</v>
      </c>
      <c r="K11" s="5">
        <v>-1129.0</v>
      </c>
      <c r="L11" s="5">
        <v>-6.8334</v>
      </c>
    </row>
    <row r="12" ht="13.5" customHeight="1">
      <c r="A12" s="5" t="s">
        <v>26</v>
      </c>
      <c r="B12" s="5">
        <v>0.419</v>
      </c>
      <c r="C12" s="5">
        <v>-60.0</v>
      </c>
      <c r="D12" s="5">
        <v>0.41915</v>
      </c>
      <c r="F12" s="5">
        <v>0.419</v>
      </c>
      <c r="G12" s="5">
        <v>-60.0</v>
      </c>
      <c r="H12" s="10">
        <v>0.41915</v>
      </c>
      <c r="J12" s="5">
        <f t="shared" si="1"/>
        <v>0.3491666667</v>
      </c>
      <c r="K12" s="5">
        <v>-50.0</v>
      </c>
      <c r="L12" s="5">
        <v>0.348</v>
      </c>
    </row>
    <row r="13" ht="13.5" customHeight="1">
      <c r="A13" s="5" t="s">
        <v>27</v>
      </c>
      <c r="C13" s="5">
        <v>334.0</v>
      </c>
      <c r="H13" s="10"/>
    </row>
    <row r="14" ht="13.5" customHeight="1">
      <c r="A14" s="5" t="s">
        <v>28</v>
      </c>
      <c r="C14" s="5">
        <v>304.0</v>
      </c>
      <c r="H14" s="10"/>
    </row>
    <row r="15" ht="13.5" customHeight="1">
      <c r="A15" s="5" t="s">
        <v>29</v>
      </c>
      <c r="B15" s="5">
        <v>-1.141</v>
      </c>
      <c r="C15" s="5">
        <v>-153.0</v>
      </c>
      <c r="D15" s="5">
        <v>-1.14243</v>
      </c>
      <c r="F15" s="5">
        <v>-1.141</v>
      </c>
      <c r="G15" s="5">
        <v>-153.0</v>
      </c>
      <c r="H15" s="10">
        <v>-1.14243</v>
      </c>
      <c r="J15" s="5">
        <f t="shared" ref="J15:J21" si="2">F15*1.5/1.8</f>
        <v>-0.9508333333</v>
      </c>
      <c r="K15" s="5">
        <v>-127.0</v>
      </c>
      <c r="L15" s="5">
        <v>-0.9514</v>
      </c>
    </row>
    <row r="16" ht="13.5" customHeight="1">
      <c r="A16" s="5" t="s">
        <v>30</v>
      </c>
      <c r="B16" s="5">
        <v>-7.201</v>
      </c>
      <c r="C16" s="5">
        <v>-853.0</v>
      </c>
      <c r="D16" s="5">
        <v>-7.2005</v>
      </c>
      <c r="F16" s="5">
        <v>-7.201</v>
      </c>
      <c r="G16" s="5">
        <v>-853.0</v>
      </c>
      <c r="H16" s="10">
        <v>-7.2005</v>
      </c>
      <c r="J16" s="5">
        <f t="shared" si="2"/>
        <v>-6.000833333</v>
      </c>
      <c r="K16" s="5">
        <v>-710.0</v>
      </c>
      <c r="L16" s="5">
        <v>-6.0049</v>
      </c>
    </row>
    <row r="17" ht="13.5" customHeight="1">
      <c r="A17" s="5" t="s">
        <v>32</v>
      </c>
      <c r="B17" s="5">
        <v>8.1</v>
      </c>
      <c r="C17" s="5">
        <v>-1011.0</v>
      </c>
      <c r="D17" s="5">
        <v>8.0973</v>
      </c>
      <c r="F17" s="5">
        <v>8.1</v>
      </c>
      <c r="G17" s="5">
        <v>-1011.0</v>
      </c>
      <c r="H17" s="10">
        <v>8.0973</v>
      </c>
      <c r="J17" s="5">
        <f t="shared" si="2"/>
        <v>6.75</v>
      </c>
      <c r="K17" s="5">
        <v>-840.0</v>
      </c>
      <c r="L17" s="5">
        <v>6.7508</v>
      </c>
    </row>
    <row r="18" ht="13.5" customHeight="1">
      <c r="A18" s="5" t="s">
        <v>35</v>
      </c>
      <c r="B18" s="5">
        <v>12.696259</v>
      </c>
      <c r="C18" s="5">
        <v>-378.0</v>
      </c>
      <c r="D18" s="8">
        <v>12.4674</v>
      </c>
      <c r="F18" s="5">
        <v>12.696259</v>
      </c>
      <c r="G18" s="5">
        <v>-378.0</v>
      </c>
      <c r="H18" s="10">
        <v>12.4674</v>
      </c>
      <c r="J18" s="5">
        <f t="shared" si="2"/>
        <v>10.58021583</v>
      </c>
      <c r="K18" s="5">
        <v>-316.0</v>
      </c>
      <c r="L18" s="5">
        <v>10.56922</v>
      </c>
    </row>
    <row r="19" ht="13.5" customHeight="1">
      <c r="A19" s="5" t="s">
        <v>36</v>
      </c>
      <c r="B19" s="5">
        <v>-4.510638</v>
      </c>
      <c r="C19" s="5">
        <v>-777.0</v>
      </c>
      <c r="D19" s="5">
        <v>-4.50815</v>
      </c>
      <c r="F19" s="5">
        <v>-4.510638</v>
      </c>
      <c r="G19" s="5">
        <v>-777.0</v>
      </c>
      <c r="H19" s="10">
        <v>-4.50815</v>
      </c>
      <c r="J19" s="5">
        <f t="shared" si="2"/>
        <v>-3.758865</v>
      </c>
      <c r="K19" s="5">
        <v>-643.0</v>
      </c>
      <c r="L19" s="5">
        <v>-3.7604</v>
      </c>
    </row>
    <row r="20" ht="13.5" customHeight="1">
      <c r="A20" s="5" t="s">
        <v>37</v>
      </c>
      <c r="B20" s="5">
        <v>0.35</v>
      </c>
      <c r="C20" s="5">
        <v>-39.0</v>
      </c>
      <c r="D20" s="10">
        <v>0.34754</v>
      </c>
      <c r="F20" s="5">
        <v>0.35</v>
      </c>
      <c r="G20" s="5">
        <v>-39.0</v>
      </c>
      <c r="H20" s="10">
        <v>0.34754</v>
      </c>
      <c r="J20" s="5">
        <f t="shared" si="2"/>
        <v>0.2916666667</v>
      </c>
      <c r="K20" s="5">
        <v>-33.0</v>
      </c>
      <c r="L20" s="5">
        <v>0.2944</v>
      </c>
    </row>
    <row r="21" ht="13.5" customHeight="1">
      <c r="A21" s="5" t="s">
        <v>38</v>
      </c>
      <c r="B21" s="5">
        <v>-1.05</v>
      </c>
      <c r="C21" s="5">
        <v>-154.0</v>
      </c>
      <c r="D21" s="5">
        <v>-1.04936</v>
      </c>
      <c r="F21" s="5">
        <v>-1.05</v>
      </c>
      <c r="G21" s="5">
        <v>-154.0</v>
      </c>
      <c r="H21" s="10">
        <v>-1.04936</v>
      </c>
      <c r="J21" s="5">
        <f t="shared" si="2"/>
        <v>-0.875</v>
      </c>
      <c r="K21" s="5">
        <v>-129.0</v>
      </c>
      <c r="L21" s="5">
        <v>-0.8784</v>
      </c>
    </row>
    <row r="22" ht="13.5" customHeight="1">
      <c r="A22" s="5" t="s">
        <v>39</v>
      </c>
      <c r="C22" s="5">
        <v>306.0</v>
      </c>
      <c r="H22" s="10"/>
    </row>
    <row r="23" ht="13.5" customHeight="1">
      <c r="A23" s="5" t="s">
        <v>40</v>
      </c>
      <c r="C23" s="5">
        <v>306.0</v>
      </c>
      <c r="H23" s="10"/>
    </row>
    <row r="24" ht="13.5" customHeight="1">
      <c r="A24" s="5" t="s">
        <v>41</v>
      </c>
      <c r="B24" s="5">
        <v>0.24</v>
      </c>
      <c r="C24" s="5">
        <v>-35.0</v>
      </c>
      <c r="D24" s="5">
        <v>0.242</v>
      </c>
      <c r="F24" s="5">
        <v>0.24</v>
      </c>
      <c r="G24" s="5">
        <v>-35.0</v>
      </c>
      <c r="H24" s="10">
        <v>0.242</v>
      </c>
      <c r="J24" s="5">
        <f t="shared" ref="J24:J27" si="3">F24*1.5/1.8</f>
        <v>0.2</v>
      </c>
      <c r="K24" s="5">
        <v>-29.0</v>
      </c>
      <c r="L24" s="5">
        <v>0.2012</v>
      </c>
    </row>
    <row r="25" ht="13.5" customHeight="1">
      <c r="A25" s="5" t="s">
        <v>44</v>
      </c>
      <c r="B25" s="5">
        <v>-7.9605</v>
      </c>
      <c r="C25" s="5">
        <v>-1062.0</v>
      </c>
      <c r="D25" s="5">
        <v>-7.95713</v>
      </c>
      <c r="F25" s="5">
        <v>-7.9605</v>
      </c>
      <c r="G25" s="5">
        <v>-1062.0</v>
      </c>
      <c r="H25" s="10">
        <v>-7.95713</v>
      </c>
      <c r="J25" s="5">
        <f t="shared" si="3"/>
        <v>-6.63375</v>
      </c>
      <c r="K25" s="5">
        <v>-882.0</v>
      </c>
      <c r="L25" s="5">
        <v>-6.632</v>
      </c>
    </row>
    <row r="26" ht="13.5" customHeight="1">
      <c r="A26" s="5" t="s">
        <v>45</v>
      </c>
      <c r="B26" s="5">
        <v>0.85</v>
      </c>
      <c r="C26" s="5">
        <v>-97.0</v>
      </c>
      <c r="D26" s="10">
        <v>0.86045</v>
      </c>
      <c r="F26" s="5">
        <v>0.85</v>
      </c>
      <c r="G26" s="5">
        <v>-97.0</v>
      </c>
      <c r="H26" s="10">
        <v>0.86045</v>
      </c>
      <c r="J26" s="5">
        <f t="shared" si="3"/>
        <v>0.7083333333</v>
      </c>
      <c r="K26" s="5">
        <v>-80.0</v>
      </c>
      <c r="L26" s="5">
        <v>-0.71</v>
      </c>
    </row>
    <row r="27" ht="13.5" customHeight="1">
      <c r="A27" s="5" t="s">
        <v>46</v>
      </c>
      <c r="B27" s="5">
        <v>9.8799</v>
      </c>
      <c r="C27" s="5">
        <v>-1345.0</v>
      </c>
      <c r="D27" s="5">
        <v>9.87903</v>
      </c>
      <c r="F27" s="5">
        <v>9.8799</v>
      </c>
      <c r="G27" s="5">
        <v>-1345.0</v>
      </c>
      <c r="H27" s="10">
        <v>9.87903</v>
      </c>
      <c r="J27" s="5">
        <f t="shared" si="3"/>
        <v>8.23325</v>
      </c>
      <c r="K27" s="5">
        <v>-1095.0</v>
      </c>
      <c r="L27" s="5">
        <v>8.23459</v>
      </c>
    </row>
    <row r="28" ht="13.5" customHeight="1">
      <c r="H28" s="10"/>
    </row>
    <row r="29" ht="13.5" customHeight="1">
      <c r="A29" s="5" t="s">
        <v>48</v>
      </c>
      <c r="B29" s="5">
        <v>9.601</v>
      </c>
      <c r="C29" s="5">
        <v>-1325.0</v>
      </c>
      <c r="D29" s="5">
        <v>9.60077</v>
      </c>
      <c r="F29" s="5">
        <v>9.6202</v>
      </c>
      <c r="G29" s="5">
        <v>-1329.0</v>
      </c>
      <c r="H29" s="10">
        <v>9.6229</v>
      </c>
      <c r="J29" s="5">
        <f t="shared" ref="J29:J31" si="4">F29*1.5/1.8</f>
        <v>8.016833333</v>
      </c>
      <c r="K29" s="5">
        <v>-1075.0</v>
      </c>
      <c r="L29" s="5">
        <v>8.01383</v>
      </c>
    </row>
    <row r="30" ht="13.5" customHeight="1">
      <c r="A30" s="5" t="s">
        <v>49</v>
      </c>
      <c r="B30" s="5">
        <v>-7.358</v>
      </c>
      <c r="C30" s="5">
        <v>-1000.0</v>
      </c>
      <c r="D30" s="5">
        <v>-7.35774</v>
      </c>
      <c r="F30" s="5">
        <v>-7.4609</v>
      </c>
      <c r="G30" s="5">
        <v>-1015.0</v>
      </c>
      <c r="H30" s="10">
        <v>-7.4613</v>
      </c>
      <c r="J30" s="5">
        <f t="shared" si="4"/>
        <v>-6.217416667</v>
      </c>
      <c r="K30" s="5">
        <v>-846.0</v>
      </c>
      <c r="L30" s="5">
        <v>-6.21949</v>
      </c>
    </row>
    <row r="31" ht="13.5" customHeight="1">
      <c r="A31" s="5" t="s">
        <v>54</v>
      </c>
      <c r="B31" s="46">
        <v>15.01022</v>
      </c>
      <c r="C31" s="5">
        <v>-5600.0</v>
      </c>
      <c r="D31" s="48">
        <v>15.03837</v>
      </c>
      <c r="E31" s="46"/>
      <c r="F31" s="46">
        <v>15.01022</v>
      </c>
      <c r="G31" s="5">
        <v>-5600.0</v>
      </c>
      <c r="H31" s="46">
        <v>15.03837</v>
      </c>
      <c r="J31" s="3">
        <f t="shared" si="4"/>
        <v>12.50851667</v>
      </c>
      <c r="K31" s="5">
        <v>-5234.0</v>
      </c>
      <c r="L31" s="3">
        <v>12.50892</v>
      </c>
    </row>
    <row r="32" ht="13.5" customHeight="1">
      <c r="A32" s="5" t="s">
        <v>59</v>
      </c>
      <c r="C32" s="5">
        <v>-386.0</v>
      </c>
      <c r="E32" s="46"/>
      <c r="G32" s="5">
        <v>-386.0</v>
      </c>
      <c r="K32" s="5">
        <v>0.0</v>
      </c>
    </row>
    <row r="33" ht="13.5" customHeight="1">
      <c r="A33" s="5" t="s">
        <v>60</v>
      </c>
      <c r="B33" s="5">
        <v>7.875</v>
      </c>
      <c r="C33" s="5">
        <v>-1066.0</v>
      </c>
      <c r="D33" s="10">
        <v>7.87512</v>
      </c>
      <c r="F33" s="5">
        <v>7.8697</v>
      </c>
      <c r="G33" s="5">
        <v>-1065.0</v>
      </c>
      <c r="H33" s="10">
        <v>7.8683</v>
      </c>
      <c r="J33" s="5">
        <f t="shared" ref="J33:J34" si="5">F33*1.5/1.8</f>
        <v>6.558083333</v>
      </c>
      <c r="K33" s="5">
        <v>-883.0</v>
      </c>
      <c r="L33" s="5">
        <v>6.55561</v>
      </c>
    </row>
    <row r="34" ht="13.5" customHeight="1">
      <c r="A34" s="5" t="s">
        <v>61</v>
      </c>
      <c r="B34" s="5">
        <v>-6.578</v>
      </c>
      <c r="C34" s="5">
        <v>-888.0</v>
      </c>
      <c r="D34" s="10">
        <v>-6.57767</v>
      </c>
      <c r="F34" s="5">
        <v>-6.4937</v>
      </c>
      <c r="G34" s="5">
        <v>-877.0</v>
      </c>
      <c r="H34" s="10">
        <v>6.4955</v>
      </c>
      <c r="J34" s="5">
        <f t="shared" si="5"/>
        <v>-5.411416667</v>
      </c>
      <c r="K34" s="5">
        <v>-732.0</v>
      </c>
      <c r="L34" s="5">
        <v>-5.41307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4">
    <mergeCell ref="F31:F32"/>
    <mergeCell ref="D31:D32"/>
    <mergeCell ref="F2:H2"/>
    <mergeCell ref="J2:L2"/>
    <mergeCell ref="G3:H3"/>
    <mergeCell ref="K3:L3"/>
    <mergeCell ref="B1:C1"/>
    <mergeCell ref="F1:L1"/>
    <mergeCell ref="H31:H32"/>
    <mergeCell ref="J31:J32"/>
    <mergeCell ref="B31:B32"/>
    <mergeCell ref="B2:D2"/>
    <mergeCell ref="C3:D3"/>
    <mergeCell ref="L31:L3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9.75"/>
    <col customWidth="1" min="2" max="2" width="11.13"/>
    <col customWidth="1" min="3" max="3" width="8.0"/>
    <col customWidth="1" min="4" max="18" width="9.0"/>
    <col customWidth="1" min="19" max="26" width="8.0"/>
  </cols>
  <sheetData>
    <row r="1" ht="13.5" customHeight="1">
      <c r="A1" s="2" t="s">
        <v>1</v>
      </c>
      <c r="B1" s="4" t="s">
        <v>4</v>
      </c>
      <c r="C1" s="6" t="s">
        <v>7</v>
      </c>
      <c r="D1" s="12" t="s">
        <v>11</v>
      </c>
      <c r="E1" s="11" t="s">
        <v>13</v>
      </c>
      <c r="F1" s="11" t="s">
        <v>14</v>
      </c>
      <c r="G1" s="11" t="s">
        <v>15</v>
      </c>
      <c r="H1" s="11" t="s">
        <v>16</v>
      </c>
      <c r="I1" s="14" t="s">
        <v>17</v>
      </c>
      <c r="J1" s="15" t="s">
        <v>20</v>
      </c>
      <c r="K1" s="16" t="s">
        <v>24</v>
      </c>
      <c r="L1" s="18"/>
      <c r="M1" s="19" t="s">
        <v>31</v>
      </c>
      <c r="N1" s="18"/>
      <c r="O1" s="19" t="s">
        <v>33</v>
      </c>
      <c r="P1" s="18"/>
      <c r="Q1" s="19" t="s">
        <v>34</v>
      </c>
      <c r="R1" s="20"/>
      <c r="S1" s="3"/>
      <c r="T1" s="3"/>
      <c r="U1" s="3"/>
      <c r="V1" s="3"/>
      <c r="W1" s="3"/>
      <c r="X1" s="3"/>
      <c r="Y1" s="3"/>
      <c r="Z1" s="3"/>
    </row>
    <row r="2" ht="14.25" customHeight="1">
      <c r="A2" s="23"/>
      <c r="B2" s="25"/>
      <c r="C2" s="27" t="s">
        <v>43</v>
      </c>
      <c r="D2" s="29" t="s">
        <v>42</v>
      </c>
      <c r="E2" s="31" t="s">
        <v>47</v>
      </c>
      <c r="F2" s="31" t="s">
        <v>50</v>
      </c>
      <c r="G2" s="31" t="s">
        <v>51</v>
      </c>
      <c r="H2" s="31" t="s">
        <v>52</v>
      </c>
      <c r="I2" s="33" t="s">
        <v>53</v>
      </c>
      <c r="J2" s="35"/>
      <c r="K2" s="37" t="s">
        <v>55</v>
      </c>
      <c r="L2" s="39" t="s">
        <v>56</v>
      </c>
      <c r="M2" s="39" t="s">
        <v>55</v>
      </c>
      <c r="N2" s="39" t="s">
        <v>56</v>
      </c>
      <c r="O2" s="39" t="s">
        <v>55</v>
      </c>
      <c r="P2" s="39" t="s">
        <v>56</v>
      </c>
      <c r="Q2" s="39" t="s">
        <v>55</v>
      </c>
      <c r="R2" s="41" t="s">
        <v>56</v>
      </c>
      <c r="S2" s="3"/>
      <c r="T2" s="3"/>
      <c r="U2" s="3"/>
      <c r="V2" s="3"/>
      <c r="W2" s="3"/>
      <c r="X2" s="3"/>
      <c r="Y2" s="3"/>
      <c r="Z2" s="3"/>
    </row>
    <row r="3" ht="13.5" customHeight="1">
      <c r="A3" s="43" t="s">
        <v>57</v>
      </c>
      <c r="B3" s="45" t="s">
        <v>58</v>
      </c>
      <c r="C3" s="47">
        <v>11.84605</v>
      </c>
      <c r="D3" s="50">
        <f>SIGN(C3)*((L3-K3)/(N3-M3)*(ABS(C3)*1000-M3)+K3)</f>
        <v>730.0074472</v>
      </c>
      <c r="E3" s="52">
        <f>'電圧データ'!$D3/'電圧データ'!$C3*$D3</f>
        <v>57.36641856</v>
      </c>
      <c r="F3" s="52">
        <f t="shared" ref="F3:F38" si="1">D3*E3/1000</f>
        <v>41.87791277</v>
      </c>
      <c r="G3" s="54">
        <v>9.0</v>
      </c>
      <c r="H3" s="52">
        <f t="shared" ref="H3:H38" si="2">(R3-Q3)/(P3-O3)*(G3-O3)+Q3</f>
        <v>114.6394644</v>
      </c>
      <c r="I3" s="56">
        <f t="shared" ref="I3:I38" si="3">F3/(H3/60)/4.1855</f>
        <v>5.236664897</v>
      </c>
      <c r="J3" s="58">
        <v>1.0</v>
      </c>
      <c r="K3" s="50">
        <f t="array" ref="K3">INDEX('磁場データ'!$C$2:$AB$2,MATCH(ABS($C3)*1000,'磁場データ'!$C3:$AB3,1))</f>
        <v>700</v>
      </c>
      <c r="L3" s="52">
        <f t="array" ref="L3">INDEX('磁場データ'!$C$2:$AB$2,MATCH(ABS($C3)*1000,'磁場データ'!$C3:$AB3,1)+1)</f>
        <v>800</v>
      </c>
      <c r="M3" s="52">
        <f t="array" ref="M3">INDEX('磁場データ'!$C3:$AB3,MATCH(ABS($C3)*1000,'磁場データ'!$C3:$AB3,1))</f>
        <v>11568.64638</v>
      </c>
      <c r="N3" s="52">
        <f t="array" ref="N3">INDEX('磁場データ'!$C3:$AB3,MATCH(ABS($C3)*1000,'磁場データ'!$C3:$AB3,1)+1)</f>
        <v>12493.09563</v>
      </c>
      <c r="O3" s="52">
        <f t="array" ref="O3">INDEX('流量データ'!$C$2:$M$2,MATCH($G3,'流量データ'!$C$2:$M$2,1))</f>
        <v>9</v>
      </c>
      <c r="P3" s="52">
        <f t="array" ref="P3">INDEX('流量データ'!$C$2:$M$2,MATCH($G3,'流量データ'!$C$2:$M$2,1)+1)</f>
        <v>10</v>
      </c>
      <c r="Q3" s="52">
        <f t="array" ref="Q3">INDEX('流量データ'!$C3:$M3,MATCH($G3,'流量データ'!$C$2:$M$2,1))</f>
        <v>114.6394644</v>
      </c>
      <c r="R3" s="56">
        <f t="array" ref="R3">INDEX('流量データ'!$C3:$M3,MATCH($G3,'流量データ'!$C$2:$M$2,1)+1)</f>
        <v>121.7534527</v>
      </c>
    </row>
    <row r="4" ht="13.5" customHeight="1">
      <c r="A4" s="61" t="s">
        <v>63</v>
      </c>
      <c r="B4" s="63" t="s">
        <v>64</v>
      </c>
      <c r="C4" s="65">
        <v>4.583333333333333</v>
      </c>
      <c r="D4" s="67">
        <f t="shared" ref="D4:D5" si="4">SIGN(C4)*((L4-K4)/(N4-M4)*(ABS(C4)*1000/2-M4)+K4)</f>
        <v>533.9231673</v>
      </c>
      <c r="E4" s="69">
        <f>'電圧データ'!$D4/'電圧データ'!$C4*$D4</f>
        <v>31.05208154</v>
      </c>
      <c r="F4" s="69">
        <f t="shared" si="1"/>
        <v>16.57942573</v>
      </c>
      <c r="G4" s="70">
        <v>9.0</v>
      </c>
      <c r="H4" s="69">
        <f t="shared" si="2"/>
        <v>121</v>
      </c>
      <c r="I4" s="72">
        <f t="shared" si="3"/>
        <v>1.96421045</v>
      </c>
      <c r="J4" s="74">
        <v>0.5</v>
      </c>
      <c r="K4" s="67">
        <f t="array" ref="K4">INDEX('磁場データ'!$C$2:$AB$2,MATCH(ABS($C4)*1000/2,'磁場データ'!$C4:$AB4,1))</f>
        <v>500</v>
      </c>
      <c r="L4" s="69">
        <f t="array" ref="L4">INDEX('磁場データ'!$C$2:$AB$2,MATCH(ABS($C4)*1000/2,'磁場データ'!$C4:$AB4,1)+1)</f>
        <v>600</v>
      </c>
      <c r="M4" s="69">
        <f t="array" ref="M4">INDEX('磁場データ'!$C4:$AB4,MATCH(ABS($C4)*1000/2,'磁場データ'!$C4:$AB4,1))</f>
        <v>2148.407498</v>
      </c>
      <c r="N4" s="69">
        <f t="array" ref="N4">INDEX('磁場データ'!$C4:$AB4,MATCH(ABS($C4)*1000/2,'磁場データ'!$C4:$AB4,1)+1)</f>
        <v>2570.712312</v>
      </c>
      <c r="O4" s="69">
        <f t="array" ref="O4">INDEX('流量データ'!$C$2:$M$2,MATCH($G4,'流量データ'!$C$2:$M$2,1))</f>
        <v>9</v>
      </c>
      <c r="P4" s="69">
        <f t="array" ref="P4">INDEX('流量データ'!$C$2:$M$2,MATCH($G4,'流量データ'!$C$2:$M$2,1)+1)</f>
        <v>10</v>
      </c>
      <c r="Q4" s="69">
        <f t="array" ref="Q4">INDEX('流量データ'!$C4:$M4,MATCH($G4,'流量データ'!$C$2:$M$2,1))</f>
        <v>121</v>
      </c>
      <c r="R4" s="72">
        <f t="array" ref="R4">INDEX('流量データ'!$C4:$M4,MATCH($G4,'流量データ'!$C$2:$M$2,1)+1)</f>
        <v>128</v>
      </c>
    </row>
    <row r="5" ht="13.5" customHeight="1">
      <c r="A5" s="61" t="s">
        <v>65</v>
      </c>
      <c r="B5" s="63" t="s">
        <v>66</v>
      </c>
      <c r="C5" s="65">
        <v>-5.774166666666666</v>
      </c>
      <c r="D5" s="67">
        <f t="shared" si="4"/>
        <v>-995.6202952</v>
      </c>
      <c r="E5" s="69">
        <f>'電圧データ'!$D5/'電圧データ'!$C5*$D5</f>
        <v>-26.49215742</v>
      </c>
      <c r="F5" s="69">
        <f t="shared" si="1"/>
        <v>26.37612959</v>
      </c>
      <c r="G5" s="70">
        <v>10.0</v>
      </c>
      <c r="H5" s="69">
        <f t="shared" si="2"/>
        <v>41</v>
      </c>
      <c r="I5" s="72">
        <f t="shared" si="3"/>
        <v>9.222127354</v>
      </c>
      <c r="J5" s="74">
        <v>0.5</v>
      </c>
      <c r="K5" s="67">
        <f t="array" ref="K5">INDEX('磁場データ'!$C$2:$AB$2,MATCH(ABS($C5)*1000/2,'磁場データ'!$C5:$AB5,1))</f>
        <v>900</v>
      </c>
      <c r="L5" s="69">
        <f t="array" ref="L5">INDEX('磁場データ'!$C$2:$AB$2,MATCH(ABS($C5)*1000/2,'磁場データ'!$C5:$AB5,1)+1)</f>
        <v>1000</v>
      </c>
      <c r="M5" s="69">
        <f t="array" ref="M5">INDEX('磁場データ'!$C5:$AB5,MATCH(ABS($C5)*1000/2,'磁場データ'!$C5:$AB5,1))</f>
        <v>2611.053177</v>
      </c>
      <c r="N5" s="69">
        <f t="array" ref="N5">INDEX('磁場データ'!$C5:$AB5,MATCH(ABS($C5)*1000/2,'磁場データ'!$C5:$AB5,1)+1)</f>
        <v>2899.726367</v>
      </c>
      <c r="O5" s="69">
        <f t="array" ref="O5">INDEX('流量データ'!$C$2:$M$2,MATCH($G5,'流量データ'!$C$2:$M$2,1))</f>
        <v>10</v>
      </c>
      <c r="P5" s="69">
        <f t="array" ref="P5">INDEX('流量データ'!$C$2:$M$2,MATCH($G5,'流量データ'!$C$2:$M$2,1)+1)</f>
        <v>11</v>
      </c>
      <c r="Q5" s="69">
        <f t="array" ref="Q5">INDEX('流量データ'!$C5:$M5,MATCH($G5,'流量データ'!$C$2:$M$2,1))</f>
        <v>41</v>
      </c>
      <c r="R5" s="72">
        <f t="array" ref="R5">INDEX('流量データ'!$C5:$M5,MATCH($G5,'流量データ'!$C$2:$M$2,1)+1)</f>
        <v>43</v>
      </c>
    </row>
    <row r="6" ht="13.5" customHeight="1">
      <c r="A6" s="61" t="s">
        <v>67</v>
      </c>
      <c r="B6" s="63" t="s">
        <v>68</v>
      </c>
      <c r="C6" s="65">
        <v>15.77386</v>
      </c>
      <c r="D6" s="50">
        <f>SIGN(C6)*((L6-K6)/(N6-M6)*(ABS(C6)*1000-M6)+K6)</f>
        <v>1308.924769</v>
      </c>
      <c r="E6" s="52">
        <f>'電圧データ'!$D6/'電圧データ'!$C6*$D6</f>
        <v>86.21830544</v>
      </c>
      <c r="F6" s="52">
        <f t="shared" si="1"/>
        <v>112.8532755</v>
      </c>
      <c r="G6" s="54">
        <v>10.0</v>
      </c>
      <c r="H6" s="52">
        <f t="shared" si="2"/>
        <v>125</v>
      </c>
      <c r="I6" s="56">
        <f t="shared" si="3"/>
        <v>12.9421986</v>
      </c>
      <c r="J6" s="58">
        <v>1.0</v>
      </c>
      <c r="K6" s="50">
        <f t="array" ref="K6">INDEX('磁場データ'!$C$2:$AB$2,MATCH(ABS($C6)*1000,'磁場データ'!$C6:$AB6,1))</f>
        <v>1300</v>
      </c>
      <c r="L6" s="52">
        <f t="array" ref="L6">INDEX('磁場データ'!$C$2:$AB$2,MATCH(ABS($C6)*1000,'磁場データ'!$C6:$AB6,1)+1)</f>
        <v>1400</v>
      </c>
      <c r="M6" s="52">
        <f t="array" ref="M6">INDEX('磁場データ'!$C6:$AB6,MATCH(ABS($C6)*1000,'磁場データ'!$C6:$AB6,1))</f>
        <v>15692.49001</v>
      </c>
      <c r="N6" s="52">
        <f t="array" ref="N6">INDEX('磁場データ'!$C6:$AB6,MATCH(ABS($C6)*1000,'磁場データ'!$C6:$AB6,1)+1)</f>
        <v>16604.22213</v>
      </c>
      <c r="O6" s="52">
        <f t="array" ref="O6">INDEX('流量データ'!$C$2:$M$2,MATCH($G6,'流量データ'!$C$2:$M$2,1))</f>
        <v>10</v>
      </c>
      <c r="P6" s="52">
        <f t="array" ref="P6">INDEX('流量データ'!$C$2:$M$2,MATCH($G6,'流量データ'!$C$2:$M$2,1)+1)</f>
        <v>11</v>
      </c>
      <c r="Q6" s="52">
        <f t="array" ref="Q6">INDEX('流量データ'!$C6:$M6,MATCH($G6,'流量データ'!$C$2:$M$2,1))</f>
        <v>125</v>
      </c>
      <c r="R6" s="56">
        <f t="array" ref="R6">INDEX('流量データ'!$C6:$M6,MATCH($G6,'流量データ'!$C$2:$M$2,1)+1)</f>
        <v>132</v>
      </c>
    </row>
    <row r="7" ht="13.5" customHeight="1">
      <c r="A7" s="61" t="s">
        <v>69</v>
      </c>
      <c r="B7" s="63" t="s">
        <v>70</v>
      </c>
      <c r="C7" s="65">
        <v>6.166666666666667</v>
      </c>
      <c r="D7" s="67">
        <f>SIGN(C7)*((L7-K7)/(N7-M7)*(ABS(C7)*1000/2-M7)+K7)</f>
        <v>1018.262048</v>
      </c>
      <c r="E7" s="69">
        <f>'電圧データ'!$D7/'電圧データ'!$C7*$D7</f>
        <v>48.32116262</v>
      </c>
      <c r="F7" s="69">
        <f t="shared" si="1"/>
        <v>49.20360598</v>
      </c>
      <c r="G7" s="70">
        <v>5.5</v>
      </c>
      <c r="H7" s="69">
        <f t="shared" si="2"/>
        <v>69</v>
      </c>
      <c r="I7" s="72">
        <f t="shared" si="3"/>
        <v>10.22237351</v>
      </c>
      <c r="J7" s="74">
        <v>0.5</v>
      </c>
      <c r="K7" s="67">
        <f t="array" ref="K7">INDEX('磁場データ'!$C$2:$AB$2,MATCH(ABS($C7)*1000/2,'磁場データ'!$C7:$AB7,1))</f>
        <v>1000</v>
      </c>
      <c r="L7" s="69">
        <f t="array" ref="L7">INDEX('磁場データ'!$C$2:$AB$2,MATCH(ABS($C7)*1000/2,'磁場データ'!$C7:$AB7,1)+1)</f>
        <v>1100</v>
      </c>
      <c r="M7" s="69">
        <f t="array" ref="M7">INDEX('磁場データ'!$C7:$AB7,MATCH(ABS($C7)*1000/2,'磁場データ'!$C7:$AB7,1))</f>
        <v>3028.009419</v>
      </c>
      <c r="N7" s="69">
        <f t="array" ref="N7">INDEX('磁場データ'!$C7:$AB7,MATCH(ABS($C7)*1000/2,'磁場データ'!$C7:$AB7,1)+1)</f>
        <v>3330.954168</v>
      </c>
      <c r="O7" s="69">
        <f t="array" ref="O7">INDEX('流量データ'!$C$2:$M$2,MATCH($G7,'流量データ'!$C$2:$M$2,1))</f>
        <v>5</v>
      </c>
      <c r="P7" s="69">
        <f t="array" ref="P7">INDEX('流量データ'!$C$2:$M$2,MATCH($G7,'流量データ'!$C$2:$M$2,1)+1)</f>
        <v>6</v>
      </c>
      <c r="Q7" s="69">
        <f t="array" ref="Q7">INDEX('流量データ'!$C7:$M7,MATCH($G7,'流量データ'!$C$2:$M$2,1))</f>
        <v>65</v>
      </c>
      <c r="R7" s="72">
        <f t="array" ref="R7">INDEX('流量データ'!$C7:$M7,MATCH($G7,'流量データ'!$C$2:$M$2,1)+1)</f>
        <v>73</v>
      </c>
    </row>
    <row r="8" ht="13.5" customHeight="1">
      <c r="A8" s="61" t="s">
        <v>71</v>
      </c>
      <c r="B8" s="63" t="s">
        <v>72</v>
      </c>
      <c r="C8" s="65">
        <v>0.8333333333333333</v>
      </c>
      <c r="D8" s="67">
        <f>SIGN(C8)*((L8-K8)/(N8-M8)*(ABS(C8)*1000/8-M8)+K8)</f>
        <v>43.29861111</v>
      </c>
      <c r="E8" s="69">
        <f>'電圧データ'!$D8/'電圧データ'!$C8*$D8</f>
        <v>7.828388889</v>
      </c>
      <c r="F8" s="69">
        <f t="shared" si="1"/>
        <v>0.3389583661</v>
      </c>
      <c r="G8" s="70">
        <v>5.5</v>
      </c>
      <c r="H8" s="69">
        <f t="shared" si="2"/>
        <v>1.925</v>
      </c>
      <c r="I8" s="72">
        <f t="shared" si="3"/>
        <v>2.524175388</v>
      </c>
      <c r="J8" s="74">
        <v>0.125</v>
      </c>
      <c r="K8" s="67">
        <f t="array" ref="K8">INDEX('磁場データ'!$C$2:$AB$2,MATCH(ABS($C8)*1000/8,'磁場データ'!$C8:$AB8,1))</f>
        <v>0</v>
      </c>
      <c r="L8" s="69">
        <f t="array" ref="L8">INDEX('磁場データ'!$C$2:$AB$2,MATCH(ABS($C8)*1000/8,'磁場データ'!$C8:$AB8,1)+1)</f>
        <v>100</v>
      </c>
      <c r="M8" s="69">
        <f t="array" ref="M8">INDEX('磁場データ'!$C8:$AB8,MATCH(ABS($C8)*1000/8,'磁場データ'!$C8:$AB8,1))</f>
        <v>0.25</v>
      </c>
      <c r="N8" s="69">
        <f t="array" ref="N8">INDEX('磁場データ'!$C8:$AB8,MATCH(ABS($C8)*1000/8,'磁場データ'!$C8:$AB8,1)+1)</f>
        <v>240.25</v>
      </c>
      <c r="O8" s="69">
        <f t="array" ref="O8">INDEX('流量データ'!$C$2:$M$2,MATCH($G8,'流量データ'!$C$2:$M$2,1))</f>
        <v>5</v>
      </c>
      <c r="P8" s="69">
        <f t="array" ref="P8">INDEX('流量データ'!$C$2:$M$2,MATCH($G8,'流量データ'!$C$2:$M$2,1)+1)</f>
        <v>6</v>
      </c>
      <c r="Q8" s="69">
        <f t="array" ref="Q8">INDEX('流量データ'!$C8:$M8,MATCH($G8,'流量データ'!$C$2:$M$2,1))</f>
        <v>3.85</v>
      </c>
      <c r="R8" s="72" t="str">
        <f t="array" ref="R8">INDEX('流量データ'!$C8:$M8,MATCH($G8,'流量データ'!$C$2:$M$2,1)+1)</f>
        <v/>
      </c>
    </row>
    <row r="9" ht="13.5" customHeight="1">
      <c r="A9" s="61" t="s">
        <v>73</v>
      </c>
      <c r="B9" s="63" t="s">
        <v>70</v>
      </c>
      <c r="C9" s="65">
        <v>-6.833333333333332</v>
      </c>
      <c r="D9" s="67">
        <f>SIGN(C9)*((L9-K9)/(N9-M9)*(ABS(C9)*1000/2-M9)+K9)</f>
        <v>-1128.989177</v>
      </c>
      <c r="E9" s="69">
        <f>'電圧データ'!$D9/'電圧データ'!$C9*$D9</f>
        <v>-53.47303282</v>
      </c>
      <c r="F9" s="69">
        <f t="shared" si="1"/>
        <v>60.37047529</v>
      </c>
      <c r="G9" s="70">
        <v>5.5</v>
      </c>
      <c r="H9" s="69">
        <f t="shared" si="2"/>
        <v>69</v>
      </c>
      <c r="I9" s="72">
        <f t="shared" si="3"/>
        <v>12.54236423</v>
      </c>
      <c r="J9" s="74">
        <v>0.5</v>
      </c>
      <c r="K9" s="67">
        <f t="array" ref="K9">INDEX('磁場データ'!$C$2:$AB$2,MATCH(ABS($C9)*1000/2,'磁場データ'!$C9:$AB9,1))</f>
        <v>1100</v>
      </c>
      <c r="L9" s="69">
        <f t="array" ref="L9">INDEX('磁場データ'!$C$2:$AB$2,MATCH(ABS($C9)*1000/2,'磁場データ'!$C9:$AB9,1)+1)</f>
        <v>1200</v>
      </c>
      <c r="M9" s="69">
        <f t="array" ref="M9">INDEX('磁場データ'!$C9:$AB9,MATCH(ABS($C9)*1000/2,'磁場データ'!$C9:$AB9,1))</f>
        <v>3329.046505</v>
      </c>
      <c r="N9" s="69">
        <f t="array" ref="N9">INDEX('磁場データ'!$C9:$AB9,MATCH(ABS($C9)*1000/2,'磁場データ'!$C9:$AB9,1)+1)</f>
        <v>3631.2978</v>
      </c>
      <c r="O9" s="69">
        <f t="array" ref="O9">INDEX('流量データ'!$C$2:$M$2,MATCH($G9,'流量データ'!$C$2:$M$2,1))</f>
        <v>5</v>
      </c>
      <c r="P9" s="69">
        <f t="array" ref="P9">INDEX('流量データ'!$C$2:$M$2,MATCH($G9,'流量データ'!$C$2:$M$2,1)+1)</f>
        <v>6</v>
      </c>
      <c r="Q9" s="69">
        <f t="array" ref="Q9">INDEX('流量データ'!$C9:$M9,MATCH($G9,'流量データ'!$C$2:$M$2,1))</f>
        <v>65</v>
      </c>
      <c r="R9" s="72">
        <f t="array" ref="R9">INDEX('流量データ'!$C9:$M9,MATCH($G9,'流量データ'!$C$2:$M$2,1)+1)</f>
        <v>73</v>
      </c>
    </row>
    <row r="10" ht="13.5" customHeight="1">
      <c r="A10" s="61" t="s">
        <v>74</v>
      </c>
      <c r="B10" s="63" t="s">
        <v>75</v>
      </c>
      <c r="C10" s="65">
        <v>0.3491666666666666</v>
      </c>
      <c r="D10" s="67">
        <f>SIGN(C10)*((L10-K10)/(N10-M10)*(ABS(C10)*1000/4-M10)+K10)</f>
        <v>50.16471821</v>
      </c>
      <c r="E10" s="69">
        <f>'電圧データ'!$D10/'電圧データ'!$C10*$D10</f>
        <v>1.51497449</v>
      </c>
      <c r="F10" s="69">
        <f t="shared" si="1"/>
        <v>0.07599826839</v>
      </c>
      <c r="G10" s="70">
        <v>5.5</v>
      </c>
      <c r="H10" s="69">
        <f t="shared" si="2"/>
        <v>6</v>
      </c>
      <c r="I10" s="72">
        <f t="shared" si="3"/>
        <v>0.1815751246</v>
      </c>
      <c r="J10" s="74">
        <v>0.25</v>
      </c>
      <c r="K10" s="67">
        <f t="array" ref="K10">INDEX('磁場データ'!$C$2:$AB$2,MATCH(ABS($C10)*1000/4,'磁場データ'!$C10:$AB10,1))</f>
        <v>0</v>
      </c>
      <c r="L10" s="69">
        <f t="array" ref="L10">INDEX('磁場データ'!$C$2:$AB$2,MATCH(ABS($C10)*1000/4,'磁場データ'!$C10:$AB10,1)+1)</f>
        <v>100</v>
      </c>
      <c r="M10" s="69">
        <f t="array" ref="M10">INDEX('磁場データ'!$C10:$AB10,MATCH(ABS($C10)*1000/4,'磁場データ'!$C10:$AB10,1))</f>
        <v>-1.943507858</v>
      </c>
      <c r="N10" s="69">
        <f t="array" ref="N10">INDEX('磁場データ'!$C10:$AB10,MATCH(ABS($C10)*1000/4,'磁場データ'!$C10:$AB10,1)+1)</f>
        <v>175.9408254</v>
      </c>
      <c r="O10" s="69">
        <f t="array" ref="O10">INDEX('流量データ'!$C$2:$M$2,MATCH($G10,'流量データ'!$C$2:$M$2,1))</f>
        <v>5</v>
      </c>
      <c r="P10" s="69">
        <f t="array" ref="P10">INDEX('流量データ'!$C$2:$M$2,MATCH($G10,'流量データ'!$C$2:$M$2,1)+1)</f>
        <v>6</v>
      </c>
      <c r="Q10" s="69">
        <f t="array" ref="Q10">INDEX('流量データ'!$C10:$M10,MATCH($G10,'流量データ'!$C$2:$M$2,1))</f>
        <v>12</v>
      </c>
      <c r="R10" s="72" t="str">
        <f t="array" ref="R10">INDEX('流量データ'!$C10:$M10,MATCH($G10,'流量データ'!$C$2:$M$2,1)+1)</f>
        <v/>
      </c>
    </row>
    <row r="11" ht="13.5" customHeight="1">
      <c r="A11" s="61" t="s">
        <v>76</v>
      </c>
      <c r="B11" s="63" t="s">
        <v>77</v>
      </c>
      <c r="C11" s="65">
        <v>4.1788855555555555</v>
      </c>
      <c r="D11" s="50">
        <f t="shared" ref="D11:D12" si="5">SIGN(C11)*((L11-K11)/(N11-M11)*(ABS(C11)*1000-M11)+K11)</f>
        <v>1157.911195</v>
      </c>
      <c r="E11" s="52">
        <f>'電圧データ'!$D11/'電圧データ'!$C11*$D11</f>
        <v>46.41214295</v>
      </c>
      <c r="F11" s="52">
        <f t="shared" si="1"/>
        <v>53.74113992</v>
      </c>
      <c r="G11" s="54">
        <v>5.5</v>
      </c>
      <c r="H11" s="52">
        <f t="shared" si="2"/>
        <v>20.5</v>
      </c>
      <c r="I11" s="56">
        <f t="shared" si="3"/>
        <v>37.58001224</v>
      </c>
      <c r="J11" s="58">
        <v>1.0</v>
      </c>
      <c r="K11" s="50">
        <f t="array" ref="K11">INDEX('磁場データ'!$C$2:$AB$2,MATCH(ABS($C11)*1000,'磁場データ'!$C11:$AB11,1))</f>
        <v>1100</v>
      </c>
      <c r="L11" s="52">
        <f t="array" ref="L11">INDEX('磁場データ'!$C$2:$AB$2,MATCH(ABS($C11)*1000,'磁場データ'!$C11:$AB11,1)+1)</f>
        <v>1200</v>
      </c>
      <c r="M11" s="52">
        <f t="array" ref="M11">INDEX('磁場データ'!$C11:$AB11,MATCH(ABS($C11)*1000,'磁場データ'!$C11:$AB11,1))</f>
        <v>4026</v>
      </c>
      <c r="N11" s="52">
        <f t="array" ref="N11">INDEX('磁場データ'!$C11:$AB11,MATCH(ABS($C11)*1000,'磁場データ'!$C11:$AB11,1)+1)</f>
        <v>4290</v>
      </c>
      <c r="O11" s="52">
        <f t="array" ref="O11">INDEX('流量データ'!$C$2:$M$2,MATCH($G11,'流量データ'!$C$2:$M$2,1))</f>
        <v>5</v>
      </c>
      <c r="P11" s="52">
        <f t="array" ref="P11">INDEX('流量データ'!$C$2:$M$2,MATCH($G11,'流量データ'!$C$2:$M$2,1)+1)</f>
        <v>6</v>
      </c>
      <c r="Q11" s="52">
        <f t="array" ref="Q11">INDEX('流量データ'!$C11:$M11,MATCH($G11,'流量データ'!$C$2:$M$2,1))</f>
        <v>19</v>
      </c>
      <c r="R11" s="56">
        <f t="array" ref="R11">INDEX('流量データ'!$C11:$M11,MATCH($G11,'流量データ'!$C$2:$M$2,1)+1)</f>
        <v>22</v>
      </c>
    </row>
    <row r="12" ht="13.5" customHeight="1">
      <c r="A12" s="61" t="s">
        <v>78</v>
      </c>
      <c r="B12" s="63" t="s">
        <v>77</v>
      </c>
      <c r="C12" s="65">
        <v>4.1788855555555555</v>
      </c>
      <c r="D12" s="50">
        <f t="shared" si="5"/>
        <v>1163.834812</v>
      </c>
      <c r="E12" s="52">
        <f>'電圧データ'!$D12/'電圧データ'!$C12*$D12</f>
        <v>46.55339248</v>
      </c>
      <c r="F12" s="52">
        <f t="shared" si="1"/>
        <v>54.18045878</v>
      </c>
      <c r="G12" s="54">
        <v>10.0</v>
      </c>
      <c r="H12" s="52">
        <f t="shared" si="2"/>
        <v>30</v>
      </c>
      <c r="I12" s="56">
        <f t="shared" si="3"/>
        <v>25.88959923</v>
      </c>
      <c r="J12" s="58">
        <v>1.0</v>
      </c>
      <c r="K12" s="50">
        <f t="array" ref="K12">INDEX('磁場データ'!$C$2:$AB$2,MATCH(ABS($C12)*1000,'磁場データ'!$C12:$AB12,1))</f>
        <v>1100</v>
      </c>
      <c r="L12" s="52">
        <f t="array" ref="L12">INDEX('磁場データ'!$C$2:$AB$2,MATCH(ABS($C12)*1000,'磁場データ'!$C12:$AB12,1)+1)</f>
        <v>1200</v>
      </c>
      <c r="M12" s="52">
        <f t="array" ref="M12">INDEX('磁場データ'!$C12:$AB12,MATCH(ABS($C12)*1000,'磁場データ'!$C12:$AB12,1))</f>
        <v>4011</v>
      </c>
      <c r="N12" s="52">
        <f t="array" ref="N12">INDEX('磁場データ'!$C12:$AB12,MATCH(ABS($C12)*1000,'磁場データ'!$C12:$AB12,1)+1)</f>
        <v>4274</v>
      </c>
      <c r="O12" s="52">
        <f t="array" ref="O12">INDEX('流量データ'!$C$2:$M$2,MATCH($G12,'流量データ'!$C$2:$M$2,1))</f>
        <v>10</v>
      </c>
      <c r="P12" s="52">
        <f t="array" ref="P12">INDEX('流量データ'!$C$2:$M$2,MATCH($G12,'流量データ'!$C$2:$M$2,1)+1)</f>
        <v>11</v>
      </c>
      <c r="Q12" s="52">
        <f t="array" ref="Q12">INDEX('流量データ'!$C12:$M12,MATCH($G12,'流量データ'!$C$2:$M$2,1))</f>
        <v>30</v>
      </c>
      <c r="R12" s="56">
        <f t="array" ref="R12">INDEX('流量データ'!$C12:$M12,MATCH($G12,'流量データ'!$C$2:$M$2,1)+1)</f>
        <v>32</v>
      </c>
    </row>
    <row r="13" ht="13.5" customHeight="1">
      <c r="A13" s="61" t="s">
        <v>79</v>
      </c>
      <c r="B13" s="63" t="s">
        <v>75</v>
      </c>
      <c r="C13" s="65">
        <v>-0.9508333333333333</v>
      </c>
      <c r="D13" s="67">
        <f>SIGN(C13)*((L13-K13)/(N13-M13)*(ABS(C13)*1000/4-M13)+K13)</f>
        <v>-126.9230824</v>
      </c>
      <c r="E13" s="69">
        <f>'電圧データ'!$D13/'電圧データ'!$C13*$D13</f>
        <v>-4.061538637</v>
      </c>
      <c r="F13" s="69">
        <f t="shared" si="1"/>
        <v>0.515503003</v>
      </c>
      <c r="G13" s="70">
        <v>10.0</v>
      </c>
      <c r="H13" s="69">
        <f t="shared" si="2"/>
        <v>15</v>
      </c>
      <c r="I13" s="72">
        <f t="shared" si="3"/>
        <v>0.4926560774</v>
      </c>
      <c r="J13" s="74">
        <v>0.25</v>
      </c>
      <c r="K13" s="67">
        <f t="array" ref="K13">INDEX('磁場データ'!$C$2:$AB$2,MATCH(ABS($C13)*1000/4,'磁場データ'!$C13:$AB13,1))</f>
        <v>100</v>
      </c>
      <c r="L13" s="69">
        <f t="array" ref="L13">INDEX('磁場データ'!$C$2:$AB$2,MATCH(ABS($C13)*1000/4,'磁場データ'!$C13:$AB13,1)+1)</f>
        <v>200</v>
      </c>
      <c r="M13" s="69">
        <f t="array" ref="M13">INDEX('磁場データ'!$C13:$AB13,MATCH(ABS($C13)*1000/4,'磁場データ'!$C13:$AB13,1))</f>
        <v>188.2548773</v>
      </c>
      <c r="N13" s="69">
        <f t="array" ref="N13">INDEX('磁場データ'!$C13:$AB13,MATCH(ABS($C13)*1000/4,'磁場データ'!$C13:$AB13,1)+1)</f>
        <v>371.9391052</v>
      </c>
      <c r="O13" s="69">
        <f t="array" ref="O13">INDEX('流量データ'!$C$2:$M$2,MATCH($G13,'流量データ'!$C$2:$M$2,1))</f>
        <v>10</v>
      </c>
      <c r="P13" s="69">
        <f t="array" ref="P13">INDEX('流量データ'!$C$2:$M$2,MATCH($G13,'流量データ'!$C$2:$M$2,1)+1)</f>
        <v>11</v>
      </c>
      <c r="Q13" s="69">
        <f t="array" ref="Q13">INDEX('流量データ'!$C13:$M13,MATCH($G13,'流量データ'!$C$2:$M$2,1))</f>
        <v>15</v>
      </c>
      <c r="R13" s="72">
        <f t="array" ref="R13">INDEX('流量データ'!$C13:$M13,MATCH($G13,'流量データ'!$C$2:$M$2,1)+1)</f>
        <v>16</v>
      </c>
    </row>
    <row r="14" ht="13.5" customHeight="1">
      <c r="A14" s="61" t="s">
        <v>80</v>
      </c>
      <c r="B14" s="63" t="s">
        <v>81</v>
      </c>
      <c r="C14" s="65">
        <v>-6.000833333333333</v>
      </c>
      <c r="D14" s="67">
        <f>SIGN(C14)*((L14-K14)/(N14-M14)*(ABS(C14)*1000/2-M14)+K14)</f>
        <v>-709.5178249</v>
      </c>
      <c r="E14" s="69">
        <f>'電圧データ'!$D14/'電圧データ'!$C14*$D14</f>
        <v>-39.07416022</v>
      </c>
      <c r="F14" s="69">
        <f t="shared" si="1"/>
        <v>27.72381317</v>
      </c>
      <c r="G14" s="70">
        <v>10.0</v>
      </c>
      <c r="H14" s="69">
        <f t="shared" si="2"/>
        <v>92</v>
      </c>
      <c r="I14" s="72">
        <f t="shared" si="3"/>
        <v>4.319853713</v>
      </c>
      <c r="J14" s="74">
        <v>0.5</v>
      </c>
      <c r="K14" s="67">
        <f t="array" ref="K14">INDEX('磁場データ'!$C$2:$AB$2,MATCH(ABS($C14)*1000/2,'磁場データ'!$C14:$AB14,1))</f>
        <v>700</v>
      </c>
      <c r="L14" s="69">
        <f t="array" ref="L14">INDEX('磁場データ'!$C$2:$AB$2,MATCH(ABS($C14)*1000/2,'磁場データ'!$C14:$AB14,1)+1)</f>
        <v>800</v>
      </c>
      <c r="M14" s="69">
        <f t="array" ref="M14">INDEX('磁場データ'!$C14:$AB14,MATCH(ABS($C14)*1000/2,'磁場データ'!$C14:$AB14,1))</f>
        <v>2960.510861</v>
      </c>
      <c r="N14" s="69">
        <f t="array" ref="N14">INDEX('磁場データ'!$C14:$AB14,MATCH(ABS($C14)*1000/2,'磁場データ'!$C14:$AB14,1)+1)</f>
        <v>3379.785285</v>
      </c>
      <c r="O14" s="69">
        <f t="array" ref="O14">INDEX('流量データ'!$C$2:$M$2,MATCH($G14,'流量データ'!$C$2:$M$2,1))</f>
        <v>10</v>
      </c>
      <c r="P14" s="69">
        <f t="array" ref="P14">INDEX('流量データ'!$C$2:$M$2,MATCH($G14,'流量データ'!$C$2:$M$2,1)+1)</f>
        <v>11</v>
      </c>
      <c r="Q14" s="69">
        <f t="array" ref="Q14">INDEX('流量データ'!$C14:$M14,MATCH($G14,'流量データ'!$C$2:$M$2,1))</f>
        <v>92</v>
      </c>
      <c r="R14" s="72" t="str">
        <f t="array" ref="R14">INDEX('流量データ'!$C14:$M14,MATCH($G14,'流量データ'!$C$2:$M$2,1)+1)</f>
        <v/>
      </c>
    </row>
    <row r="15" ht="13.5" customHeight="1">
      <c r="A15" s="61" t="s">
        <v>82</v>
      </c>
      <c r="B15" s="63" t="s">
        <v>83</v>
      </c>
      <c r="C15" s="65">
        <v>6.749999999999999</v>
      </c>
      <c r="D15" s="67">
        <f>SIGN(C15)*((L15-K15)/(N15-M15)*(ABS(C15)*1000*$J15-M15)+K15)</f>
        <v>839.8973871</v>
      </c>
      <c r="E15" s="69">
        <f>'電圧データ'!$D15/'電圧データ'!$C15*$D15</f>
        <v>50.14681458</v>
      </c>
      <c r="F15" s="69">
        <f t="shared" si="1"/>
        <v>42.11817854</v>
      </c>
      <c r="G15" s="70">
        <v>10.0</v>
      </c>
      <c r="H15" s="69">
        <f t="shared" si="2"/>
        <v>103</v>
      </c>
      <c r="I15" s="72">
        <f t="shared" si="3"/>
        <v>5.861871051</v>
      </c>
      <c r="J15" s="74">
        <f>80/150</f>
        <v>0.5333333333</v>
      </c>
      <c r="K15" s="67">
        <f t="array" ref="K15">INDEX('磁場データ'!$C$2:$AB$2,MATCH(ABS($C15)*1000*$J15,'磁場データ'!$C15:$AB15,1))</f>
        <v>800</v>
      </c>
      <c r="L15" s="69">
        <f t="array" ref="L15">INDEX('磁場データ'!$C$2:$AB$2,MATCH(ABS($C15)*1000*$J15,'磁場データ'!$C15:$AB15,1)+1)</f>
        <v>900</v>
      </c>
      <c r="M15" s="69">
        <f t="array" ref="M15">INDEX('磁場データ'!$C15:$AB15,MATCH(ABS($C15)*1000*$J15,'磁場データ'!$C15:$AB15,1))</f>
        <v>3431.050022</v>
      </c>
      <c r="N15" s="69">
        <f t="array" ref="N15">INDEX('磁場データ'!$C15:$AB15,MATCH(ABS($C15)*1000*$J15,'磁場データ'!$C15:$AB15,1)+1)</f>
        <v>3854.511281</v>
      </c>
      <c r="O15" s="69">
        <f t="array" ref="O15">INDEX('流量データ'!$C$2:$M$2,MATCH($G15,'流量データ'!$C$2:$M$2,1))</f>
        <v>10</v>
      </c>
      <c r="P15" s="69">
        <f t="array" ref="P15">INDEX('流量データ'!$C$2:$M$2,MATCH($G15,'流量データ'!$C$2:$M$2,1)+1)</f>
        <v>11</v>
      </c>
      <c r="Q15" s="69">
        <f t="array" ref="Q15">INDEX('流量データ'!$C15:$M15,MATCH($G15,'流量データ'!$C$2:$M$2,1))</f>
        <v>103</v>
      </c>
      <c r="R15" s="72">
        <f t="array" ref="R15">INDEX('流量データ'!$C15:$M15,MATCH($G15,'流量データ'!$C$2:$M$2,1)+1)</f>
        <v>108</v>
      </c>
    </row>
    <row r="16" ht="14.25" customHeight="1">
      <c r="A16" s="82" t="s">
        <v>84</v>
      </c>
      <c r="B16" s="97" t="s">
        <v>85</v>
      </c>
      <c r="C16" s="99">
        <v>12.696259</v>
      </c>
      <c r="D16" s="100">
        <f>SIGN(C16)*((L16-K16)/(N16-M16)*(ABS(C16)*1000-M16)+K16)</f>
        <v>383.2350976</v>
      </c>
      <c r="E16" s="101">
        <f>'電圧データ'!$D16/'電圧データ'!$C16*$D16</f>
        <v>100.9441247</v>
      </c>
      <c r="F16" s="101">
        <f t="shared" si="1"/>
        <v>38.68533149</v>
      </c>
      <c r="G16" s="102">
        <v>10.0</v>
      </c>
      <c r="H16" s="101">
        <f t="shared" si="2"/>
        <v>103</v>
      </c>
      <c r="I16" s="104">
        <f t="shared" si="3"/>
        <v>5.384098569</v>
      </c>
      <c r="J16" s="105">
        <v>1.0</v>
      </c>
      <c r="K16" s="100">
        <f t="array" ref="K16">INDEX('磁場データ'!$C$2:$AB$2,MATCH(ABS($C16)*1000,'磁場データ'!$C16:$AB16,1))</f>
        <v>300</v>
      </c>
      <c r="L16" s="101">
        <f t="array" ref="L16">INDEX('磁場データ'!$C$2:$AB$2,MATCH(ABS($C16)*1000,'磁場データ'!$C16:$AB16,1)+1)</f>
        <v>400</v>
      </c>
      <c r="M16" s="101">
        <f t="array" ref="M16">INDEX('磁場データ'!$C16:$AB16,MATCH(ABS($C16)*1000,'磁場データ'!$C16:$AB16,1))</f>
        <v>10063.05133</v>
      </c>
      <c r="N16" s="101">
        <f t="array" ref="N16">INDEX('磁場データ'!$C16:$AB16,MATCH(ABS($C16)*1000,'磁場データ'!$C16:$AB16,1)+1)</f>
        <v>13226.62985</v>
      </c>
      <c r="O16" s="101">
        <f t="array" ref="O16">INDEX('流量データ'!$C$2:$M$2,MATCH($G16,'流量データ'!$C$2:$M$2,1))</f>
        <v>10</v>
      </c>
      <c r="P16" s="101">
        <f t="array" ref="P16">INDEX('流量データ'!$C$2:$M$2,MATCH($G16,'流量データ'!$C$2:$M$2,1)+1)</f>
        <v>11</v>
      </c>
      <c r="Q16" s="101">
        <f t="array" ref="Q16">INDEX('流量データ'!$C16:$M16,MATCH($G16,'流量データ'!$C$2:$M$2,1))</f>
        <v>103</v>
      </c>
      <c r="R16" s="104">
        <f t="array" ref="R16">INDEX('流量データ'!$C16:$M16,MATCH($G16,'流量データ'!$C$2:$M$2,1)+1)</f>
        <v>108</v>
      </c>
    </row>
    <row r="17" ht="13.5" customHeight="1">
      <c r="A17" s="40" t="s">
        <v>86</v>
      </c>
      <c r="B17" s="42" t="s">
        <v>87</v>
      </c>
      <c r="C17" s="44">
        <v>-3.758865</v>
      </c>
      <c r="D17" s="106">
        <f>SIGN(C17)*((L17-K17)/(N17-M17)*(ABS(C17)*1000/2-M17)+K17)</f>
        <v>-642.7303712</v>
      </c>
      <c r="E17" s="51">
        <f>'電圧データ'!$D17/'電圧データ'!$C17*$D17</f>
        <v>-9.15890779</v>
      </c>
      <c r="F17" s="51">
        <f t="shared" si="1"/>
        <v>5.886708204</v>
      </c>
      <c r="G17" s="53">
        <v>10.0</v>
      </c>
      <c r="H17" s="51">
        <f t="shared" si="2"/>
        <v>75</v>
      </c>
      <c r="I17" s="64">
        <f t="shared" si="3"/>
        <v>1.125162242</v>
      </c>
      <c r="J17" s="107">
        <v>0.5</v>
      </c>
      <c r="K17" s="106">
        <f t="array" ref="K17">INDEX('磁場データ'!$C$2:$AB$2,MATCH(ABS($C17)*1000/2,'磁場データ'!$C17:$AB17,1))</f>
        <v>600</v>
      </c>
      <c r="L17" s="51">
        <f t="array" ref="L17">INDEX('磁場データ'!$C$2:$AB$2,MATCH(ABS($C17)*1000/2,'磁場データ'!$C17:$AB17,1)+1)</f>
        <v>700</v>
      </c>
      <c r="M17" s="51">
        <f t="array" ref="M17">INDEX('磁場データ'!$C17:$AB17,MATCH(ABS($C17)*1000/2,'磁場データ'!$C17:$AB17,1))</f>
        <v>1758.45</v>
      </c>
      <c r="N17" s="51">
        <f t="array" ref="N17">INDEX('磁場データ'!$C17:$AB17,MATCH(ABS($C17)*1000/2,'磁場データ'!$C17:$AB17,1)+1)</f>
        <v>2041.58</v>
      </c>
      <c r="O17" s="51">
        <f t="array" ref="O17">INDEX('流量データ'!$C$2:$M$2,MATCH($G17,'流量データ'!$C$2:$M$2,1))</f>
        <v>10</v>
      </c>
      <c r="P17" s="51">
        <f t="array" ref="P17">INDEX('流量データ'!$C$2:$M$2,MATCH($G17,'流量データ'!$C$2:$M$2,1)+1)</f>
        <v>11</v>
      </c>
      <c r="Q17" s="51">
        <f t="array" ref="Q17">INDEX('流量データ'!$C17:$M17,MATCH($G17,'流量データ'!$C$2:$M$2,1))</f>
        <v>75</v>
      </c>
      <c r="R17" s="64">
        <f t="array" ref="R17">INDEX('流量データ'!$C17:$M17,MATCH($G17,'流量データ'!$C$2:$M$2,1)+1)</f>
        <v>83</v>
      </c>
    </row>
    <row r="18" ht="13.5" customHeight="1">
      <c r="A18" s="61" t="s">
        <v>88</v>
      </c>
      <c r="B18" s="63" t="s">
        <v>89</v>
      </c>
      <c r="C18" s="65">
        <v>0.29166666666666663</v>
      </c>
      <c r="D18" s="67">
        <f>SIGN(C18)*((L18-K18)/(N18-M18)*(ABS(C18)*1000/8-M18)+K18)</f>
        <v>32.6937547</v>
      </c>
      <c r="E18" s="69">
        <f>'電圧データ'!$D18/'電圧データ'!$C18*$D18</f>
        <v>1.706613995</v>
      </c>
      <c r="F18" s="69">
        <f t="shared" si="1"/>
        <v>0.05579561934</v>
      </c>
      <c r="G18" s="70">
        <v>10.0</v>
      </c>
      <c r="H18" s="69">
        <f t="shared" si="2"/>
        <v>10.5</v>
      </c>
      <c r="I18" s="72">
        <f t="shared" si="3"/>
        <v>0.07617539374</v>
      </c>
      <c r="J18" s="74">
        <v>0.125</v>
      </c>
      <c r="K18" s="67">
        <f t="array" ref="K18">INDEX('磁場データ'!$C$2:$AB$2,MATCH(ABS($C18)*1000/8,'磁場データ'!$C18:$AB18,1))</f>
        <v>0</v>
      </c>
      <c r="L18" s="69">
        <f t="array" ref="L18">INDEX('磁場データ'!$C$2:$AB$2,MATCH(ABS($C18)*1000/8,'磁場データ'!$C18:$AB18,1)+1)</f>
        <v>100</v>
      </c>
      <c r="M18" s="69">
        <f t="array" ref="M18">INDEX('磁場データ'!$C18:$AB18,MATCH(ABS($C18)*1000/8,'磁場データ'!$C18:$AB18,1))</f>
        <v>0.25</v>
      </c>
      <c r="N18" s="69">
        <f t="array" ref="N18">INDEX('磁場データ'!$C18:$AB18,MATCH(ABS($C18)*1000/8,'磁場データ'!$C18:$AB18,1)+1)</f>
        <v>111</v>
      </c>
      <c r="O18" s="69">
        <f t="array" ref="O18">INDEX('流量データ'!$C$2:$M$2,MATCH($G18,'流量データ'!$C$2:$M$2,1))</f>
        <v>10</v>
      </c>
      <c r="P18" s="69">
        <f t="array" ref="P18">INDEX('流量データ'!$C$2:$M$2,MATCH($G18,'流量データ'!$C$2:$M$2,1)+1)</f>
        <v>11</v>
      </c>
      <c r="Q18" s="69">
        <f t="array" ref="Q18">INDEX('流量データ'!$C18:$M18,MATCH($G18,'流量データ'!$C$2:$M$2,1))</f>
        <v>10.5</v>
      </c>
      <c r="R18" s="72" t="str">
        <f t="array" ref="R18">INDEX('流量データ'!$C18:$M18,MATCH($G18,'流量データ'!$C$2:$M$2,1)+1)</f>
        <v/>
      </c>
    </row>
    <row r="19" ht="13.5" customHeight="1">
      <c r="A19" s="61" t="s">
        <v>90</v>
      </c>
      <c r="B19" s="63" t="s">
        <v>91</v>
      </c>
      <c r="C19" s="65">
        <v>-0.8750000000000001</v>
      </c>
      <c r="D19" s="67">
        <f>SIGN(C19)*((L19-K19)/(N19-M19)*(ABS(C19)*1000/4-M19)+K19)</f>
        <v>-128.5087719</v>
      </c>
      <c r="E19" s="69">
        <f>'電圧データ'!$D19/'電圧データ'!$C19*$D19</f>
        <v>-4.426413255</v>
      </c>
      <c r="F19" s="69">
        <f t="shared" si="1"/>
        <v>0.5688329315</v>
      </c>
      <c r="G19" s="70">
        <v>10.0</v>
      </c>
      <c r="H19" s="69">
        <f t="shared" si="2"/>
        <v>19.6</v>
      </c>
      <c r="I19" s="72">
        <f t="shared" si="3"/>
        <v>0.4160375823</v>
      </c>
      <c r="J19" s="74">
        <v>0.25</v>
      </c>
      <c r="K19" s="67">
        <f t="array" ref="K19">INDEX('磁場データ'!$C$2:$AB$2,MATCH(ABS($C19)*1000/4,'磁場データ'!$C19:$AB19,1))</f>
        <v>100</v>
      </c>
      <c r="L19" s="69">
        <f t="array" ref="L19">INDEX('磁場データ'!$C$2:$AB$2,MATCH(ABS($C19)*1000/4,'磁場データ'!$C19:$AB19,1)+1)</f>
        <v>200</v>
      </c>
      <c r="M19" s="69">
        <f t="array" ref="M19">INDEX('磁場データ'!$C19:$AB19,MATCH(ABS($C19)*1000/4,'磁場データ'!$C19:$AB19,1))</f>
        <v>170</v>
      </c>
      <c r="N19" s="69">
        <f t="array" ref="N19">INDEX('磁場データ'!$C19:$AB19,MATCH(ABS($C19)*1000/4,'磁場データ'!$C19:$AB19,1)+1)</f>
        <v>341</v>
      </c>
      <c r="O19" s="69">
        <f t="array" ref="O19">INDEX('流量データ'!$C$2:$M$2,MATCH($G19,'流量データ'!$C$2:$M$2,1))</f>
        <v>10</v>
      </c>
      <c r="P19" s="69">
        <f t="array" ref="P19">INDEX('流量データ'!$C$2:$M$2,MATCH($G19,'流量データ'!$C$2:$M$2,1)+1)</f>
        <v>11</v>
      </c>
      <c r="Q19" s="69">
        <f t="array" ref="Q19">INDEX('流量データ'!$C19:$M19,MATCH($G19,'流量データ'!$C$2:$M$2,1))</f>
        <v>19.6</v>
      </c>
      <c r="R19" s="72" t="str">
        <f t="array" ref="R19">INDEX('流量データ'!$C19:$M19,MATCH($G19,'流量データ'!$C$2:$M$2,1)+1)</f>
        <v/>
      </c>
    </row>
    <row r="20" ht="13.5" customHeight="1">
      <c r="A20" s="61" t="s">
        <v>92</v>
      </c>
      <c r="B20" s="63" t="s">
        <v>77</v>
      </c>
      <c r="C20" s="65">
        <v>4.1788855555555555</v>
      </c>
      <c r="D20" s="50">
        <f t="shared" ref="D20:D21" si="6">SIGN(C20)*((L20-K20)/(N20-M20)*(ABS(C20)*1000-M20)+K20)</f>
        <v>1157.911195</v>
      </c>
      <c r="E20" s="52">
        <f>'電圧データ'!$D20/'電圧データ'!$C20*$D20</f>
        <v>44.78532557</v>
      </c>
      <c r="F20" s="52">
        <f t="shared" si="1"/>
        <v>51.85742986</v>
      </c>
      <c r="G20" s="54">
        <v>10.0</v>
      </c>
      <c r="H20" s="52">
        <f t="shared" si="2"/>
        <v>32.8</v>
      </c>
      <c r="I20" s="56">
        <f t="shared" si="3"/>
        <v>22.66423419</v>
      </c>
      <c r="J20" s="58">
        <v>1.0</v>
      </c>
      <c r="K20" s="50">
        <f t="array" ref="K20">INDEX('磁場データ'!$C$2:$AB$2,MATCH(ABS($C20)*1000,'磁場データ'!$C20:$AB20,1))</f>
        <v>1100</v>
      </c>
      <c r="L20" s="52">
        <f t="array" ref="L20">INDEX('磁場データ'!$C$2:$AB$2,MATCH(ABS($C20)*1000,'磁場データ'!$C20:$AB20,1)+1)</f>
        <v>1200</v>
      </c>
      <c r="M20" s="52">
        <f t="array" ref="M20">INDEX('磁場データ'!$C20:$AB20,MATCH(ABS($C20)*1000,'磁場データ'!$C20:$AB20,1))</f>
        <v>4026</v>
      </c>
      <c r="N20" s="52">
        <f t="array" ref="N20">INDEX('磁場データ'!$C20:$AB20,MATCH(ABS($C20)*1000,'磁場データ'!$C20:$AB20,1)+1)</f>
        <v>4290</v>
      </c>
      <c r="O20" s="52">
        <f t="array" ref="O20">INDEX('流量データ'!$C$2:$M$2,MATCH($G20,'流量データ'!$C$2:$M$2,1))</f>
        <v>10</v>
      </c>
      <c r="P20" s="52">
        <f t="array" ref="P20">INDEX('流量データ'!$C$2:$M$2,MATCH($G20,'流量データ'!$C$2:$M$2,1)+1)</f>
        <v>11</v>
      </c>
      <c r="Q20" s="52">
        <f t="array" ref="Q20">INDEX('流量データ'!$C20:$M20,MATCH($G20,'流量データ'!$C$2:$M$2,1))</f>
        <v>32.8</v>
      </c>
      <c r="R20" s="56" t="str">
        <f t="array" ref="R20">INDEX('流量データ'!$C20:$M20,MATCH($G20,'流量データ'!$C$2:$M$2,1)+1)</f>
        <v/>
      </c>
    </row>
    <row r="21" ht="13.5" customHeight="1">
      <c r="A21" s="61" t="s">
        <v>93</v>
      </c>
      <c r="B21" s="63" t="s">
        <v>77</v>
      </c>
      <c r="C21" s="65">
        <v>4.1788855555555555</v>
      </c>
      <c r="D21" s="50">
        <f t="shared" si="6"/>
        <v>1157.911195</v>
      </c>
      <c r="E21" s="52">
        <f>'電圧データ'!$D21/'電圧データ'!$C21*$D21</f>
        <v>45.07241099</v>
      </c>
      <c r="F21" s="52">
        <f t="shared" si="1"/>
        <v>52.18984928</v>
      </c>
      <c r="G21" s="54">
        <v>10.0</v>
      </c>
      <c r="H21" s="52">
        <f t="shared" si="2"/>
        <v>33.6</v>
      </c>
      <c r="I21" s="56">
        <f t="shared" si="3"/>
        <v>22.26643398</v>
      </c>
      <c r="J21" s="58">
        <v>1.0</v>
      </c>
      <c r="K21" s="50">
        <f t="array" ref="K21">INDEX('磁場データ'!$C$2:$AB$2,MATCH(ABS($C21)*1000,'磁場データ'!$C21:$AB21,1))</f>
        <v>1100</v>
      </c>
      <c r="L21" s="52">
        <f t="array" ref="L21">INDEX('磁場データ'!$C$2:$AB$2,MATCH(ABS($C21)*1000,'磁場データ'!$C21:$AB21,1)+1)</f>
        <v>1200</v>
      </c>
      <c r="M21" s="52">
        <f t="array" ref="M21">INDEX('磁場データ'!$C21:$AB21,MATCH(ABS($C21)*1000,'磁場データ'!$C21:$AB21,1))</f>
        <v>4026</v>
      </c>
      <c r="N21" s="52">
        <f t="array" ref="N21">INDEX('磁場データ'!$C21:$AB21,MATCH(ABS($C21)*1000,'磁場データ'!$C21:$AB21,1)+1)</f>
        <v>4290</v>
      </c>
      <c r="O21" s="52">
        <f t="array" ref="O21">INDEX('流量データ'!$C$2:$M$2,MATCH($G21,'流量データ'!$C$2:$M$2,1))</f>
        <v>10</v>
      </c>
      <c r="P21" s="52">
        <f t="array" ref="P21">INDEX('流量データ'!$C$2:$M$2,MATCH($G21,'流量データ'!$C$2:$M$2,1)+1)</f>
        <v>11</v>
      </c>
      <c r="Q21" s="52">
        <f t="array" ref="Q21">INDEX('流量データ'!$C21:$M21,MATCH($G21,'流量データ'!$C$2:$M$2,1))</f>
        <v>33.6</v>
      </c>
      <c r="R21" s="56" t="str">
        <f t="array" ref="R21">INDEX('流量データ'!$C21:$M21,MATCH($G21,'流量データ'!$C$2:$M$2,1)+1)</f>
        <v/>
      </c>
    </row>
    <row r="22" ht="13.5" customHeight="1">
      <c r="A22" s="61" t="s">
        <v>98</v>
      </c>
      <c r="B22" s="63" t="s">
        <v>91</v>
      </c>
      <c r="C22" s="65">
        <v>0.19999999999999998</v>
      </c>
      <c r="D22" s="67">
        <f>SIGN(C22)*((L22-K22)/(N22-M22)*(ABS(C22)*1000/4-M22)+K22)</f>
        <v>28.82352941</v>
      </c>
      <c r="E22" s="69">
        <f>'電圧データ'!$D22/'電圧データ'!$C22*$D22</f>
        <v>0.9928104575</v>
      </c>
      <c r="F22" s="69">
        <f t="shared" si="1"/>
        <v>0.02861630142</v>
      </c>
      <c r="G22" s="70">
        <v>10.0</v>
      </c>
      <c r="H22" s="69">
        <f t="shared" si="2"/>
        <v>19.6</v>
      </c>
      <c r="I22" s="72">
        <f t="shared" si="3"/>
        <v>0.02092961957</v>
      </c>
      <c r="J22" s="74">
        <v>0.25</v>
      </c>
      <c r="K22" s="67">
        <f t="array" ref="K22">INDEX('磁場データ'!$C$2:$AB$2,MATCH(ABS($C22)*1000/4,'磁場データ'!$C22:$AB22,1))</f>
        <v>0</v>
      </c>
      <c r="L22" s="69">
        <f t="array" ref="L22">INDEX('磁場データ'!$C$2:$AB$2,MATCH(ABS($C22)*1000/4,'磁場データ'!$C22:$AB22,1)+1)</f>
        <v>100</v>
      </c>
      <c r="M22" s="69">
        <f t="array" ref="M22">INDEX('磁場データ'!$C22:$AB22,MATCH(ABS($C22)*1000/4,'磁場データ'!$C22:$AB22,1))</f>
        <v>1</v>
      </c>
      <c r="N22" s="69">
        <f t="array" ref="N22">INDEX('磁場データ'!$C22:$AB22,MATCH(ABS($C22)*1000/4,'磁場データ'!$C22:$AB22,1)+1)</f>
        <v>171</v>
      </c>
      <c r="O22" s="69">
        <f t="array" ref="O22">INDEX('流量データ'!$C$2:$M$2,MATCH($G22,'流量データ'!$C$2:$M$2,1))</f>
        <v>10</v>
      </c>
      <c r="P22" s="69">
        <f t="array" ref="P22">INDEX('流量データ'!$C$2:$M$2,MATCH($G22,'流量データ'!$C$2:$M$2,1)+1)</f>
        <v>11</v>
      </c>
      <c r="Q22" s="69">
        <f t="array" ref="Q22">INDEX('流量データ'!$C22:$M22,MATCH($G22,'流量データ'!$C$2:$M$2,1))</f>
        <v>19.6</v>
      </c>
      <c r="R22" s="72" t="str">
        <f t="array" ref="R22">INDEX('流量データ'!$C22:$M22,MATCH($G22,'流量データ'!$C$2:$M$2,1)+1)</f>
        <v/>
      </c>
    </row>
    <row r="23" ht="13.5" customHeight="1">
      <c r="A23" s="61" t="s">
        <v>99</v>
      </c>
      <c r="B23" s="63" t="s">
        <v>100</v>
      </c>
      <c r="C23" s="65">
        <v>-6.633749999999999</v>
      </c>
      <c r="D23" s="67">
        <f>SIGN(C23)*((L23-K23)/(N23-M23)*(ABS(C23)*1000/2-M23)+K23)</f>
        <v>-882.2302272</v>
      </c>
      <c r="E23" s="69">
        <f>'電圧データ'!$D23/'電圧データ'!$C23*$D23</f>
        <v>-30.70161191</v>
      </c>
      <c r="F23" s="69">
        <f t="shared" si="1"/>
        <v>27.08589005</v>
      </c>
      <c r="G23" s="70">
        <v>10.0</v>
      </c>
      <c r="H23" s="69">
        <f t="shared" si="2"/>
        <v>158</v>
      </c>
      <c r="I23" s="72">
        <f t="shared" si="3"/>
        <v>2.45747964</v>
      </c>
      <c r="J23" s="74">
        <v>0.5</v>
      </c>
      <c r="K23" s="67">
        <f t="array" ref="K23">INDEX('磁場データ'!$C$2:$AB$2,MATCH(ABS($C23)*1000/2,'磁場データ'!$C23:$AB23,1))</f>
        <v>800</v>
      </c>
      <c r="L23" s="69">
        <f t="array" ref="L23">INDEX('磁場データ'!$C$2:$AB$2,MATCH(ABS($C23)*1000/2,'磁場データ'!$C23:$AB23,1)+1)</f>
        <v>900</v>
      </c>
      <c r="M23" s="69">
        <f t="array" ref="M23">INDEX('磁場データ'!$C23:$AB23,MATCH(ABS($C23)*1000/2,'磁場データ'!$C23:$AB23,1))</f>
        <v>3005.28</v>
      </c>
      <c r="N23" s="69">
        <f t="array" ref="N23">INDEX('磁場データ'!$C23:$AB23,MATCH(ABS($C23)*1000/2,'磁場データ'!$C23:$AB23,1)+1)</f>
        <v>3384.21</v>
      </c>
      <c r="O23" s="69">
        <f t="array" ref="O23">INDEX('流量データ'!$C$2:$M$2,MATCH($G23,'流量データ'!$C$2:$M$2,1))</f>
        <v>10</v>
      </c>
      <c r="P23" s="69">
        <f t="array" ref="P23">INDEX('流量データ'!$C$2:$M$2,MATCH($G23,'流量データ'!$C$2:$M$2,1)+1)</f>
        <v>11</v>
      </c>
      <c r="Q23" s="69">
        <f t="array" ref="Q23">INDEX('流量データ'!$C23:$M23,MATCH($G23,'流量データ'!$C$2:$M$2,1))</f>
        <v>158</v>
      </c>
      <c r="R23" s="72" t="str">
        <f t="array" ref="R23">INDEX('流量データ'!$C23:$M23,MATCH($G23,'流量データ'!$C$2:$M$2,1)+1)</f>
        <v/>
      </c>
    </row>
    <row r="24" ht="13.5" customHeight="1">
      <c r="A24" s="61" t="s">
        <v>101</v>
      </c>
      <c r="B24" s="63" t="s">
        <v>89</v>
      </c>
      <c r="C24" s="65">
        <v>0.7083333333333333</v>
      </c>
      <c r="D24" s="67">
        <f>SIGN(C24)*((L24-K24)/(N24-M24)*(ABS(C24)*1000/8-M24)+K24)</f>
        <v>79.81167608</v>
      </c>
      <c r="E24" s="69">
        <f>'電圧データ'!$D24/'電圧データ'!$C24*$D24</f>
        <v>4.150207156</v>
      </c>
      <c r="F24" s="69">
        <f t="shared" si="1"/>
        <v>0.3312349892</v>
      </c>
      <c r="G24" s="70">
        <v>10.0</v>
      </c>
      <c r="H24" s="69">
        <f t="shared" si="2"/>
        <v>10.5</v>
      </c>
      <c r="I24" s="72">
        <f t="shared" si="3"/>
        <v>0.4522210888</v>
      </c>
      <c r="J24" s="74">
        <v>0.125</v>
      </c>
      <c r="K24" s="67">
        <f t="array" ref="K24">INDEX('磁場データ'!$C$2:$AB$2,MATCH(ABS($C24)*1000/8,'磁場データ'!$C24:$AB24,1))</f>
        <v>0</v>
      </c>
      <c r="L24" s="69">
        <f t="array" ref="L24">INDEX('磁場データ'!$C$2:$AB$2,MATCH(ABS($C24)*1000/8,'磁場データ'!$C24:$AB24,1)+1)</f>
        <v>100</v>
      </c>
      <c r="M24" s="69">
        <f t="array" ref="M24">INDEX('磁場データ'!$C24:$AB24,MATCH(ABS($C24)*1000/8,'磁場データ'!$C24:$AB24,1))</f>
        <v>0.25</v>
      </c>
      <c r="N24" s="69">
        <f t="array" ref="N24">INDEX('磁場データ'!$C24:$AB24,MATCH(ABS($C24)*1000/8,'磁場データ'!$C24:$AB24,1)+1)</f>
        <v>110.875</v>
      </c>
      <c r="O24" s="69">
        <f t="array" ref="O24">INDEX('流量データ'!$C$2:$M$2,MATCH($G24,'流量データ'!$C$2:$M$2,1))</f>
        <v>10</v>
      </c>
      <c r="P24" s="69">
        <f t="array" ref="P24">INDEX('流量データ'!$C$2:$M$2,MATCH($G24,'流量データ'!$C$2:$M$2,1)+1)</f>
        <v>11</v>
      </c>
      <c r="Q24" s="69">
        <f t="array" ref="Q24">INDEX('流量データ'!$C24:$M24,MATCH($G24,'流量データ'!$C$2:$M$2,1))</f>
        <v>10.5</v>
      </c>
      <c r="R24" s="72" t="str">
        <f t="array" ref="R24">INDEX('流量データ'!$C24:$M24,MATCH($G24,'流量データ'!$C$2:$M$2,1)+1)</f>
        <v/>
      </c>
    </row>
    <row r="25" ht="13.5" customHeight="1">
      <c r="A25" s="61" t="s">
        <v>102</v>
      </c>
      <c r="B25" s="63" t="s">
        <v>103</v>
      </c>
      <c r="C25" s="65">
        <v>8.23325</v>
      </c>
      <c r="D25" s="67">
        <f t="shared" ref="D25:D27" si="7">SIGN(C25)*((L25-K25)/(N25-M25)*(ABS(C25)*1000/2-M25)+K25)</f>
        <v>1094.823446</v>
      </c>
      <c r="E25" s="69">
        <f>'電圧データ'!$D25/'電圧データ'!$C25*$D25</f>
        <v>56.93081917</v>
      </c>
      <c r="F25" s="69">
        <f t="shared" si="1"/>
        <v>62.3291956</v>
      </c>
      <c r="G25" s="70">
        <v>10.0</v>
      </c>
      <c r="H25" s="69">
        <f t="shared" si="2"/>
        <v>128</v>
      </c>
      <c r="I25" s="72">
        <f t="shared" si="3"/>
        <v>6.980482724</v>
      </c>
      <c r="J25" s="74">
        <v>0.5</v>
      </c>
      <c r="K25" s="67">
        <f t="array" ref="K25">INDEX('磁場データ'!$C$2:$AB$2,MATCH(ABS($C25)*1000/2,'磁場データ'!$C25:$AB25,1))</f>
        <v>1000</v>
      </c>
      <c r="L25" s="69">
        <f t="array" ref="L25">INDEX('磁場データ'!$C$2:$AB$2,MATCH(ABS($C25)*1000/2,'磁場データ'!$C25:$AB25,1)+1)</f>
        <v>1100</v>
      </c>
      <c r="M25" s="69">
        <f t="array" ref="M25">INDEX('磁場データ'!$C25:$AB25,MATCH(ABS($C25)*1000/2,'磁場データ'!$C25:$AB25,1))</f>
        <v>3757.32</v>
      </c>
      <c r="N25" s="69">
        <f t="array" ref="N25">INDEX('磁場データ'!$C25:$AB25,MATCH(ABS($C25)*1000/2,'磁場データ'!$C25:$AB25,1)+1)</f>
        <v>4136.24</v>
      </c>
      <c r="O25" s="69">
        <f t="array" ref="O25">INDEX('流量データ'!$C$2:$M$2,MATCH($G25,'流量データ'!$C$2:$M$2,1))</f>
        <v>10</v>
      </c>
      <c r="P25" s="69">
        <f t="array" ref="P25">INDEX('流量データ'!$C$2:$M$2,MATCH($G25,'流量データ'!$C$2:$M$2,1)+1)</f>
        <v>11</v>
      </c>
      <c r="Q25" s="69">
        <f t="array" ref="Q25">INDEX('流量データ'!$C25:$M25,MATCH($G25,'流量データ'!$C$2:$M$2,1))</f>
        <v>128</v>
      </c>
      <c r="R25" s="72">
        <f t="array" ref="R25">INDEX('流量データ'!$C25:$M25,MATCH($G25,'流量データ'!$C$2:$M$2,1)+1)</f>
        <v>136</v>
      </c>
    </row>
    <row r="26" ht="13.5" customHeight="1">
      <c r="A26" s="61" t="s">
        <v>104</v>
      </c>
      <c r="B26" s="63" t="s">
        <v>105</v>
      </c>
      <c r="C26" s="65">
        <v>8.016833333333334</v>
      </c>
      <c r="D26" s="67">
        <f t="shared" si="7"/>
        <v>1075.411258</v>
      </c>
      <c r="E26" s="69">
        <f>'電圧データ'!$D26/'電圧データ'!$C26*$D26</f>
        <v>36.45644164</v>
      </c>
      <c r="F26" s="69">
        <f t="shared" si="1"/>
        <v>39.20566776</v>
      </c>
      <c r="G26" s="70">
        <v>10.0</v>
      </c>
      <c r="H26" s="69">
        <f t="shared" si="2"/>
        <v>162</v>
      </c>
      <c r="I26" s="72">
        <f t="shared" si="3"/>
        <v>3.469267158</v>
      </c>
      <c r="J26" s="74">
        <v>0.5</v>
      </c>
      <c r="K26" s="67">
        <f t="array" ref="K26">INDEX('磁場データ'!$C$2:$AB$2,MATCH(ABS($C26)*1000/2,'磁場データ'!$C26:$AB26,1))</f>
        <v>1000</v>
      </c>
      <c r="L26" s="69">
        <f t="array" ref="L26">INDEX('磁場データ'!$C$2:$AB$2,MATCH(ABS($C26)*1000/2,'磁場データ'!$C26:$AB26,1)+1)</f>
        <v>1100</v>
      </c>
      <c r="M26" s="69">
        <f t="array" ref="M26">INDEX('磁場データ'!$C26:$AB26,MATCH(ABS($C26)*1000/2,'磁場データ'!$C26:$AB26,1))</f>
        <v>3733.06</v>
      </c>
      <c r="N26" s="69">
        <f t="array" ref="N26">INDEX('磁場データ'!$C26:$AB26,MATCH(ABS($C26)*1000/2,'磁場データ'!$C26:$AB26,1)+1)</f>
        <v>4098.2</v>
      </c>
      <c r="O26" s="69">
        <f t="array" ref="O26">INDEX('流量データ'!$C$2:$M$2,MATCH($G26,'流量データ'!$C$2:$M$2,1))</f>
        <v>10</v>
      </c>
      <c r="P26" s="69">
        <f t="array" ref="P26">INDEX('流量データ'!$C$2:$M$2,MATCH($G26,'流量データ'!$C$2:$M$2,1)+1)</f>
        <v>11</v>
      </c>
      <c r="Q26" s="69">
        <f t="array" ref="Q26">INDEX('流量データ'!$C26:$M26,MATCH($G26,'流量データ'!$C$2:$M$2,1))</f>
        <v>162</v>
      </c>
      <c r="R26" s="72">
        <f t="array" ref="R26">INDEX('流量データ'!$C26:$M26,MATCH($G26,'流量データ'!$C$2:$M$2,1)+1)</f>
        <v>170</v>
      </c>
    </row>
    <row r="27" ht="13.5" customHeight="1">
      <c r="A27" s="61" t="s">
        <v>106</v>
      </c>
      <c r="B27" s="63" t="s">
        <v>107</v>
      </c>
      <c r="C27" s="65">
        <v>-6.217416666666667</v>
      </c>
      <c r="D27" s="67">
        <f t="shared" si="7"/>
        <v>-845.721</v>
      </c>
      <c r="E27" s="69">
        <f>'電圧データ'!$D27/'電圧データ'!$C27*$D27</f>
        <v>-22.9190391</v>
      </c>
      <c r="F27" s="69">
        <f t="shared" si="1"/>
        <v>19.38311267</v>
      </c>
      <c r="G27" s="70">
        <v>10.0</v>
      </c>
      <c r="H27" s="69">
        <f t="shared" si="2"/>
        <v>63</v>
      </c>
      <c r="I27" s="72">
        <f t="shared" si="3"/>
        <v>4.410490336</v>
      </c>
      <c r="J27" s="74">
        <v>0.5</v>
      </c>
      <c r="K27" s="67">
        <f t="array" ref="K27">INDEX('磁場データ'!$C$2:$AB$2,MATCH(ABS($C27)*1000/2,'磁場データ'!$C27:$AB27,1))</f>
        <v>800</v>
      </c>
      <c r="L27" s="69">
        <f t="array" ref="L27">INDEX('磁場データ'!$C$2:$AB$2,MATCH(ABS($C27)*1000/2,'磁場データ'!$C27:$AB27,1)+1)</f>
        <v>900</v>
      </c>
      <c r="M27" s="69">
        <f t="array" ref="M27">INDEX('磁場データ'!$C27:$AB27,MATCH(ABS($C27)*1000/2,'磁場データ'!$C27:$AB27,1))</f>
        <v>2939.12</v>
      </c>
      <c r="N27" s="69">
        <f t="array" ref="N27">INDEX('磁場データ'!$C27:$AB27,MATCH(ABS($C27)*1000/2,'磁場データ'!$C27:$AB27,1)+1)</f>
        <v>3310.04</v>
      </c>
      <c r="O27" s="69">
        <f t="array" ref="O27">INDEX('流量データ'!$C$2:$M$2,MATCH($G27,'流量データ'!$C$2:$M$2,1))</f>
        <v>10</v>
      </c>
      <c r="P27" s="69">
        <f t="array" ref="P27">INDEX('流量データ'!$C$2:$M$2,MATCH($G27,'流量データ'!$C$2:$M$2,1)+1)</f>
        <v>11</v>
      </c>
      <c r="Q27" s="69">
        <f t="array" ref="Q27">INDEX('流量データ'!$C27:$M27,MATCH($G27,'流量データ'!$C$2:$M$2,1))</f>
        <v>63</v>
      </c>
      <c r="R27" s="72">
        <f t="array" ref="R27">INDEX('流量データ'!$C27:$M27,MATCH($G27,'流量データ'!$C$2:$M$2,1)+1)</f>
        <v>66</v>
      </c>
    </row>
    <row r="28" ht="13.5" customHeight="1">
      <c r="A28" s="61" t="s">
        <v>108</v>
      </c>
      <c r="B28" s="63" t="s">
        <v>109</v>
      </c>
      <c r="C28" s="65">
        <v>13.0</v>
      </c>
      <c r="D28" s="50">
        <f t="shared" ref="D28:D29" si="8">SIGN(C28)*((L28-K28)/(N28-M28)*(ABS(C28)*1000-M28)+K28)</f>
        <v>5440.336134</v>
      </c>
      <c r="E28" s="52">
        <f>'電圧データ'!$D28/'電圧データ'!$C28*$D28</f>
        <v>152.3294118</v>
      </c>
      <c r="F28" s="52">
        <f t="shared" si="1"/>
        <v>828.7232032</v>
      </c>
      <c r="G28" s="54">
        <v>10.0</v>
      </c>
      <c r="H28" s="52">
        <f t="shared" si="2"/>
        <v>557</v>
      </c>
      <c r="I28" s="56">
        <f t="shared" si="3"/>
        <v>21.32839659</v>
      </c>
      <c r="J28" s="58">
        <v>1.0</v>
      </c>
      <c r="K28" s="50">
        <f t="array" ref="K28">INDEX('磁場データ'!$C$2:$AB$2,MATCH(ABS($C28)*1000,'磁場データ'!$C28:$AB28,1))*5</f>
        <v>5000</v>
      </c>
      <c r="L28" s="52">
        <f t="array" ref="L28">INDEX('磁場データ'!$C$2:$AB$2,MATCH(ABS($C28)*1000,'磁場データ'!$C28:$AB28,1)+1)*5</f>
        <v>5500</v>
      </c>
      <c r="M28" s="52">
        <f t="array" ref="M28">INDEX('磁場データ'!$C28:$AB28,MATCH(ABS($C28)*1000,'磁場データ'!$C28:$AB28,1))</f>
        <v>11952</v>
      </c>
      <c r="N28" s="52">
        <f t="array" ref="N28">INDEX('磁場データ'!$C28:$AB28,MATCH(ABS($C28)*1000,'磁場データ'!$C28:$AB28,1)+1)</f>
        <v>13142</v>
      </c>
      <c r="O28" s="52">
        <f t="array" ref="O28">INDEX('流量データ'!$C$2:$M$2,MATCH($G28,'流量データ'!$C$2:$M$2,1))</f>
        <v>10</v>
      </c>
      <c r="P28" s="52">
        <f t="array" ref="P28">INDEX('流量データ'!$C$2:$M$2,MATCH($G28,'流量データ'!$C$2:$M$2,1)+1)</f>
        <v>11</v>
      </c>
      <c r="Q28" s="52">
        <f t="array" ref="Q28">INDEX('流量データ'!$C28:$M28,MATCH($G28,'流量データ'!$C$2:$M$2,1))</f>
        <v>557</v>
      </c>
      <c r="R28" s="56" t="str">
        <f t="array" ref="R28">INDEX('流量データ'!$C28:$M28,MATCH($G28,'流量データ'!$C$2:$M$2,1)+1)</f>
        <v/>
      </c>
    </row>
    <row r="29" ht="13.5" customHeight="1">
      <c r="A29" s="61" t="s">
        <v>110</v>
      </c>
      <c r="B29" s="63" t="s">
        <v>111</v>
      </c>
      <c r="C29" s="65">
        <v>3.678</v>
      </c>
      <c r="D29" s="50">
        <f t="shared" si="8"/>
        <v>877.4244852</v>
      </c>
      <c r="E29" s="52">
        <f>'電圧データ'!$D29/'電圧データ'!$C29*$D29</f>
        <v>179.5210497</v>
      </c>
      <c r="F29" s="52">
        <f t="shared" si="1"/>
        <v>157.5161646</v>
      </c>
      <c r="G29" s="54">
        <v>10.0</v>
      </c>
      <c r="H29" s="52">
        <f t="shared" si="2"/>
        <v>117</v>
      </c>
      <c r="I29" s="56">
        <f t="shared" si="3"/>
        <v>19.29937171</v>
      </c>
      <c r="J29" s="58">
        <v>1.0</v>
      </c>
      <c r="K29" s="50">
        <f t="array" ref="K29">INDEX('磁場データ'!$C$2:$AB$2,MATCH(ABS($C29)*1000,'磁場データ'!$C29:$AB29,1))</f>
        <v>800</v>
      </c>
      <c r="L29" s="52">
        <f t="array" ref="L29">INDEX('磁場データ'!$C$2:$AB$2,MATCH(ABS($C29)*1000,'磁場データ'!$C29:$AB29,1)+1)</f>
        <v>900</v>
      </c>
      <c r="M29" s="52">
        <f t="array" ref="M29">INDEX('磁場データ'!$C29:$AB29,MATCH(ABS($C29)*1000,'磁場データ'!$C29:$AB29,1))</f>
        <v>3352.966716</v>
      </c>
      <c r="N29" s="52">
        <f t="array" ref="N29">INDEX('磁場データ'!$C29:$AB29,MATCH(ABS($C29)*1000,'磁場データ'!$C29:$AB29,1)+1)</f>
        <v>3772.773555</v>
      </c>
      <c r="O29" s="52">
        <f t="array" ref="O29">INDEX('流量データ'!$C$2:$M$2,MATCH($G29,'流量データ'!$C$2:$M$2,1))</f>
        <v>10</v>
      </c>
      <c r="P29" s="52">
        <f t="array" ref="P29">INDEX('流量データ'!$C$2:$M$2,MATCH($G29,'流量データ'!$C$2:$M$2,1)+1)</f>
        <v>11</v>
      </c>
      <c r="Q29" s="52">
        <f t="array" ref="Q29">INDEX('流量データ'!$C29:$M29,MATCH($G29,'流量データ'!$C$2:$M$2,1))</f>
        <v>117</v>
      </c>
      <c r="R29" s="56" t="str">
        <f t="array" ref="R29">INDEX('流量データ'!$C29:$M29,MATCH($G29,'流量データ'!$C$2:$M$2,1)+1)</f>
        <v/>
      </c>
    </row>
    <row r="30" ht="13.5" customHeight="1">
      <c r="A30" s="61" t="s">
        <v>112</v>
      </c>
      <c r="B30" s="63" t="s">
        <v>107</v>
      </c>
      <c r="C30" s="65">
        <v>6.558083333333332</v>
      </c>
      <c r="D30" s="67">
        <f t="shared" ref="D30:D31" si="9">SIGN(C30)*((L30-K30)/(N30-M30)*(ABS(C30)*1000/2-M30)+K30)</f>
        <v>883.3333333</v>
      </c>
      <c r="E30" s="69">
        <f>'電圧データ'!$D30/'電圧データ'!$C30*$D30</f>
        <v>23.93833333</v>
      </c>
      <c r="F30" s="69">
        <f t="shared" si="1"/>
        <v>21.14552778</v>
      </c>
      <c r="G30" s="70">
        <v>10.0</v>
      </c>
      <c r="H30" s="69">
        <f t="shared" si="2"/>
        <v>63</v>
      </c>
      <c r="I30" s="72">
        <f t="shared" si="3"/>
        <v>4.811515442</v>
      </c>
      <c r="J30" s="74">
        <v>0.5</v>
      </c>
      <c r="K30" s="67">
        <f t="array" ref="K30">INDEX('磁場データ'!$C$2:$AB$2,MATCH(ABS($C30)*1000/2,'磁場データ'!$C30:$AB30,1))</f>
        <v>800</v>
      </c>
      <c r="L30" s="69">
        <f t="array" ref="L30">INDEX('磁場データ'!$C$2:$AB$2,MATCH(ABS($C30)*1000/2,'磁場データ'!$C30:$AB30,1)+1)</f>
        <v>900</v>
      </c>
      <c r="M30" s="69">
        <f t="array" ref="M30">INDEX('磁場データ'!$C30:$AB30,MATCH(ABS($C30)*1000/2,'磁場データ'!$C30:$AB30,1))</f>
        <v>2970</v>
      </c>
      <c r="N30" s="69">
        <f t="array" ref="N30">INDEX('磁場データ'!$C30:$AB30,MATCH(ABS($C30)*1000/2,'磁場データ'!$C30:$AB30,1)+1)</f>
        <v>3340.85</v>
      </c>
      <c r="O30" s="69">
        <f t="array" ref="O30">INDEX('流量データ'!$C$2:$M$2,MATCH($G30,'流量データ'!$C$2:$M$2,1))</f>
        <v>10</v>
      </c>
      <c r="P30" s="69">
        <f t="array" ref="P30">INDEX('流量データ'!$C$2:$M$2,MATCH($G30,'流量データ'!$C$2:$M$2,1)+1)</f>
        <v>11</v>
      </c>
      <c r="Q30" s="69">
        <f t="array" ref="Q30">INDEX('流量データ'!$C30:$M30,MATCH($G30,'流量データ'!$C$2:$M$2,1))</f>
        <v>63</v>
      </c>
      <c r="R30" s="72">
        <f t="array" ref="R30">INDEX('流量データ'!$C30:$M30,MATCH($G30,'流量データ'!$C$2:$M$2,1)+1)</f>
        <v>66</v>
      </c>
    </row>
    <row r="31" ht="14.25" customHeight="1">
      <c r="A31" s="89" t="s">
        <v>113</v>
      </c>
      <c r="B31" s="90" t="s">
        <v>107</v>
      </c>
      <c r="C31" s="91">
        <v>-5.411416666666666</v>
      </c>
      <c r="D31" s="117">
        <f t="shared" si="9"/>
        <v>-731.7785103</v>
      </c>
      <c r="E31" s="93">
        <f>'電圧データ'!$D31/'電圧データ'!$C31*$D31</f>
        <v>-19.83119763</v>
      </c>
      <c r="F31" s="93">
        <f t="shared" si="1"/>
        <v>14.51204426</v>
      </c>
      <c r="G31" s="94">
        <v>10.0</v>
      </c>
      <c r="H31" s="93">
        <f t="shared" si="2"/>
        <v>64</v>
      </c>
      <c r="I31" s="103">
        <f t="shared" si="3"/>
        <v>3.250517619</v>
      </c>
      <c r="J31" s="118">
        <v>0.5</v>
      </c>
      <c r="K31" s="117">
        <f t="array" ref="K31">INDEX('磁場データ'!$C$2:$AB$2,MATCH(ABS($C31)*1000/2,'磁場データ'!$C31:$AB31,1))</f>
        <v>700</v>
      </c>
      <c r="L31" s="93">
        <f t="array" ref="L31">INDEX('磁場データ'!$C$2:$AB$2,MATCH(ABS($C31)*1000/2,'磁場データ'!$C31:$AB31,1)+1)</f>
        <v>800</v>
      </c>
      <c r="M31" s="93">
        <f t="array" ref="M31">INDEX('磁場データ'!$C31:$AB31,MATCH(ABS($C31)*1000/2,'磁場データ'!$C31:$AB31,1))</f>
        <v>2587.13</v>
      </c>
      <c r="N31" s="93">
        <f t="array" ref="N31">INDEX('磁場データ'!$C31:$AB31,MATCH(ABS($C31)*1000/2,'磁場データ'!$C31:$AB31,1)+1)</f>
        <v>2960.27</v>
      </c>
      <c r="O31" s="93">
        <f t="array" ref="O31">INDEX('流量データ'!$C$2:$M$2,MATCH($G31,'流量データ'!$C$2:$M$2,1))</f>
        <v>10</v>
      </c>
      <c r="P31" s="93">
        <f t="array" ref="P31">INDEX('流量データ'!$C$2:$M$2,MATCH($G31,'流量データ'!$C$2:$M$2,1)+1)</f>
        <v>11</v>
      </c>
      <c r="Q31" s="93">
        <f t="array" ref="Q31">INDEX('流量データ'!$C31:$M31,MATCH($G31,'流量データ'!$C$2:$M$2,1))</f>
        <v>64</v>
      </c>
      <c r="R31" s="103">
        <f t="array" ref="R31">INDEX('流量データ'!$C31:$M31,MATCH($G31,'流量データ'!$C$2:$M$2,1)+1)</f>
        <v>67</v>
      </c>
    </row>
    <row r="32" ht="13.5" customHeight="1">
      <c r="A32" s="40" t="s">
        <v>115</v>
      </c>
      <c r="B32" s="42" t="s">
        <v>116</v>
      </c>
      <c r="C32" s="44">
        <v>1.171</v>
      </c>
      <c r="D32" s="106">
        <f>SIGN(C32)*((L32-K32)/(N32-M32)*(ABS(C32)*1000/4-M32)+K32)</f>
        <v>39.0625</v>
      </c>
      <c r="E32" s="51">
        <f>'電圧データ'!$D32/'電圧データ'!$C32*$D32</f>
        <v>16.20565878</v>
      </c>
      <c r="F32" s="51">
        <f t="shared" si="1"/>
        <v>0.6330335462</v>
      </c>
      <c r="G32" s="53">
        <v>10.0</v>
      </c>
      <c r="H32" s="51">
        <f t="shared" si="2"/>
        <v>0</v>
      </c>
      <c r="I32" s="64" t="str">
        <f t="shared" si="3"/>
        <v>#DIV/0!</v>
      </c>
      <c r="J32" s="107">
        <v>0.25</v>
      </c>
      <c r="K32" s="106">
        <f t="array" ref="K32">INDEX('磁場データ'!$C$2:$AB$2,MATCH(ABS($C32)*1000/4,'磁場データ'!$C32:$AB32,1))/50</f>
        <v>38</v>
      </c>
      <c r="L32" s="51">
        <f t="array" ref="L32">INDEX('磁場データ'!$C$2:$AB$2,MATCH(ABS($C32)*1000/4,'磁場データ'!$C32:$AB32,1)+1)/50</f>
        <v>40</v>
      </c>
      <c r="M32" s="51">
        <f t="array" ref="M32">INDEX('磁場データ'!$C32:$AB32,MATCH(ABS($C32)*1000/4,'磁場データ'!$C32:$AB32,1))</f>
        <v>288.5</v>
      </c>
      <c r="N32" s="51">
        <f t="array" ref="N32">INDEX('磁場データ'!$C32:$AB32,MATCH(ABS($C32)*1000/4,'磁場データ'!$C32:$AB32,1)+1)</f>
        <v>296.5</v>
      </c>
      <c r="O32" s="51">
        <f t="array" ref="O32">INDEX('流量データ'!$C$2:$M$2,MATCH($G32,'流量データ'!$C$2:$M$2,1))</f>
        <v>10</v>
      </c>
      <c r="P32" s="51">
        <f t="array" ref="P32">INDEX('流量データ'!$C$2:$M$2,MATCH($G32,'流量データ'!$C$2:$M$2,1)+1)</f>
        <v>11</v>
      </c>
      <c r="Q32" s="51">
        <f t="array" ref="Q32">INDEX('流量データ'!$C32:$M32,MATCH($G32,'流量データ'!$C$2:$M$2,1))</f>
        <v>0</v>
      </c>
      <c r="R32" s="64">
        <f t="array" ref="R32">INDEX('流量データ'!$C32:$M32,MATCH($G32,'流量データ'!$C$2:$M$2,1)+1)</f>
        <v>0</v>
      </c>
    </row>
    <row r="33" ht="13.5" customHeight="1">
      <c r="A33" s="61" t="s">
        <v>117</v>
      </c>
      <c r="B33" s="63" t="s">
        <v>118</v>
      </c>
      <c r="C33" s="65">
        <v>-4.435</v>
      </c>
      <c r="D33" s="67">
        <f>SIGN(C33)*((L33-K33)/(N33-M33)*(ABS(C33)*1000/2-M33)+K33)</f>
        <v>-511.1111111</v>
      </c>
      <c r="E33" s="69">
        <f>'電圧データ'!$D33/'電圧データ'!$C33*$D33</f>
        <v>-21.55959596</v>
      </c>
      <c r="F33" s="69">
        <f t="shared" si="1"/>
        <v>11.01934905</v>
      </c>
      <c r="G33" s="70">
        <v>10.0</v>
      </c>
      <c r="H33" s="69">
        <f t="shared" si="2"/>
        <v>42.1</v>
      </c>
      <c r="I33" s="72">
        <f t="shared" si="3"/>
        <v>3.752128887</v>
      </c>
      <c r="J33" s="74">
        <v>0.5</v>
      </c>
      <c r="K33" s="67">
        <f t="array" ref="K33">INDEX('磁場データ'!$C$2:$AB$2,MATCH(ABS($C33)*1000/2,'磁場データ'!$C33:$AB33,1))</f>
        <v>500</v>
      </c>
      <c r="L33" s="69">
        <f t="array" ref="L33">INDEX('磁場データ'!$C$2:$AB$2,MATCH(ABS($C33)*1000/2,'磁場データ'!$C33:$AB33,1)+1)</f>
        <v>600</v>
      </c>
      <c r="M33" s="69">
        <f t="array" ref="M33">INDEX('磁場データ'!$C33:$AB33,MATCH(ABS($C33)*1000/2,'磁場データ'!$C33:$AB33,1))</f>
        <v>2169.375</v>
      </c>
      <c r="N33" s="69">
        <f t="array" ref="N33">INDEX('磁場データ'!$C33:$AB33,MATCH(ABS($C33)*1000/2,'磁場データ'!$C33:$AB33,1)+1)</f>
        <v>2602.5</v>
      </c>
      <c r="O33" s="69">
        <f t="array" ref="O33">INDEX('流量データ'!$C$2:$M$2,MATCH($G33,'流量データ'!$C$2:$M$2,1))</f>
        <v>10</v>
      </c>
      <c r="P33" s="69">
        <f t="array" ref="P33">INDEX('流量データ'!$C$2:$M$2,MATCH($G33,'流量データ'!$C$2:$M$2,1)+1)</f>
        <v>11</v>
      </c>
      <c r="Q33" s="69">
        <f t="array" ref="Q33">INDEX('流量データ'!$C33:$M33,MATCH($G33,'流量データ'!$C$2:$M$2,1))</f>
        <v>42.1</v>
      </c>
      <c r="R33" s="72" t="str">
        <f t="array" ref="R33">INDEX('流量データ'!$C33:$M33,MATCH($G33,'流量データ'!$C$2:$M$2,1)+1)</f>
        <v/>
      </c>
    </row>
    <row r="34" ht="13.5" customHeight="1">
      <c r="A34" s="61" t="s">
        <v>119</v>
      </c>
      <c r="B34" s="63" t="s">
        <v>120</v>
      </c>
      <c r="C34" s="65">
        <v>19.32011</v>
      </c>
      <c r="D34" s="50">
        <f>SIGN(C34)*((L34-K34)/(N34-M34)*(ABS(C34)*1000-M34)+K34)</f>
        <v>2126.60948</v>
      </c>
      <c r="E34" s="52">
        <f>'電圧データ'!$D34/'電圧データ'!$C34*$D34</f>
        <v>160.5590157</v>
      </c>
      <c r="F34" s="52">
        <f t="shared" si="1"/>
        <v>341.4463248</v>
      </c>
      <c r="G34" s="54">
        <v>10.0</v>
      </c>
      <c r="H34" s="52">
        <f t="shared" si="2"/>
        <v>180</v>
      </c>
      <c r="I34" s="56">
        <f t="shared" si="3"/>
        <v>27.19279455</v>
      </c>
      <c r="J34" s="58">
        <v>1.0</v>
      </c>
      <c r="K34" s="50">
        <f t="array" ref="K34">INDEX('磁場データ'!$C$2:$AB$2,MATCH(ABS($C34)*1000,'磁場データ'!$C34:$AB34,1))</f>
        <v>2100</v>
      </c>
      <c r="L34" s="52">
        <f t="array" ref="L34">INDEX('磁場データ'!$C$2:$AB$2,MATCH(ABS($C34)*1000,'磁場データ'!$C34:$AB34,1)+1)</f>
        <v>2200</v>
      </c>
      <c r="M34" s="52">
        <f t="array" ref="M34">INDEX('磁場データ'!$C34:$AB34,MATCH(ABS($C34)*1000,'磁場データ'!$C34:$AB34,1))</f>
        <v>19129.24069</v>
      </c>
      <c r="N34" s="52">
        <f t="array" ref="N34">INDEX('磁場データ'!$C34:$AB34,MATCH(ABS($C34)*1000,'磁場データ'!$C34:$AB34,1)+1)</f>
        <v>19846.53886</v>
      </c>
      <c r="O34" s="52">
        <f t="array" ref="O34">INDEX('流量データ'!$C$2:$M$2,MATCH($G34,'流量データ'!$C$2:$M$2,1))</f>
        <v>10</v>
      </c>
      <c r="P34" s="52">
        <f t="array" ref="P34">INDEX('流量データ'!$C$2:$M$2,MATCH($G34,'流量データ'!$C$2:$M$2,1)+1)</f>
        <v>11</v>
      </c>
      <c r="Q34" s="52">
        <f t="array" ref="Q34">INDEX('流量データ'!$C34:$M34,MATCH($G34,'流量データ'!$C$2:$M$2,1))</f>
        <v>180</v>
      </c>
      <c r="R34" s="56" t="str">
        <f t="array" ref="R34">INDEX('流量データ'!$C34:$M34,MATCH($G34,'流量データ'!$C$2:$M$2,1)+1)</f>
        <v/>
      </c>
    </row>
    <row r="35" ht="13.5" customHeight="1">
      <c r="A35" s="61" t="s">
        <v>121</v>
      </c>
      <c r="B35" s="63" t="s">
        <v>87</v>
      </c>
      <c r="C35" s="65">
        <v>-0.732</v>
      </c>
      <c r="D35" s="67">
        <f>SIGN(C35)*((L35-K35)/(N35-M35)*(ABS(C35)*1000/2-M35)+K35)</f>
        <v>-120.4080299</v>
      </c>
      <c r="E35" s="69">
        <f>'電圧データ'!$D35/'電圧データ'!$C35*$D35</f>
        <v>-1.703773623</v>
      </c>
      <c r="F35" s="69">
        <f t="shared" si="1"/>
        <v>0.2051480253</v>
      </c>
      <c r="G35" s="70">
        <v>10.0</v>
      </c>
      <c r="H35" s="69">
        <f t="shared" si="2"/>
        <v>81</v>
      </c>
      <c r="I35" s="72">
        <f t="shared" si="3"/>
        <v>0.03630665398</v>
      </c>
      <c r="J35" s="74">
        <v>0.5</v>
      </c>
      <c r="K35" s="67">
        <f t="array" ref="K35">INDEX('磁場データ'!$C$2:$AB$2,MATCH(ABS($C35)*1000/2,'磁場データ'!$C35:$AB35,1))</f>
        <v>100</v>
      </c>
      <c r="L35" s="69">
        <f t="array" ref="L35">INDEX('磁場データ'!$C$2:$AB$2,MATCH(ABS($C35)*1000/2,'磁場データ'!$C35:$AB35,1)+1)</f>
        <v>200</v>
      </c>
      <c r="M35" s="69">
        <f t="array" ref="M35">INDEX('磁場データ'!$C35:$AB35,MATCH(ABS($C35)*1000/2,'磁場データ'!$C35:$AB35,1))</f>
        <v>306.671</v>
      </c>
      <c r="N35" s="69">
        <f t="array" ref="N35">INDEX('磁場データ'!$C35:$AB35,MATCH(ABS($C35)*1000/2,'磁場データ'!$C35:$AB35,1)+1)</f>
        <v>597.385</v>
      </c>
      <c r="O35" s="69">
        <f t="array" ref="O35">INDEX('流量データ'!$C$2:$M$2,MATCH($G35,'流量データ'!$C$2:$M$2,1))</f>
        <v>10</v>
      </c>
      <c r="P35" s="69">
        <f t="array" ref="P35">INDEX('流量データ'!$C$2:$M$2,MATCH($G35,'流量データ'!$C$2:$M$2,1)+1)</f>
        <v>11</v>
      </c>
      <c r="Q35" s="69">
        <f t="array" ref="Q35">INDEX('流量データ'!$C35:$M35,MATCH($G35,'流量データ'!$C$2:$M$2,1))</f>
        <v>81</v>
      </c>
      <c r="R35" s="72" t="str">
        <f t="array" ref="R35">INDEX('流量データ'!$C35:$M35,MATCH($G35,'流量データ'!$C$2:$M$2,1)+1)</f>
        <v/>
      </c>
    </row>
    <row r="36" ht="14.25" customHeight="1">
      <c r="A36" s="89" t="s">
        <v>122</v>
      </c>
      <c r="B36" s="90" t="s">
        <v>123</v>
      </c>
      <c r="C36" s="91">
        <v>17.98134</v>
      </c>
      <c r="D36" s="124">
        <f t="shared" ref="D36:D38" si="10">SIGN(C36)*((L36-K36)/(N36-M36)*(ABS(C36)*1000-M36)+K36)</f>
        <v>1848.9175</v>
      </c>
      <c r="E36" s="125">
        <f>'電圧データ'!$D36/'電圧データ'!$C36*$D36</f>
        <v>92.53391869</v>
      </c>
      <c r="F36" s="125">
        <f t="shared" si="1"/>
        <v>171.0875816</v>
      </c>
      <c r="G36" s="126">
        <v>10.0</v>
      </c>
      <c r="H36" s="125">
        <f t="shared" si="2"/>
        <v>118</v>
      </c>
      <c r="I36" s="127">
        <f t="shared" si="3"/>
        <v>20.78453842</v>
      </c>
      <c r="J36" s="128">
        <v>1.0</v>
      </c>
      <c r="K36" s="124">
        <f t="array" ref="K36">INDEX('磁場データ'!$C$2:$AB$2,MATCH(ABS($C36)*1000,'磁場データ'!$C36:$AB36,1))</f>
        <v>1800</v>
      </c>
      <c r="L36" s="125">
        <f t="array" ref="L36">INDEX('磁場データ'!$C$2:$AB$2,MATCH(ABS($C36)*1000,'磁場データ'!$C36:$AB36,1)+1)</f>
        <v>1900</v>
      </c>
      <c r="M36" s="125">
        <f t="array" ref="M36">INDEX('磁場データ'!$C36:$AB36,MATCH(ABS($C36)*1000,'磁場データ'!$C36:$AB36,1))</f>
        <v>17590</v>
      </c>
      <c r="N36" s="125">
        <f t="array" ref="N36">INDEX('磁場データ'!$C36:$AB36,MATCH(ABS($C36)*1000,'磁場データ'!$C36:$AB36,1)+1)</f>
        <v>18390</v>
      </c>
      <c r="O36" s="125">
        <f t="array" ref="O36">INDEX('流量データ'!$C$2:$M$2,MATCH($G36,'流量データ'!$C$2:$M$2,1))</f>
        <v>10</v>
      </c>
      <c r="P36" s="125">
        <f t="array" ref="P36">INDEX('流量データ'!$C$2:$M$2,MATCH($G36,'流量データ'!$C$2:$M$2,1)+1)</f>
        <v>11</v>
      </c>
      <c r="Q36" s="125">
        <f t="array" ref="Q36">INDEX('流量データ'!$C36:$M36,MATCH($G36,'流量データ'!$C$2:$M$2,1))</f>
        <v>118</v>
      </c>
      <c r="R36" s="127" t="str">
        <f t="array" ref="R36">INDEX('流量データ'!$C36:$M36,MATCH($G36,'流量データ'!$C$2:$M$2,1)+1)</f>
        <v/>
      </c>
    </row>
    <row r="37" ht="13.5" customHeight="1">
      <c r="A37" s="61" t="s">
        <v>124</v>
      </c>
      <c r="B37" s="63" t="s">
        <v>125</v>
      </c>
      <c r="C37" s="65">
        <v>20.7</v>
      </c>
      <c r="D37" s="67">
        <f t="shared" si="10"/>
        <v>2293.803056</v>
      </c>
      <c r="E37" s="69">
        <f>'電圧データ'!$D37/'電圧データ'!$C37*$D37</f>
        <v>117.4826087</v>
      </c>
      <c r="F37" s="69">
        <f t="shared" si="1"/>
        <v>269.4819669</v>
      </c>
      <c r="G37" s="70">
        <v>10.0</v>
      </c>
      <c r="H37" s="69">
        <f t="shared" si="2"/>
        <v>173</v>
      </c>
      <c r="I37" s="72">
        <f t="shared" si="3"/>
        <v>22.3299376</v>
      </c>
      <c r="J37" s="74">
        <v>1.0</v>
      </c>
      <c r="K37" s="67">
        <f t="array" ref="K37">INDEX('磁場データ'!$C$2:$AB$2,MATCH(ABS($C37)*1000,'磁場データ'!$C37:$AB37,1))</f>
        <v>2200</v>
      </c>
      <c r="L37" s="69">
        <f t="array" ref="L37">INDEX('磁場データ'!$C$2:$AB$2,MATCH(ABS($C37)*1000,'磁場データ'!$C37:$AB37,1)+1)</f>
        <v>2300</v>
      </c>
      <c r="M37" s="69">
        <f t="array" ref="M37">INDEX('磁場データ'!$C37:$AB37,MATCH(ABS($C37)*1000,'磁場データ'!$C37:$AB37,1))</f>
        <v>20258</v>
      </c>
      <c r="N37" s="69">
        <f t="array" ref="N37">INDEX('磁場データ'!$C37:$AB37,MATCH(ABS($C37)*1000,'磁場データ'!$C37:$AB37,1)+1)</f>
        <v>20729.2</v>
      </c>
      <c r="O37" s="69">
        <f t="array" ref="O37">INDEX('流量データ'!$C$2:$M$2,MATCH($G37,'流量データ'!$C$2:$M$2,1))</f>
        <v>10</v>
      </c>
      <c r="P37" s="69">
        <f t="array" ref="P37">INDEX('流量データ'!$C$2:$M$2,MATCH($G37,'流量データ'!$C$2:$M$2,1)+1)</f>
        <v>11</v>
      </c>
      <c r="Q37" s="69">
        <f t="array" ref="Q37">INDEX('流量データ'!$C37:$M37,MATCH($G37,'流量データ'!$C$2:$M$2,1))</f>
        <v>173</v>
      </c>
      <c r="R37" s="72" t="str">
        <f t="array" ref="R37">INDEX('流量データ'!$C37:$M37,MATCH($G37,'流量データ'!$C$2:$M$2,1)+1)</f>
        <v/>
      </c>
    </row>
    <row r="38" ht="14.25" customHeight="1">
      <c r="A38" s="89" t="s">
        <v>126</v>
      </c>
      <c r="B38" s="90" t="s">
        <v>127</v>
      </c>
      <c r="C38" s="91">
        <v>10.56</v>
      </c>
      <c r="D38" s="124">
        <f t="shared" si="10"/>
        <v>2299.681529</v>
      </c>
      <c r="E38" s="125">
        <f>'電圧データ'!$D38/'電圧データ'!$C38*$D38</f>
        <v>159.7882166</v>
      </c>
      <c r="F38" s="125">
        <f t="shared" si="1"/>
        <v>367.4620101</v>
      </c>
      <c r="G38" s="126">
        <v>10.0</v>
      </c>
      <c r="H38" s="125">
        <f t="shared" si="2"/>
        <v>240</v>
      </c>
      <c r="I38" s="127">
        <f t="shared" si="3"/>
        <v>21.94851333</v>
      </c>
      <c r="J38" s="128">
        <v>1.0</v>
      </c>
      <c r="K38" s="124">
        <f t="array" ref="K38">INDEX('磁場データ'!$C$2:$AB$2,MATCH(ABS($C38)*1000,'磁場データ'!$C38:$AB38,1))</f>
        <v>2200</v>
      </c>
      <c r="L38" s="125">
        <f t="array" ref="L38">INDEX('磁場データ'!$C$2:$AB$2,MATCH(ABS($C38)*1000,'磁場データ'!$C38:$AB38,1)+1)</f>
        <v>2300</v>
      </c>
      <c r="M38" s="125">
        <f t="array" ref="M38">INDEX('磁場データ'!$C38:$AB38,MATCH(ABS($C38)*1000,'磁場データ'!$C38:$AB38,1))</f>
        <v>10247</v>
      </c>
      <c r="N38" s="125">
        <f t="array" ref="N38">INDEX('磁場データ'!$C38:$AB38,MATCH(ABS($C38)*1000,'磁場データ'!$C38:$AB38,1)+1)</f>
        <v>10561</v>
      </c>
      <c r="O38" s="125">
        <f t="array" ref="O38">INDEX('流量データ'!$C$2:$M$2,MATCH($G38,'流量データ'!$C$2:$M$2,1))</f>
        <v>10</v>
      </c>
      <c r="P38" s="125">
        <f t="array" ref="P38">INDEX('流量データ'!$C$2:$M$2,MATCH($G38,'流量データ'!$C$2:$M$2,1)+1)</f>
        <v>11</v>
      </c>
      <c r="Q38" s="125">
        <f t="array" ref="Q38">INDEX('流量データ'!$C38:$M38,MATCH($G38,'流量データ'!$C$2:$M$2,1))</f>
        <v>240</v>
      </c>
      <c r="R38" s="127" t="str">
        <f t="array" ref="R38">INDEX('流量データ'!$C38:$M38,MATCH($G38,'流量データ'!$C$2:$M$2,1)+1)</f>
        <v/>
      </c>
    </row>
    <row r="39" ht="13.5" customHeight="1"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</row>
    <row r="40" ht="13.5" customHeight="1"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</row>
    <row r="41" ht="13.5" customHeight="1"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</row>
    <row r="42" ht="13.5" customHeight="1"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</row>
    <row r="43" ht="13.5" customHeight="1"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</row>
    <row r="44" ht="13.5" customHeight="1"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  <row r="45" ht="13.5" customHeight="1"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</row>
    <row r="46" ht="13.5" customHeight="1"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</row>
    <row r="47" ht="13.5" customHeight="1"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</row>
    <row r="48" ht="13.5" customHeight="1"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</row>
    <row r="49" ht="13.5" customHeight="1"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</row>
    <row r="50" ht="13.5" customHeight="1"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</row>
    <row r="51" ht="13.5" customHeight="1"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</row>
    <row r="52" ht="13.5" customHeight="1"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</row>
    <row r="53" ht="13.5" customHeight="1"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</row>
    <row r="54" ht="13.5" customHeight="1"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</row>
    <row r="55" ht="13.5" customHeight="1"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</row>
    <row r="56" ht="13.5" customHeight="1"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</row>
    <row r="57" ht="13.5" customHeight="1"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</row>
    <row r="58" ht="13.5" customHeight="1"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</row>
    <row r="59" ht="13.5" customHeight="1"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</row>
    <row r="60" ht="13.5" customHeight="1"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</row>
    <row r="61" ht="13.5" customHeight="1"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</row>
    <row r="62" ht="13.5" customHeight="1"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</row>
    <row r="63" ht="13.5" customHeight="1"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</row>
    <row r="64" ht="13.5" customHeight="1"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</row>
    <row r="65" ht="13.5" customHeight="1"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</row>
    <row r="66" ht="13.5" customHeight="1"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</row>
    <row r="67" ht="13.5" customHeight="1"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</row>
    <row r="68" ht="13.5" customHeight="1"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</row>
    <row r="69" ht="13.5" customHeight="1"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</row>
    <row r="70" ht="13.5" customHeight="1"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</row>
    <row r="71" ht="13.5" customHeight="1"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</row>
    <row r="72" ht="13.5" customHeight="1"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</row>
    <row r="73" ht="13.5" customHeight="1"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</row>
    <row r="74" ht="13.5" customHeight="1"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</row>
    <row r="75" ht="13.5" customHeight="1"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</row>
    <row r="76" ht="13.5" customHeight="1"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</row>
    <row r="77" ht="13.5" customHeight="1"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</row>
    <row r="78" ht="13.5" customHeight="1"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</row>
    <row r="79" ht="13.5" customHeight="1"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</row>
    <row r="80" ht="13.5" customHeight="1"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</row>
    <row r="81" ht="13.5" customHeight="1"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</row>
    <row r="82" ht="13.5" customHeight="1"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</row>
    <row r="83" ht="13.5" customHeight="1"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</row>
    <row r="84" ht="13.5" customHeight="1"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</row>
    <row r="85" ht="13.5" customHeight="1"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</row>
    <row r="86" ht="13.5" customHeight="1"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</row>
    <row r="87" ht="13.5" customHeight="1"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</row>
    <row r="88" ht="13.5" customHeight="1"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</row>
    <row r="89" ht="13.5" customHeight="1"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</row>
    <row r="90" ht="13.5" customHeight="1"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</row>
    <row r="91" ht="13.5" customHeight="1"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</row>
    <row r="92" ht="13.5" customHeight="1"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</row>
    <row r="93" ht="13.5" customHeight="1"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</row>
    <row r="94" ht="13.5" customHeight="1"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</row>
    <row r="95" ht="13.5" customHeight="1"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</row>
    <row r="96" ht="13.5" customHeight="1"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</row>
    <row r="97" ht="13.5" customHeight="1"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</row>
    <row r="98" ht="13.5" customHeight="1"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</row>
    <row r="99" ht="13.5" customHeight="1"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</row>
    <row r="100" ht="13.5" customHeight="1"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</row>
    <row r="101" ht="13.5" customHeight="1"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</row>
    <row r="102" ht="13.5" customHeight="1"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</row>
    <row r="103" ht="13.5" customHeight="1"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</row>
    <row r="104" ht="13.5" customHeight="1"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</row>
    <row r="105" ht="13.5" customHeight="1"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</row>
    <row r="106" ht="13.5" customHeight="1"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</row>
    <row r="107" ht="13.5" customHeight="1"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</row>
    <row r="108" ht="13.5" customHeight="1"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</row>
    <row r="109" ht="13.5" customHeight="1"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</row>
    <row r="110" ht="13.5" customHeight="1"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</row>
    <row r="111" ht="13.5" customHeight="1"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</row>
    <row r="112" ht="13.5" customHeight="1"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</row>
    <row r="113" ht="13.5" customHeight="1"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</row>
    <row r="114" ht="13.5" customHeight="1"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</row>
    <row r="115" ht="13.5" customHeight="1"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</row>
    <row r="116" ht="13.5" customHeight="1"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</row>
    <row r="117" ht="13.5" customHeight="1"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</row>
    <row r="118" ht="13.5" customHeight="1"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</row>
    <row r="119" ht="13.5" customHeight="1"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</row>
    <row r="120" ht="13.5" customHeight="1"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</row>
    <row r="121" ht="13.5" customHeight="1"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</row>
    <row r="122" ht="13.5" customHeight="1"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</row>
    <row r="123" ht="13.5" customHeight="1"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</row>
    <row r="124" ht="13.5" customHeight="1"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</row>
    <row r="125" ht="13.5" customHeight="1"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</row>
    <row r="126" ht="13.5" customHeight="1"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</row>
    <row r="127" ht="13.5" customHeight="1"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</row>
    <row r="128" ht="13.5" customHeight="1"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</row>
    <row r="129" ht="13.5" customHeight="1"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</row>
    <row r="130" ht="13.5" customHeight="1"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</row>
    <row r="131" ht="13.5" customHeight="1"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</row>
    <row r="132" ht="13.5" customHeight="1"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</row>
    <row r="133" ht="13.5" customHeight="1"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</row>
    <row r="134" ht="13.5" customHeight="1"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</row>
    <row r="135" ht="13.5" customHeight="1"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</row>
    <row r="136" ht="13.5" customHeight="1"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</row>
    <row r="137" ht="13.5" customHeight="1"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</row>
    <row r="138" ht="13.5" customHeight="1"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</row>
    <row r="139" ht="13.5" customHeight="1"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</row>
    <row r="140" ht="13.5" customHeight="1"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</row>
    <row r="141" ht="13.5" customHeight="1"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</row>
    <row r="142" ht="13.5" customHeight="1"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</row>
    <row r="143" ht="13.5" customHeight="1"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</row>
    <row r="144" ht="13.5" customHeight="1"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</row>
    <row r="145" ht="13.5" customHeight="1"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</row>
    <row r="146" ht="13.5" customHeight="1"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</row>
    <row r="147" ht="13.5" customHeight="1"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</row>
    <row r="148" ht="13.5" customHeight="1"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</row>
    <row r="149" ht="13.5" customHeight="1"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</row>
    <row r="150" ht="13.5" customHeight="1"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</row>
    <row r="151" ht="13.5" customHeight="1"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</row>
    <row r="152" ht="13.5" customHeight="1"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</row>
    <row r="153" ht="13.5" customHeight="1"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</row>
    <row r="154" ht="13.5" customHeight="1"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</row>
    <row r="155" ht="13.5" customHeight="1"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</row>
    <row r="156" ht="13.5" customHeight="1"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</row>
    <row r="157" ht="13.5" customHeight="1"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</row>
    <row r="158" ht="13.5" customHeight="1"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</row>
    <row r="159" ht="13.5" customHeight="1"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</row>
    <row r="160" ht="13.5" customHeight="1"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</row>
    <row r="161" ht="13.5" customHeight="1"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</row>
    <row r="162" ht="13.5" customHeight="1"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</row>
    <row r="163" ht="13.5" customHeight="1"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</row>
    <row r="164" ht="13.5" customHeight="1"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</row>
    <row r="165" ht="13.5" customHeight="1"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</row>
    <row r="166" ht="13.5" customHeight="1"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</row>
    <row r="167" ht="13.5" customHeight="1"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</row>
    <row r="168" ht="13.5" customHeight="1"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</row>
    <row r="169" ht="13.5" customHeight="1"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</row>
    <row r="170" ht="13.5" customHeight="1"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</row>
    <row r="171" ht="13.5" customHeight="1"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</row>
    <row r="172" ht="13.5" customHeight="1"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</row>
    <row r="173" ht="13.5" customHeight="1"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</row>
    <row r="174" ht="13.5" customHeight="1"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</row>
    <row r="175" ht="13.5" customHeight="1"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</row>
    <row r="176" ht="13.5" customHeight="1"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</row>
    <row r="177" ht="13.5" customHeight="1"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</row>
    <row r="178" ht="13.5" customHeight="1"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</row>
    <row r="179" ht="13.5" customHeight="1"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</row>
    <row r="180" ht="13.5" customHeight="1"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</row>
    <row r="181" ht="13.5" customHeight="1"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</row>
    <row r="182" ht="13.5" customHeight="1"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</row>
    <row r="183" ht="13.5" customHeight="1"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</row>
    <row r="184" ht="13.5" customHeight="1"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</row>
    <row r="185" ht="13.5" customHeight="1"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</row>
    <row r="186" ht="13.5" customHeight="1"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</row>
    <row r="187" ht="13.5" customHeight="1"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</row>
    <row r="188" ht="13.5" customHeight="1"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</row>
    <row r="189" ht="13.5" customHeight="1"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</row>
    <row r="190" ht="13.5" customHeight="1"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</row>
    <row r="191" ht="13.5" customHeight="1"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</row>
    <row r="192" ht="13.5" customHeight="1"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</row>
    <row r="193" ht="13.5" customHeight="1"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</row>
    <row r="194" ht="13.5" customHeight="1"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</row>
    <row r="195" ht="13.5" customHeight="1"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</row>
    <row r="196" ht="13.5" customHeight="1"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</row>
    <row r="197" ht="13.5" customHeight="1"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</row>
    <row r="198" ht="13.5" customHeight="1"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</row>
    <row r="199" ht="13.5" customHeight="1"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</row>
    <row r="200" ht="13.5" customHeight="1"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</row>
    <row r="201" ht="13.5" customHeight="1"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</row>
    <row r="202" ht="13.5" customHeight="1"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</row>
    <row r="203" ht="13.5" customHeight="1"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</row>
    <row r="204" ht="13.5" customHeight="1"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</row>
    <row r="205" ht="13.5" customHeight="1"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</row>
    <row r="206" ht="13.5" customHeight="1"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</row>
    <row r="207" ht="13.5" customHeight="1"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</row>
    <row r="208" ht="13.5" customHeight="1"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</row>
    <row r="209" ht="13.5" customHeight="1"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</row>
    <row r="210" ht="13.5" customHeight="1"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</row>
    <row r="211" ht="13.5" customHeight="1"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</row>
    <row r="212" ht="13.5" customHeight="1"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</row>
    <row r="213" ht="13.5" customHeight="1"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</row>
    <row r="214" ht="13.5" customHeight="1"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</row>
    <row r="215" ht="13.5" customHeight="1"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</row>
    <row r="216" ht="13.5" customHeight="1"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</row>
    <row r="217" ht="13.5" customHeight="1"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</row>
    <row r="218" ht="13.5" customHeight="1"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</row>
    <row r="219" ht="13.5" customHeight="1"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</row>
    <row r="220" ht="13.5" customHeight="1"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</row>
    <row r="221" ht="13.5" customHeight="1"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</row>
    <row r="222" ht="13.5" customHeight="1"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</row>
    <row r="223" ht="13.5" customHeight="1"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</row>
    <row r="224" ht="13.5" customHeight="1"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</row>
    <row r="225" ht="13.5" customHeight="1"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</row>
    <row r="226" ht="13.5" customHeight="1"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</row>
    <row r="227" ht="13.5" customHeight="1"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</row>
    <row r="228" ht="13.5" customHeight="1"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</row>
    <row r="229" ht="13.5" customHeight="1"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</row>
    <row r="230" ht="13.5" customHeight="1"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</row>
    <row r="231" ht="13.5" customHeight="1"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</row>
    <row r="232" ht="13.5" customHeight="1"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</row>
    <row r="233" ht="13.5" customHeight="1"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</row>
    <row r="234" ht="13.5" customHeight="1"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</row>
    <row r="235" ht="13.5" customHeight="1"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</row>
    <row r="236" ht="13.5" customHeight="1"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</row>
    <row r="237" ht="13.5" customHeight="1"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</row>
    <row r="238" ht="13.5" customHeight="1"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</row>
    <row r="239" ht="13.5" customHeight="1"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</row>
    <row r="240" ht="13.5" customHeight="1"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</row>
    <row r="241" ht="13.5" customHeight="1"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</row>
    <row r="242" ht="13.5" customHeight="1"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</row>
    <row r="243" ht="13.5" customHeight="1"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</row>
    <row r="244" ht="13.5" customHeight="1"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</row>
    <row r="245" ht="13.5" customHeight="1"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</row>
    <row r="246" ht="13.5" customHeight="1"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</row>
    <row r="247" ht="13.5" customHeight="1"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</row>
    <row r="248" ht="13.5" customHeight="1"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</row>
    <row r="249" ht="13.5" customHeight="1"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</row>
    <row r="250" ht="13.5" customHeight="1"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</row>
    <row r="251" ht="13.5" customHeight="1"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</row>
    <row r="252" ht="13.5" customHeight="1"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</row>
    <row r="253" ht="13.5" customHeight="1"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</row>
    <row r="254" ht="13.5" customHeight="1"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</row>
    <row r="255" ht="13.5" customHeight="1"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</row>
    <row r="256" ht="13.5" customHeight="1"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</row>
    <row r="257" ht="13.5" customHeight="1"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</row>
    <row r="258" ht="13.5" customHeight="1"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</row>
    <row r="259" ht="13.5" customHeight="1"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</row>
    <row r="260" ht="13.5" customHeight="1"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</row>
    <row r="261" ht="13.5" customHeight="1"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</row>
    <row r="262" ht="13.5" customHeight="1"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</row>
    <row r="263" ht="13.5" customHeight="1"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</row>
    <row r="264" ht="13.5" customHeight="1"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</row>
    <row r="265" ht="13.5" customHeight="1"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</row>
    <row r="266" ht="13.5" customHeight="1"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</row>
    <row r="267" ht="13.5" customHeight="1"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</row>
    <row r="268" ht="13.5" customHeight="1"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</row>
    <row r="269" ht="13.5" customHeight="1"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</row>
    <row r="270" ht="13.5" customHeight="1"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</row>
    <row r="271" ht="13.5" customHeight="1"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</row>
    <row r="272" ht="13.5" customHeight="1"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</row>
    <row r="273" ht="13.5" customHeight="1"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</row>
    <row r="274" ht="13.5" customHeight="1"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</row>
    <row r="275" ht="13.5" customHeight="1"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</row>
    <row r="276" ht="13.5" customHeight="1"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</row>
    <row r="277" ht="13.5" customHeight="1"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</row>
    <row r="278" ht="13.5" customHeight="1"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</row>
    <row r="279" ht="13.5" customHeight="1"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</row>
    <row r="280" ht="13.5" customHeight="1"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</row>
    <row r="281" ht="13.5" customHeight="1"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</row>
    <row r="282" ht="13.5" customHeight="1"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</row>
    <row r="283" ht="13.5" customHeight="1"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</row>
    <row r="284" ht="13.5" customHeight="1"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</row>
    <row r="285" ht="13.5" customHeight="1"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</row>
    <row r="286" ht="13.5" customHeight="1"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</row>
    <row r="287" ht="13.5" customHeight="1"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</row>
    <row r="288" ht="13.5" customHeight="1"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</row>
    <row r="289" ht="13.5" customHeight="1"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</row>
    <row r="290" ht="13.5" customHeight="1"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</row>
    <row r="291" ht="13.5" customHeight="1"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</row>
    <row r="292" ht="13.5" customHeight="1"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</row>
    <row r="293" ht="13.5" customHeight="1"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</row>
    <row r="294" ht="13.5" customHeight="1"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</row>
    <row r="295" ht="13.5" customHeight="1"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</row>
    <row r="296" ht="13.5" customHeight="1"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</row>
    <row r="297" ht="13.5" customHeight="1"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</row>
    <row r="298" ht="13.5" customHeight="1"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</row>
    <row r="299" ht="13.5" customHeight="1"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</row>
    <row r="300" ht="13.5" customHeight="1"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</row>
    <row r="301" ht="13.5" customHeight="1"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</row>
    <row r="302" ht="13.5" customHeight="1"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</row>
    <row r="303" ht="13.5" customHeight="1"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</row>
    <row r="304" ht="13.5" customHeight="1"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</row>
    <row r="305" ht="13.5" customHeight="1"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</row>
    <row r="306" ht="13.5" customHeight="1"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</row>
    <row r="307" ht="13.5" customHeight="1"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</row>
    <row r="308" ht="13.5" customHeight="1"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</row>
    <row r="309" ht="13.5" customHeight="1"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</row>
    <row r="310" ht="13.5" customHeight="1"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</row>
    <row r="311" ht="13.5" customHeight="1"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</row>
    <row r="312" ht="13.5" customHeight="1"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</row>
    <row r="313" ht="13.5" customHeight="1"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</row>
    <row r="314" ht="13.5" customHeight="1"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</row>
    <row r="315" ht="13.5" customHeight="1"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</row>
    <row r="316" ht="13.5" customHeight="1"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</row>
    <row r="317" ht="13.5" customHeight="1"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</row>
    <row r="318" ht="13.5" customHeight="1"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</row>
    <row r="319" ht="13.5" customHeight="1"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</row>
    <row r="320" ht="13.5" customHeight="1"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</row>
    <row r="321" ht="13.5" customHeight="1"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</row>
    <row r="322" ht="13.5" customHeight="1"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</row>
    <row r="323" ht="13.5" customHeight="1"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</row>
    <row r="324" ht="13.5" customHeight="1"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</row>
    <row r="325" ht="13.5" customHeight="1"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</row>
    <row r="326" ht="13.5" customHeight="1"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</row>
    <row r="327" ht="13.5" customHeight="1"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</row>
    <row r="328" ht="13.5" customHeight="1"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</row>
    <row r="329" ht="13.5" customHeight="1"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</row>
    <row r="330" ht="13.5" customHeight="1"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</row>
    <row r="331" ht="13.5" customHeight="1"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</row>
    <row r="332" ht="13.5" customHeight="1"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</row>
    <row r="333" ht="13.5" customHeight="1"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</row>
    <row r="334" ht="13.5" customHeight="1"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</row>
    <row r="335" ht="13.5" customHeight="1"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</row>
    <row r="336" ht="13.5" customHeight="1"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</row>
    <row r="337" ht="13.5" customHeight="1"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</row>
    <row r="338" ht="13.5" customHeight="1"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</row>
    <row r="339" ht="13.5" customHeight="1"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</row>
    <row r="340" ht="13.5" customHeight="1"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</row>
    <row r="341" ht="13.5" customHeight="1"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</row>
    <row r="342" ht="13.5" customHeight="1"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</row>
    <row r="343" ht="13.5" customHeight="1"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</row>
    <row r="344" ht="13.5" customHeight="1"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</row>
    <row r="345" ht="13.5" customHeight="1"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</row>
    <row r="346" ht="13.5" customHeight="1"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</row>
    <row r="347" ht="13.5" customHeight="1"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</row>
    <row r="348" ht="13.5" customHeight="1"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</row>
    <row r="349" ht="13.5" customHeight="1"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</row>
    <row r="350" ht="13.5" customHeight="1"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</row>
    <row r="351" ht="13.5" customHeight="1"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</row>
    <row r="352" ht="13.5" customHeight="1"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</row>
    <row r="353" ht="13.5" customHeight="1"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</row>
    <row r="354" ht="13.5" customHeight="1"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</row>
    <row r="355" ht="13.5" customHeight="1"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</row>
    <row r="356" ht="13.5" customHeight="1"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</row>
    <row r="357" ht="13.5" customHeight="1"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</row>
    <row r="358" ht="13.5" customHeight="1"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</row>
    <row r="359" ht="13.5" customHeight="1"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</row>
    <row r="360" ht="13.5" customHeight="1"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</row>
    <row r="361" ht="13.5" customHeight="1"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</row>
    <row r="362" ht="13.5" customHeight="1"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</row>
    <row r="363" ht="13.5" customHeight="1"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</row>
    <row r="364" ht="13.5" customHeight="1"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</row>
    <row r="365" ht="13.5" customHeight="1"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</row>
    <row r="366" ht="13.5" customHeight="1"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</row>
    <row r="367" ht="13.5" customHeight="1"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</row>
    <row r="368" ht="13.5" customHeight="1"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</row>
    <row r="369" ht="13.5" customHeight="1"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</row>
    <row r="370" ht="13.5" customHeight="1"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</row>
    <row r="371" ht="13.5" customHeight="1"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</row>
    <row r="372" ht="13.5" customHeight="1"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</row>
    <row r="373" ht="13.5" customHeight="1"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</row>
    <row r="374" ht="13.5" customHeight="1"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</row>
    <row r="375" ht="13.5" customHeight="1"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</row>
    <row r="376" ht="13.5" customHeight="1"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</row>
    <row r="377" ht="13.5" customHeight="1"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</row>
    <row r="378" ht="13.5" customHeight="1"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</row>
    <row r="379" ht="13.5" customHeight="1"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</row>
    <row r="380" ht="13.5" customHeight="1"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</row>
    <row r="381" ht="13.5" customHeight="1"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</row>
    <row r="382" ht="13.5" customHeight="1"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</row>
    <row r="383" ht="13.5" customHeight="1"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</row>
    <row r="384" ht="13.5" customHeight="1"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</row>
    <row r="385" ht="13.5" customHeight="1"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</row>
    <row r="386" ht="13.5" customHeight="1"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</row>
    <row r="387" ht="13.5" customHeight="1"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</row>
    <row r="388" ht="13.5" customHeight="1"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</row>
    <row r="389" ht="13.5" customHeight="1"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</row>
    <row r="390" ht="13.5" customHeight="1"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</row>
    <row r="391" ht="13.5" customHeight="1"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</row>
    <row r="392" ht="13.5" customHeight="1"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</row>
    <row r="393" ht="13.5" customHeight="1"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</row>
    <row r="394" ht="13.5" customHeight="1"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</row>
    <row r="395" ht="13.5" customHeight="1"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</row>
    <row r="396" ht="13.5" customHeight="1"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</row>
    <row r="397" ht="13.5" customHeight="1"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</row>
    <row r="398" ht="13.5" customHeight="1"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</row>
    <row r="399" ht="13.5" customHeight="1"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</row>
    <row r="400" ht="13.5" customHeight="1"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</row>
    <row r="401" ht="13.5" customHeight="1"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</row>
    <row r="402" ht="13.5" customHeight="1"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</row>
    <row r="403" ht="13.5" customHeight="1"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</row>
    <row r="404" ht="13.5" customHeight="1"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</row>
    <row r="405" ht="13.5" customHeight="1"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</row>
    <row r="406" ht="13.5" customHeight="1"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</row>
    <row r="407" ht="13.5" customHeight="1"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</row>
    <row r="408" ht="13.5" customHeight="1"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</row>
    <row r="409" ht="13.5" customHeight="1"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</row>
    <row r="410" ht="13.5" customHeight="1"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</row>
    <row r="411" ht="13.5" customHeight="1"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</row>
    <row r="412" ht="13.5" customHeight="1"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</row>
    <row r="413" ht="13.5" customHeight="1"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</row>
    <row r="414" ht="13.5" customHeight="1"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</row>
    <row r="415" ht="13.5" customHeight="1"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</row>
    <row r="416" ht="13.5" customHeight="1"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</row>
    <row r="417" ht="13.5" customHeight="1"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</row>
    <row r="418" ht="13.5" customHeight="1"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</row>
    <row r="419" ht="13.5" customHeight="1"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</row>
    <row r="420" ht="13.5" customHeight="1"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</row>
    <row r="421" ht="13.5" customHeight="1"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</row>
    <row r="422" ht="13.5" customHeight="1"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</row>
    <row r="423" ht="13.5" customHeight="1"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</row>
    <row r="424" ht="13.5" customHeight="1"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</row>
    <row r="425" ht="13.5" customHeight="1"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</row>
    <row r="426" ht="13.5" customHeight="1"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</row>
    <row r="427" ht="13.5" customHeight="1"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</row>
    <row r="428" ht="13.5" customHeight="1"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</row>
    <row r="429" ht="13.5" customHeight="1"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</row>
    <row r="430" ht="13.5" customHeight="1"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</row>
    <row r="431" ht="13.5" customHeight="1"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</row>
    <row r="432" ht="13.5" customHeight="1"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</row>
    <row r="433" ht="13.5" customHeight="1"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</row>
    <row r="434" ht="13.5" customHeight="1"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</row>
    <row r="435" ht="13.5" customHeight="1"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</row>
    <row r="436" ht="13.5" customHeight="1"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</row>
    <row r="437" ht="13.5" customHeight="1"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</row>
    <row r="438" ht="13.5" customHeight="1"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</row>
    <row r="439" ht="13.5" customHeight="1"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</row>
    <row r="440" ht="13.5" customHeight="1"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</row>
    <row r="441" ht="13.5" customHeight="1"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</row>
    <row r="442" ht="13.5" customHeight="1"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</row>
    <row r="443" ht="13.5" customHeight="1"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</row>
    <row r="444" ht="13.5" customHeight="1"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</row>
    <row r="445" ht="13.5" customHeight="1"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</row>
    <row r="446" ht="13.5" customHeight="1"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</row>
    <row r="447" ht="13.5" customHeight="1"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</row>
    <row r="448" ht="13.5" customHeight="1"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</row>
    <row r="449" ht="13.5" customHeight="1"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</row>
    <row r="450" ht="13.5" customHeight="1"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</row>
    <row r="451" ht="13.5" customHeight="1"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</row>
    <row r="452" ht="13.5" customHeight="1"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</row>
    <row r="453" ht="13.5" customHeight="1"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</row>
    <row r="454" ht="13.5" customHeight="1"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</row>
    <row r="455" ht="13.5" customHeight="1"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</row>
    <row r="456" ht="13.5" customHeight="1"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</row>
    <row r="457" ht="13.5" customHeight="1"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</row>
    <row r="458" ht="13.5" customHeight="1"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</row>
    <row r="459" ht="13.5" customHeight="1"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</row>
    <row r="460" ht="13.5" customHeight="1"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</row>
    <row r="461" ht="13.5" customHeight="1"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</row>
    <row r="462" ht="13.5" customHeight="1"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</row>
    <row r="463" ht="13.5" customHeight="1"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</row>
    <row r="464" ht="13.5" customHeight="1"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</row>
    <row r="465" ht="13.5" customHeight="1"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</row>
    <row r="466" ht="13.5" customHeight="1"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</row>
    <row r="467" ht="13.5" customHeight="1"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</row>
    <row r="468" ht="13.5" customHeight="1"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</row>
    <row r="469" ht="13.5" customHeight="1"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</row>
    <row r="470" ht="13.5" customHeight="1"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</row>
    <row r="471" ht="13.5" customHeight="1"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</row>
    <row r="472" ht="13.5" customHeight="1"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</row>
    <row r="473" ht="13.5" customHeight="1"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</row>
    <row r="474" ht="13.5" customHeight="1"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</row>
    <row r="475" ht="13.5" customHeight="1"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</row>
    <row r="476" ht="13.5" customHeight="1"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</row>
    <row r="477" ht="13.5" customHeight="1"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</row>
    <row r="478" ht="13.5" customHeight="1"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</row>
    <row r="479" ht="13.5" customHeight="1"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</row>
    <row r="480" ht="13.5" customHeight="1"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</row>
    <row r="481" ht="13.5" customHeight="1"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</row>
    <row r="482" ht="13.5" customHeight="1"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</row>
    <row r="483" ht="13.5" customHeight="1"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</row>
    <row r="484" ht="13.5" customHeight="1"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</row>
    <row r="485" ht="13.5" customHeight="1"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</row>
    <row r="486" ht="13.5" customHeight="1"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</row>
    <row r="487" ht="13.5" customHeight="1"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</row>
    <row r="488" ht="13.5" customHeight="1"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</row>
    <row r="489" ht="13.5" customHeight="1"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</row>
    <row r="490" ht="13.5" customHeight="1"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</row>
    <row r="491" ht="13.5" customHeight="1"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</row>
    <row r="492" ht="13.5" customHeight="1"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</row>
    <row r="493" ht="13.5" customHeight="1"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</row>
    <row r="494" ht="13.5" customHeight="1"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</row>
    <row r="495" ht="13.5" customHeight="1"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</row>
    <row r="496" ht="13.5" customHeight="1"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</row>
    <row r="497" ht="13.5" customHeight="1"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</row>
    <row r="498" ht="13.5" customHeight="1"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</row>
    <row r="499" ht="13.5" customHeight="1"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</row>
    <row r="500" ht="13.5" customHeight="1"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</row>
    <row r="501" ht="13.5" customHeight="1"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</row>
    <row r="502" ht="13.5" customHeight="1"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</row>
    <row r="503" ht="13.5" customHeight="1"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</row>
    <row r="504" ht="13.5" customHeight="1"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</row>
    <row r="505" ht="13.5" customHeight="1"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</row>
    <row r="506" ht="13.5" customHeight="1"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</row>
    <row r="507" ht="13.5" customHeight="1"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</row>
    <row r="508" ht="13.5" customHeight="1"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</row>
    <row r="509" ht="13.5" customHeight="1"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</row>
    <row r="510" ht="13.5" customHeight="1"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</row>
    <row r="511" ht="13.5" customHeight="1"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</row>
    <row r="512" ht="13.5" customHeight="1"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</row>
    <row r="513" ht="13.5" customHeight="1"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</row>
    <row r="514" ht="13.5" customHeight="1"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</row>
    <row r="515" ht="13.5" customHeight="1"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</row>
    <row r="516" ht="13.5" customHeight="1"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</row>
    <row r="517" ht="13.5" customHeight="1"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</row>
    <row r="518" ht="13.5" customHeight="1"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</row>
    <row r="519" ht="13.5" customHeight="1"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</row>
    <row r="520" ht="13.5" customHeight="1"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</row>
    <row r="521" ht="13.5" customHeight="1"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</row>
    <row r="522" ht="13.5" customHeight="1"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</row>
    <row r="523" ht="13.5" customHeight="1"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</row>
    <row r="524" ht="13.5" customHeight="1"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</row>
    <row r="525" ht="13.5" customHeight="1"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</row>
    <row r="526" ht="13.5" customHeight="1"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</row>
    <row r="527" ht="13.5" customHeight="1"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</row>
    <row r="528" ht="13.5" customHeight="1"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</row>
    <row r="529" ht="13.5" customHeight="1"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</row>
    <row r="530" ht="13.5" customHeight="1"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</row>
    <row r="531" ht="13.5" customHeight="1"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</row>
    <row r="532" ht="13.5" customHeight="1"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</row>
    <row r="533" ht="13.5" customHeight="1"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</row>
    <row r="534" ht="13.5" customHeight="1"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</row>
    <row r="535" ht="13.5" customHeight="1"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</row>
    <row r="536" ht="13.5" customHeight="1"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</row>
    <row r="537" ht="13.5" customHeight="1"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</row>
    <row r="538" ht="13.5" customHeight="1"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</row>
    <row r="539" ht="13.5" customHeight="1"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</row>
    <row r="540" ht="13.5" customHeight="1"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</row>
    <row r="541" ht="13.5" customHeight="1"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</row>
    <row r="542" ht="13.5" customHeight="1"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</row>
    <row r="543" ht="13.5" customHeight="1"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</row>
    <row r="544" ht="13.5" customHeight="1"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</row>
    <row r="545" ht="13.5" customHeight="1"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</row>
    <row r="546" ht="13.5" customHeight="1"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</row>
    <row r="547" ht="13.5" customHeight="1"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</row>
    <row r="548" ht="13.5" customHeight="1"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</row>
    <row r="549" ht="13.5" customHeight="1"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</row>
    <row r="550" ht="13.5" customHeight="1"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</row>
    <row r="551" ht="13.5" customHeight="1"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</row>
    <row r="552" ht="13.5" customHeight="1"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</row>
    <row r="553" ht="13.5" customHeight="1"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</row>
    <row r="554" ht="13.5" customHeight="1"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</row>
    <row r="555" ht="13.5" customHeight="1"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</row>
    <row r="556" ht="13.5" customHeight="1"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</row>
    <row r="557" ht="13.5" customHeight="1"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</row>
    <row r="558" ht="13.5" customHeight="1"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</row>
    <row r="559" ht="13.5" customHeight="1"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</row>
    <row r="560" ht="13.5" customHeight="1"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</row>
    <row r="561" ht="13.5" customHeight="1"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</row>
    <row r="562" ht="13.5" customHeight="1"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</row>
    <row r="563" ht="13.5" customHeight="1"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</row>
    <row r="564" ht="13.5" customHeight="1"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</row>
    <row r="565" ht="13.5" customHeight="1"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</row>
    <row r="566" ht="13.5" customHeight="1"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</row>
    <row r="567" ht="13.5" customHeight="1"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</row>
    <row r="568" ht="13.5" customHeight="1"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</row>
    <row r="569" ht="13.5" customHeight="1"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</row>
    <row r="570" ht="13.5" customHeight="1"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</row>
    <row r="571" ht="13.5" customHeight="1"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</row>
    <row r="572" ht="13.5" customHeight="1"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</row>
    <row r="573" ht="13.5" customHeight="1"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</row>
    <row r="574" ht="13.5" customHeight="1"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</row>
    <row r="575" ht="13.5" customHeight="1"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</row>
    <row r="576" ht="13.5" customHeight="1"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</row>
    <row r="577" ht="13.5" customHeight="1"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</row>
    <row r="578" ht="13.5" customHeight="1"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</row>
    <row r="579" ht="13.5" customHeight="1"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</row>
    <row r="580" ht="13.5" customHeight="1"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</row>
    <row r="581" ht="13.5" customHeight="1"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</row>
    <row r="582" ht="13.5" customHeight="1"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</row>
    <row r="583" ht="13.5" customHeight="1"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</row>
    <row r="584" ht="13.5" customHeight="1"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</row>
    <row r="585" ht="13.5" customHeight="1"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</row>
    <row r="586" ht="13.5" customHeight="1"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</row>
    <row r="587" ht="13.5" customHeight="1"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</row>
    <row r="588" ht="13.5" customHeight="1"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</row>
    <row r="589" ht="13.5" customHeight="1"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</row>
    <row r="590" ht="13.5" customHeight="1"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</row>
    <row r="591" ht="13.5" customHeight="1"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</row>
    <row r="592" ht="13.5" customHeight="1"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</row>
    <row r="593" ht="13.5" customHeight="1"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</row>
    <row r="594" ht="13.5" customHeight="1"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</row>
    <row r="595" ht="13.5" customHeight="1"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</row>
    <row r="596" ht="13.5" customHeight="1"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</row>
    <row r="597" ht="13.5" customHeight="1"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</row>
    <row r="598" ht="13.5" customHeight="1"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</row>
    <row r="599" ht="13.5" customHeight="1"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</row>
    <row r="600" ht="13.5" customHeight="1"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</row>
    <row r="601" ht="13.5" customHeight="1"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</row>
    <row r="602" ht="13.5" customHeight="1"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</row>
    <row r="603" ht="13.5" customHeight="1"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</row>
    <row r="604" ht="13.5" customHeight="1"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</row>
    <row r="605" ht="13.5" customHeight="1"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</row>
    <row r="606" ht="13.5" customHeight="1"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</row>
    <row r="607" ht="13.5" customHeight="1"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</row>
    <row r="608" ht="13.5" customHeight="1"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</row>
    <row r="609" ht="13.5" customHeight="1"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</row>
    <row r="610" ht="13.5" customHeight="1"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</row>
    <row r="611" ht="13.5" customHeight="1"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</row>
    <row r="612" ht="13.5" customHeight="1"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</row>
    <row r="613" ht="13.5" customHeight="1"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</row>
    <row r="614" ht="13.5" customHeight="1"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</row>
    <row r="615" ht="13.5" customHeight="1"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</row>
    <row r="616" ht="13.5" customHeight="1"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</row>
    <row r="617" ht="13.5" customHeight="1"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</row>
    <row r="618" ht="13.5" customHeight="1"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</row>
    <row r="619" ht="13.5" customHeight="1"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</row>
    <row r="620" ht="13.5" customHeight="1"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</row>
    <row r="621" ht="13.5" customHeight="1"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</row>
    <row r="622" ht="13.5" customHeight="1"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</row>
    <row r="623" ht="13.5" customHeight="1"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</row>
    <row r="624" ht="13.5" customHeight="1"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</row>
    <row r="625" ht="13.5" customHeight="1"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</row>
    <row r="626" ht="13.5" customHeight="1"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</row>
    <row r="627" ht="13.5" customHeight="1"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</row>
    <row r="628" ht="13.5" customHeight="1"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</row>
    <row r="629" ht="13.5" customHeight="1"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</row>
    <row r="630" ht="13.5" customHeight="1"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</row>
    <row r="631" ht="13.5" customHeight="1"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</row>
    <row r="632" ht="13.5" customHeight="1"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</row>
    <row r="633" ht="13.5" customHeight="1"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</row>
    <row r="634" ht="13.5" customHeight="1"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</row>
    <row r="635" ht="13.5" customHeight="1"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</row>
    <row r="636" ht="13.5" customHeight="1"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</row>
    <row r="637" ht="13.5" customHeight="1"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</row>
    <row r="638" ht="13.5" customHeight="1"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</row>
    <row r="639" ht="13.5" customHeight="1"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</row>
    <row r="640" ht="13.5" customHeight="1"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</row>
    <row r="641" ht="13.5" customHeight="1"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</row>
    <row r="642" ht="13.5" customHeight="1"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</row>
    <row r="643" ht="13.5" customHeight="1"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</row>
    <row r="644" ht="13.5" customHeight="1"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</row>
    <row r="645" ht="13.5" customHeight="1"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</row>
    <row r="646" ht="13.5" customHeight="1"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</row>
    <row r="647" ht="13.5" customHeight="1"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</row>
    <row r="648" ht="13.5" customHeight="1"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</row>
    <row r="649" ht="13.5" customHeight="1"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</row>
    <row r="650" ht="13.5" customHeight="1"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</row>
    <row r="651" ht="13.5" customHeight="1"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</row>
    <row r="652" ht="13.5" customHeight="1"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</row>
    <row r="653" ht="13.5" customHeight="1"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</row>
    <row r="654" ht="13.5" customHeight="1"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</row>
    <row r="655" ht="13.5" customHeight="1"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</row>
    <row r="656" ht="13.5" customHeight="1"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</row>
    <row r="657" ht="13.5" customHeight="1"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</row>
    <row r="658" ht="13.5" customHeight="1"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</row>
    <row r="659" ht="13.5" customHeight="1"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</row>
    <row r="660" ht="13.5" customHeight="1"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</row>
    <row r="661" ht="13.5" customHeight="1"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</row>
    <row r="662" ht="13.5" customHeight="1"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</row>
    <row r="663" ht="13.5" customHeight="1"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</row>
    <row r="664" ht="13.5" customHeight="1"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</row>
    <row r="665" ht="13.5" customHeight="1"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</row>
    <row r="666" ht="13.5" customHeight="1"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</row>
    <row r="667" ht="13.5" customHeight="1"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</row>
    <row r="668" ht="13.5" customHeight="1"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</row>
    <row r="669" ht="13.5" customHeight="1"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</row>
    <row r="670" ht="13.5" customHeight="1"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</row>
    <row r="671" ht="13.5" customHeight="1"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</row>
    <row r="672" ht="13.5" customHeight="1"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</row>
    <row r="673" ht="13.5" customHeight="1"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</row>
    <row r="674" ht="13.5" customHeight="1"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</row>
    <row r="675" ht="13.5" customHeight="1"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</row>
    <row r="676" ht="13.5" customHeight="1"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</row>
    <row r="677" ht="13.5" customHeight="1"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</row>
    <row r="678" ht="13.5" customHeight="1"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</row>
    <row r="679" ht="13.5" customHeight="1"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</row>
    <row r="680" ht="13.5" customHeight="1"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</row>
    <row r="681" ht="13.5" customHeight="1"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</row>
    <row r="682" ht="13.5" customHeight="1"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</row>
    <row r="683" ht="13.5" customHeight="1"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</row>
    <row r="684" ht="13.5" customHeight="1"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</row>
    <row r="685" ht="13.5" customHeight="1"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</row>
    <row r="686" ht="13.5" customHeight="1"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</row>
    <row r="687" ht="13.5" customHeight="1"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</row>
    <row r="688" ht="13.5" customHeight="1"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</row>
    <row r="689" ht="13.5" customHeight="1"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</row>
    <row r="690" ht="13.5" customHeight="1"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</row>
    <row r="691" ht="13.5" customHeight="1"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</row>
    <row r="692" ht="13.5" customHeight="1"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</row>
    <row r="693" ht="13.5" customHeight="1"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</row>
    <row r="694" ht="13.5" customHeight="1"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</row>
    <row r="695" ht="13.5" customHeight="1"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</row>
    <row r="696" ht="13.5" customHeight="1"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</row>
    <row r="697" ht="13.5" customHeight="1"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</row>
    <row r="698" ht="13.5" customHeight="1"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</row>
    <row r="699" ht="13.5" customHeight="1"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</row>
    <row r="700" ht="13.5" customHeight="1"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</row>
    <row r="701" ht="13.5" customHeight="1"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</row>
    <row r="702" ht="13.5" customHeight="1"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</row>
    <row r="703" ht="13.5" customHeight="1"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</row>
    <row r="704" ht="13.5" customHeight="1"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</row>
    <row r="705" ht="13.5" customHeight="1"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</row>
    <row r="706" ht="13.5" customHeight="1"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</row>
    <row r="707" ht="13.5" customHeight="1"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</row>
    <row r="708" ht="13.5" customHeight="1"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</row>
    <row r="709" ht="13.5" customHeight="1"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</row>
    <row r="710" ht="13.5" customHeight="1"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</row>
    <row r="711" ht="13.5" customHeight="1"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</row>
    <row r="712" ht="13.5" customHeight="1"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</row>
    <row r="713" ht="13.5" customHeight="1"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</row>
    <row r="714" ht="13.5" customHeight="1"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</row>
    <row r="715" ht="13.5" customHeight="1"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</row>
    <row r="716" ht="13.5" customHeight="1"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</row>
    <row r="717" ht="13.5" customHeight="1"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</row>
    <row r="718" ht="13.5" customHeight="1"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</row>
    <row r="719" ht="13.5" customHeight="1"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</row>
    <row r="720" ht="13.5" customHeight="1"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</row>
    <row r="721" ht="13.5" customHeight="1"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</row>
    <row r="722" ht="13.5" customHeight="1"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</row>
    <row r="723" ht="13.5" customHeight="1"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</row>
    <row r="724" ht="13.5" customHeight="1"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</row>
    <row r="725" ht="13.5" customHeight="1"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</row>
    <row r="726" ht="13.5" customHeight="1"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</row>
    <row r="727" ht="13.5" customHeight="1"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</row>
    <row r="728" ht="13.5" customHeight="1"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</row>
    <row r="729" ht="13.5" customHeight="1"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</row>
    <row r="730" ht="13.5" customHeight="1"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</row>
    <row r="731" ht="13.5" customHeight="1"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</row>
    <row r="732" ht="13.5" customHeight="1"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</row>
    <row r="733" ht="13.5" customHeight="1"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</row>
    <row r="734" ht="13.5" customHeight="1"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</row>
    <row r="735" ht="13.5" customHeight="1"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</row>
    <row r="736" ht="13.5" customHeight="1"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</row>
    <row r="737" ht="13.5" customHeight="1"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</row>
    <row r="738" ht="13.5" customHeight="1"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</row>
    <row r="739" ht="13.5" customHeight="1"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</row>
    <row r="740" ht="13.5" customHeight="1"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</row>
    <row r="741" ht="13.5" customHeight="1"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</row>
    <row r="742" ht="13.5" customHeight="1"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</row>
    <row r="743" ht="13.5" customHeight="1"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</row>
    <row r="744" ht="13.5" customHeight="1"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</row>
    <row r="745" ht="13.5" customHeight="1"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</row>
    <row r="746" ht="13.5" customHeight="1"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</row>
    <row r="747" ht="13.5" customHeight="1"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</row>
    <row r="748" ht="13.5" customHeight="1"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</row>
    <row r="749" ht="13.5" customHeight="1"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</row>
    <row r="750" ht="13.5" customHeight="1"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</row>
    <row r="751" ht="13.5" customHeight="1"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</row>
    <row r="752" ht="13.5" customHeight="1"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</row>
    <row r="753" ht="13.5" customHeight="1"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</row>
    <row r="754" ht="13.5" customHeight="1"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</row>
    <row r="755" ht="13.5" customHeight="1"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</row>
    <row r="756" ht="13.5" customHeight="1"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</row>
    <row r="757" ht="13.5" customHeight="1"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</row>
    <row r="758" ht="13.5" customHeight="1"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</row>
    <row r="759" ht="13.5" customHeight="1"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</row>
    <row r="760" ht="13.5" customHeight="1"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</row>
    <row r="761" ht="13.5" customHeight="1"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</row>
    <row r="762" ht="13.5" customHeight="1"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</row>
    <row r="763" ht="13.5" customHeight="1"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</row>
    <row r="764" ht="13.5" customHeight="1"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</row>
    <row r="765" ht="13.5" customHeight="1"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</row>
    <row r="766" ht="13.5" customHeight="1"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</row>
    <row r="767" ht="13.5" customHeight="1"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</row>
    <row r="768" ht="13.5" customHeight="1"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</row>
    <row r="769" ht="13.5" customHeight="1"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</row>
    <row r="770" ht="13.5" customHeight="1"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</row>
    <row r="771" ht="13.5" customHeight="1"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</row>
    <row r="772" ht="13.5" customHeight="1"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</row>
    <row r="773" ht="13.5" customHeight="1"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</row>
    <row r="774" ht="13.5" customHeight="1"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</row>
    <row r="775" ht="13.5" customHeight="1"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</row>
    <row r="776" ht="13.5" customHeight="1"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</row>
    <row r="777" ht="13.5" customHeight="1"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</row>
    <row r="778" ht="13.5" customHeight="1"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</row>
    <row r="779" ht="13.5" customHeight="1"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</row>
    <row r="780" ht="13.5" customHeight="1"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</row>
    <row r="781" ht="13.5" customHeight="1"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</row>
    <row r="782" ht="13.5" customHeight="1"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</row>
    <row r="783" ht="13.5" customHeight="1"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</row>
    <row r="784" ht="13.5" customHeight="1"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</row>
    <row r="785" ht="13.5" customHeight="1"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</row>
    <row r="786" ht="13.5" customHeight="1"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</row>
    <row r="787" ht="13.5" customHeight="1"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</row>
    <row r="788" ht="13.5" customHeight="1"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</row>
    <row r="789" ht="13.5" customHeight="1"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</row>
    <row r="790" ht="13.5" customHeight="1"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</row>
    <row r="791" ht="13.5" customHeight="1"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</row>
    <row r="792" ht="13.5" customHeight="1"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</row>
    <row r="793" ht="13.5" customHeight="1"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</row>
    <row r="794" ht="13.5" customHeight="1"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</row>
    <row r="795" ht="13.5" customHeight="1"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</row>
    <row r="796" ht="13.5" customHeight="1"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</row>
    <row r="797" ht="13.5" customHeight="1"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</row>
    <row r="798" ht="13.5" customHeight="1"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</row>
    <row r="799" ht="13.5" customHeight="1"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</row>
    <row r="800" ht="13.5" customHeight="1"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</row>
    <row r="801" ht="13.5" customHeight="1"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</row>
    <row r="802" ht="13.5" customHeight="1"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</row>
    <row r="803" ht="13.5" customHeight="1"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</row>
    <row r="804" ht="13.5" customHeight="1"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</row>
    <row r="805" ht="13.5" customHeight="1"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</row>
    <row r="806" ht="13.5" customHeight="1"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</row>
    <row r="807" ht="13.5" customHeight="1"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</row>
    <row r="808" ht="13.5" customHeight="1"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</row>
    <row r="809" ht="13.5" customHeight="1"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</row>
    <row r="810" ht="13.5" customHeight="1"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</row>
    <row r="811" ht="13.5" customHeight="1"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</row>
    <row r="812" ht="13.5" customHeight="1"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</row>
    <row r="813" ht="13.5" customHeight="1"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</row>
    <row r="814" ht="13.5" customHeight="1"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</row>
    <row r="815" ht="13.5" customHeight="1"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</row>
    <row r="816" ht="13.5" customHeight="1"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</row>
    <row r="817" ht="13.5" customHeight="1"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</row>
    <row r="818" ht="13.5" customHeight="1"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</row>
    <row r="819" ht="13.5" customHeight="1"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</row>
    <row r="820" ht="13.5" customHeight="1"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</row>
    <row r="821" ht="13.5" customHeight="1"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</row>
    <row r="822" ht="13.5" customHeight="1"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</row>
    <row r="823" ht="13.5" customHeight="1"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</row>
    <row r="824" ht="13.5" customHeight="1"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</row>
    <row r="825" ht="13.5" customHeight="1"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</row>
    <row r="826" ht="13.5" customHeight="1"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</row>
    <row r="827" ht="13.5" customHeight="1"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</row>
    <row r="828" ht="13.5" customHeight="1"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</row>
    <row r="829" ht="13.5" customHeight="1"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</row>
    <row r="830" ht="13.5" customHeight="1"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</row>
    <row r="831" ht="13.5" customHeight="1"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</row>
    <row r="832" ht="13.5" customHeight="1"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</row>
    <row r="833" ht="13.5" customHeight="1"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</row>
    <row r="834" ht="13.5" customHeight="1"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</row>
    <row r="835" ht="13.5" customHeight="1"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</row>
    <row r="836" ht="13.5" customHeight="1"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</row>
    <row r="837" ht="13.5" customHeight="1"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</row>
    <row r="838" ht="13.5" customHeight="1"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</row>
    <row r="839" ht="13.5" customHeight="1"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</row>
    <row r="840" ht="13.5" customHeight="1"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</row>
    <row r="841" ht="13.5" customHeight="1"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</row>
    <row r="842" ht="13.5" customHeight="1"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</row>
    <row r="843" ht="13.5" customHeight="1"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</row>
    <row r="844" ht="13.5" customHeight="1"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</row>
    <row r="845" ht="13.5" customHeight="1"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</row>
    <row r="846" ht="13.5" customHeight="1"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</row>
    <row r="847" ht="13.5" customHeight="1"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</row>
    <row r="848" ht="13.5" customHeight="1"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</row>
    <row r="849" ht="13.5" customHeight="1"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</row>
    <row r="850" ht="13.5" customHeight="1"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</row>
    <row r="851" ht="13.5" customHeight="1"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</row>
    <row r="852" ht="13.5" customHeight="1"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</row>
    <row r="853" ht="13.5" customHeight="1"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</row>
    <row r="854" ht="13.5" customHeight="1"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</row>
    <row r="855" ht="13.5" customHeight="1"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</row>
    <row r="856" ht="13.5" customHeight="1"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</row>
    <row r="857" ht="13.5" customHeight="1"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</row>
    <row r="858" ht="13.5" customHeight="1"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</row>
    <row r="859" ht="13.5" customHeight="1"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</row>
    <row r="860" ht="13.5" customHeight="1"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</row>
    <row r="861" ht="13.5" customHeight="1"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</row>
    <row r="862" ht="13.5" customHeight="1"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</row>
    <row r="863" ht="13.5" customHeight="1"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</row>
    <row r="864" ht="13.5" customHeight="1"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</row>
    <row r="865" ht="13.5" customHeight="1"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</row>
    <row r="866" ht="13.5" customHeight="1"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</row>
    <row r="867" ht="13.5" customHeight="1"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</row>
    <row r="868" ht="13.5" customHeight="1"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</row>
    <row r="869" ht="13.5" customHeight="1"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</row>
    <row r="870" ht="13.5" customHeight="1"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</row>
    <row r="871" ht="13.5" customHeight="1"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</row>
    <row r="872" ht="13.5" customHeight="1"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</row>
    <row r="873" ht="13.5" customHeight="1"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</row>
    <row r="874" ht="13.5" customHeight="1"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</row>
    <row r="875" ht="13.5" customHeight="1"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</row>
    <row r="876" ht="13.5" customHeight="1"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</row>
    <row r="877" ht="13.5" customHeight="1"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</row>
    <row r="878" ht="13.5" customHeight="1"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</row>
    <row r="879" ht="13.5" customHeight="1"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</row>
    <row r="880" ht="13.5" customHeight="1"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</row>
    <row r="881" ht="13.5" customHeight="1"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</row>
    <row r="882" ht="13.5" customHeight="1"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</row>
    <row r="883" ht="13.5" customHeight="1"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</row>
    <row r="884" ht="13.5" customHeight="1"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</row>
    <row r="885" ht="13.5" customHeight="1"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</row>
    <row r="886" ht="13.5" customHeight="1"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</row>
    <row r="887" ht="13.5" customHeight="1"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</row>
    <row r="888" ht="13.5" customHeight="1"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</row>
    <row r="889" ht="13.5" customHeight="1"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</row>
    <row r="890" ht="13.5" customHeight="1"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</row>
    <row r="891" ht="13.5" customHeight="1"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</row>
    <row r="892" ht="13.5" customHeight="1"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</row>
    <row r="893" ht="13.5" customHeight="1"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</row>
    <row r="894" ht="13.5" customHeight="1"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</row>
    <row r="895" ht="13.5" customHeight="1"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</row>
    <row r="896" ht="13.5" customHeight="1"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</row>
    <row r="897" ht="13.5" customHeight="1"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</row>
    <row r="898" ht="13.5" customHeight="1"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</row>
    <row r="899" ht="13.5" customHeight="1"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</row>
    <row r="900" ht="13.5" customHeight="1"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</row>
    <row r="901" ht="13.5" customHeight="1"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</row>
    <row r="902" ht="13.5" customHeight="1"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</row>
    <row r="903" ht="13.5" customHeight="1"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</row>
    <row r="904" ht="13.5" customHeight="1"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</row>
    <row r="905" ht="13.5" customHeight="1"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</row>
    <row r="906" ht="13.5" customHeight="1"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</row>
    <row r="907" ht="13.5" customHeight="1"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</row>
    <row r="908" ht="13.5" customHeight="1"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</row>
    <row r="909" ht="13.5" customHeight="1"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</row>
    <row r="910" ht="13.5" customHeight="1"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</row>
    <row r="911" ht="13.5" customHeight="1"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</row>
    <row r="912" ht="13.5" customHeight="1"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</row>
    <row r="913" ht="13.5" customHeight="1"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</row>
    <row r="914" ht="13.5" customHeight="1"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</row>
    <row r="915" ht="13.5" customHeight="1"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</row>
    <row r="916" ht="13.5" customHeight="1"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</row>
    <row r="917" ht="13.5" customHeight="1"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</row>
    <row r="918" ht="13.5" customHeight="1"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</row>
    <row r="919" ht="13.5" customHeight="1"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</row>
    <row r="920" ht="13.5" customHeight="1"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</row>
    <row r="921" ht="13.5" customHeight="1"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</row>
    <row r="922" ht="13.5" customHeight="1"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</row>
    <row r="923" ht="13.5" customHeight="1"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</row>
    <row r="924" ht="13.5" customHeight="1"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</row>
    <row r="925" ht="13.5" customHeight="1"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</row>
    <row r="926" ht="13.5" customHeight="1"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</row>
    <row r="927" ht="13.5" customHeight="1"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</row>
    <row r="928" ht="13.5" customHeight="1"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</row>
    <row r="929" ht="13.5" customHeight="1"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</row>
    <row r="930" ht="13.5" customHeight="1"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</row>
    <row r="931" ht="13.5" customHeight="1"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</row>
    <row r="932" ht="13.5" customHeight="1"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</row>
    <row r="933" ht="13.5" customHeight="1"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</row>
    <row r="934" ht="13.5" customHeight="1"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</row>
    <row r="935" ht="13.5" customHeight="1"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</row>
    <row r="936" ht="13.5" customHeight="1"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</row>
    <row r="937" ht="13.5" customHeight="1"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</row>
    <row r="938" ht="13.5" customHeight="1"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</row>
    <row r="939" ht="13.5" customHeight="1"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</row>
    <row r="940" ht="13.5" customHeight="1"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</row>
    <row r="941" ht="13.5" customHeight="1"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</row>
    <row r="942" ht="13.5" customHeight="1"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</row>
    <row r="943" ht="13.5" customHeight="1"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</row>
    <row r="944" ht="13.5" customHeight="1"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</row>
    <row r="945" ht="13.5" customHeight="1"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</row>
    <row r="946" ht="13.5" customHeight="1"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</row>
    <row r="947" ht="13.5" customHeight="1"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</row>
    <row r="948" ht="13.5" customHeight="1"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</row>
    <row r="949" ht="13.5" customHeight="1"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</row>
    <row r="950" ht="13.5" customHeight="1"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</row>
    <row r="951" ht="13.5" customHeight="1"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</row>
    <row r="952" ht="13.5" customHeight="1"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</row>
    <row r="953" ht="13.5" customHeight="1"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</row>
    <row r="954" ht="13.5" customHeight="1"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</row>
    <row r="955" ht="13.5" customHeight="1"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</row>
    <row r="956" ht="13.5" customHeight="1"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</row>
    <row r="957" ht="13.5" customHeight="1"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</row>
    <row r="958" ht="13.5" customHeight="1"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</row>
    <row r="959" ht="13.5" customHeight="1"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</row>
    <row r="960" ht="13.5" customHeight="1"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</row>
    <row r="961" ht="13.5" customHeight="1"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</row>
    <row r="962" ht="13.5" customHeight="1"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</row>
    <row r="963" ht="13.5" customHeight="1"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</row>
    <row r="964" ht="13.5" customHeight="1"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</row>
    <row r="965" ht="13.5" customHeight="1"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</row>
    <row r="966" ht="13.5" customHeight="1"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</row>
    <row r="967" ht="13.5" customHeight="1"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</row>
    <row r="968" ht="13.5" customHeight="1"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</row>
    <row r="969" ht="13.5" customHeight="1"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</row>
    <row r="970" ht="13.5" customHeight="1"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</row>
    <row r="971" ht="13.5" customHeight="1"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</row>
    <row r="972" ht="13.5" customHeight="1"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</row>
    <row r="973" ht="13.5" customHeight="1"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</row>
    <row r="974" ht="13.5" customHeight="1"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</row>
    <row r="975" ht="13.5" customHeight="1"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</row>
    <row r="976" ht="13.5" customHeight="1"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</row>
    <row r="977" ht="13.5" customHeight="1"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</row>
    <row r="978" ht="13.5" customHeight="1"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</row>
    <row r="979" ht="13.5" customHeight="1"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</row>
    <row r="980" ht="13.5" customHeight="1"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</row>
    <row r="981" ht="13.5" customHeight="1"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</row>
    <row r="982" ht="13.5" customHeight="1"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</row>
    <row r="983" ht="13.5" customHeight="1"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</row>
    <row r="984" ht="13.5" customHeight="1"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</row>
    <row r="985" ht="13.5" customHeight="1"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</row>
    <row r="986" ht="13.5" customHeight="1"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</row>
    <row r="987" ht="13.5" customHeight="1"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</row>
    <row r="988" ht="13.5" customHeight="1"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</row>
    <row r="989" ht="13.5" customHeight="1"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</row>
    <row r="990" ht="13.5" customHeight="1"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</row>
    <row r="991" ht="13.5" customHeight="1"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</row>
    <row r="992" ht="13.5" customHeight="1"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</row>
    <row r="993" ht="13.5" customHeight="1"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</row>
    <row r="994" ht="13.5" customHeight="1"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</row>
    <row r="995" ht="13.5" customHeight="1"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</row>
    <row r="996" ht="13.5" customHeight="1"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</row>
    <row r="997" ht="13.5" customHeight="1"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</row>
    <row r="998" ht="13.5" customHeight="1"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</row>
    <row r="999" ht="13.5" customHeight="1"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</row>
    <row r="1000" ht="13.5" customHeight="1"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</row>
  </sheetData>
  <mergeCells count="7">
    <mergeCell ref="O1:P1"/>
    <mergeCell ref="Q1:R1"/>
    <mergeCell ref="A1:A2"/>
    <mergeCell ref="B1:B2"/>
    <mergeCell ref="K1:L1"/>
    <mergeCell ref="M1:N1"/>
    <mergeCell ref="J1:J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9.75"/>
    <col customWidth="1" min="2" max="2" width="11.13"/>
    <col customWidth="1" min="3" max="3" width="8.0"/>
    <col customWidth="1" min="4" max="9" width="9.0"/>
    <col customWidth="1" min="10" max="10" width="11.13"/>
    <col customWidth="1" min="11" max="18" width="9.0"/>
    <col customWidth="1" min="19" max="26" width="8.0"/>
  </cols>
  <sheetData>
    <row r="1" ht="13.5" customHeight="1">
      <c r="A1" s="2" t="s">
        <v>1</v>
      </c>
      <c r="B1" s="7" t="s">
        <v>4</v>
      </c>
      <c r="C1" s="6" t="s">
        <v>11</v>
      </c>
      <c r="D1" s="9" t="s">
        <v>7</v>
      </c>
      <c r="E1" s="11" t="s">
        <v>13</v>
      </c>
      <c r="F1" s="11" t="s">
        <v>14</v>
      </c>
      <c r="G1" s="11" t="s">
        <v>15</v>
      </c>
      <c r="H1" s="11" t="s">
        <v>16</v>
      </c>
      <c r="I1" s="13" t="s">
        <v>17</v>
      </c>
      <c r="J1" s="15" t="s">
        <v>20</v>
      </c>
      <c r="K1" s="17" t="s">
        <v>24</v>
      </c>
      <c r="L1" s="18"/>
      <c r="M1" s="19" t="s">
        <v>31</v>
      </c>
      <c r="N1" s="18"/>
      <c r="O1" s="19" t="s">
        <v>33</v>
      </c>
      <c r="P1" s="18"/>
      <c r="Q1" s="19" t="s">
        <v>34</v>
      </c>
      <c r="R1" s="20"/>
      <c r="S1" s="3"/>
      <c r="T1" s="3"/>
      <c r="U1" s="3"/>
      <c r="V1" s="3"/>
      <c r="W1" s="3"/>
      <c r="X1" s="3"/>
      <c r="Y1" s="3"/>
      <c r="Z1" s="3"/>
    </row>
    <row r="2" ht="14.25" customHeight="1">
      <c r="A2" s="21"/>
      <c r="B2" s="22"/>
      <c r="C2" s="24" t="s">
        <v>42</v>
      </c>
      <c r="D2" s="26" t="s">
        <v>43</v>
      </c>
      <c r="E2" s="28" t="s">
        <v>47</v>
      </c>
      <c r="F2" s="28" t="s">
        <v>50</v>
      </c>
      <c r="G2" s="28" t="s">
        <v>51</v>
      </c>
      <c r="H2" s="28" t="s">
        <v>52</v>
      </c>
      <c r="I2" s="30" t="s">
        <v>53</v>
      </c>
      <c r="J2" s="32"/>
      <c r="K2" s="34" t="s">
        <v>55</v>
      </c>
      <c r="L2" s="36" t="s">
        <v>56</v>
      </c>
      <c r="M2" s="36" t="s">
        <v>55</v>
      </c>
      <c r="N2" s="36" t="s">
        <v>56</v>
      </c>
      <c r="O2" s="36" t="s">
        <v>55</v>
      </c>
      <c r="P2" s="36" t="s">
        <v>56</v>
      </c>
      <c r="Q2" s="36" t="s">
        <v>55</v>
      </c>
      <c r="R2" s="38" t="s">
        <v>56</v>
      </c>
      <c r="S2" s="3"/>
      <c r="T2" s="3"/>
      <c r="U2" s="3"/>
      <c r="V2" s="3"/>
      <c r="W2" s="3"/>
      <c r="X2" s="3"/>
      <c r="Y2" s="3"/>
      <c r="Z2" s="3"/>
    </row>
    <row r="3" ht="13.5" customHeight="1">
      <c r="A3" s="40" t="s">
        <v>57</v>
      </c>
      <c r="B3" s="42" t="s">
        <v>58</v>
      </c>
      <c r="C3" s="44">
        <v>562.0</v>
      </c>
      <c r="D3" s="49">
        <f t="shared" ref="D3:D38" si="1">SIGN(C3)*((N3-M3)/(L3-K3)*(ABS(C3)-K3)+M3)/J3*0.001</f>
        <v>9.872083858</v>
      </c>
      <c r="E3" s="51">
        <f>'電圧データ'!$D3/'電圧データ'!$C3*$C3</f>
        <v>44.16383333</v>
      </c>
      <c r="F3" s="51">
        <f t="shared" ref="F3:F38" si="2">C3*E3/1000</f>
        <v>24.82007433</v>
      </c>
      <c r="G3" s="53">
        <v>9.0</v>
      </c>
      <c r="H3" s="51">
        <f t="shared" ref="H3:H38" si="3">(R3-Q3)/(P3-O3)*(G3-O3)+Q3</f>
        <v>114.6394644</v>
      </c>
      <c r="I3" s="55">
        <f t="shared" ref="I3:I38" si="4">F3/(H3/60)/4.1855</f>
        <v>3.10365067</v>
      </c>
      <c r="J3" s="57">
        <v>1.0</v>
      </c>
      <c r="K3" s="59">
        <f t="array" ref="K3">INDEX('磁場データ'!$C$2:$AB$2,MATCH(ABS($C3),'磁場データ'!$C$2:$AB$2,1))</f>
        <v>500</v>
      </c>
      <c r="L3" s="51">
        <f t="array" ref="L3">INDEX('磁場データ'!$C$2:$AB$2,MATCH(ABS($C3),'磁場データ'!$C$2:$AB$2,1)+1)</f>
        <v>600</v>
      </c>
      <c r="M3" s="51">
        <f t="array" ref="M3">INDEX('磁場データ'!$C3:$AB3,MATCH(ABS($C3),'磁場データ'!$C$2:$AB$2,1))</f>
        <v>8949.200917</v>
      </c>
      <c r="N3" s="51">
        <f t="array" ref="N3">INDEX('磁場データ'!$C3:$AB3,MATCH(ABS($C3),'磁場データ'!$C$2:$AB$2,1)+1)</f>
        <v>10437.72179</v>
      </c>
      <c r="O3" s="51">
        <f t="array" ref="O3">INDEX('流量データ'!$C$2:$M$2,MATCH($G3,'流量データ'!$C$2:$M$2,1))</f>
        <v>9</v>
      </c>
      <c r="P3" s="51">
        <f t="array" ref="P3">INDEX('流量データ'!$C$2:$M$2,MATCH($G3,'流量データ'!$C$2:$M$2,1)+1)</f>
        <v>10</v>
      </c>
      <c r="Q3" s="51">
        <f t="array" ref="Q3">INDEX('流量データ'!$C3:$M3,MATCH($G3,'流量データ'!$C$2:$M$2,1))</f>
        <v>114.6394644</v>
      </c>
      <c r="R3" s="64">
        <f t="array" ref="R3">INDEX('流量データ'!$C3:$M3,MATCH($G3,'流量データ'!$C$2:$M$2,1)+1)</f>
        <v>121.7534527</v>
      </c>
    </row>
    <row r="4" ht="13.5" customHeight="1">
      <c r="A4" s="61" t="s">
        <v>63</v>
      </c>
      <c r="B4" s="63" t="s">
        <v>64</v>
      </c>
      <c r="C4" s="65">
        <v>534.0</v>
      </c>
      <c r="D4" s="71">
        <f t="shared" si="1"/>
        <v>4.58398227</v>
      </c>
      <c r="E4" s="69">
        <f>'電圧データ'!$D4/'電圧データ'!$C4*$C4</f>
        <v>31.05655</v>
      </c>
      <c r="F4" s="69">
        <f t="shared" si="2"/>
        <v>16.5841977</v>
      </c>
      <c r="G4" s="70">
        <v>9.0</v>
      </c>
      <c r="H4" s="69">
        <f t="shared" si="3"/>
        <v>121</v>
      </c>
      <c r="I4" s="75">
        <f t="shared" si="4"/>
        <v>1.964775799</v>
      </c>
      <c r="J4" s="78">
        <v>0.5</v>
      </c>
      <c r="K4" s="79">
        <f t="array" ref="K4">INDEX('磁場データ'!$C$2:$AB$2,MATCH(ABS($C4),'磁場データ'!$C$2:$AB$2,1))</f>
        <v>500</v>
      </c>
      <c r="L4" s="69">
        <f t="array" ref="L4">INDEX('磁場データ'!$C$2:$AB$2,MATCH(ABS($C4),'磁場データ'!$C$2:$AB$2,1)+1)</f>
        <v>600</v>
      </c>
      <c r="M4" s="69">
        <f t="array" ref="M4">INDEX('磁場データ'!$C4:$AB4,MATCH(ABS($C4),'磁場データ'!$C$2:$AB$2,1))</f>
        <v>2148.407498</v>
      </c>
      <c r="N4" s="69">
        <f t="array" ref="N4">INDEX('磁場データ'!$C4:$AB4,MATCH(ABS($C4),'磁場データ'!$C$2:$AB$2,1)+1)</f>
        <v>2570.712312</v>
      </c>
      <c r="O4" s="69">
        <f t="array" ref="O4">INDEX('流量データ'!$C$2:$M$2,MATCH($G4,'流量データ'!$C$2:$M$2,1))</f>
        <v>9</v>
      </c>
      <c r="P4" s="69">
        <f t="array" ref="P4">INDEX('流量データ'!$C$2:$M$2,MATCH($G4,'流量データ'!$C$2:$M$2,1)+1)</f>
        <v>10</v>
      </c>
      <c r="Q4" s="69">
        <f t="array" ref="Q4">INDEX('流量データ'!$C4:$M4,MATCH($G4,'流量データ'!$C$2:$M$2,1))</f>
        <v>121</v>
      </c>
      <c r="R4" s="72">
        <f t="array" ref="R4">INDEX('流量データ'!$C4:$M4,MATCH($G4,'流量データ'!$C$2:$M$2,1)+1)</f>
        <v>128</v>
      </c>
    </row>
    <row r="5" ht="13.5" customHeight="1">
      <c r="A5" s="61" t="s">
        <v>65</v>
      </c>
      <c r="B5" s="63" t="s">
        <v>66</v>
      </c>
      <c r="C5" s="65">
        <v>996.0</v>
      </c>
      <c r="D5" s="71">
        <f t="shared" si="1"/>
        <v>5.776358878</v>
      </c>
      <c r="E5" s="69">
        <f>'電圧データ'!$D5/'電圧データ'!$C5*$C5</f>
        <v>26.50226087</v>
      </c>
      <c r="F5" s="69">
        <f t="shared" si="2"/>
        <v>26.39625183</v>
      </c>
      <c r="G5" s="70">
        <v>10.0</v>
      </c>
      <c r="H5" s="69">
        <f t="shared" si="3"/>
        <v>41</v>
      </c>
      <c r="I5" s="75">
        <f t="shared" si="4"/>
        <v>9.229162874</v>
      </c>
      <c r="J5" s="78">
        <v>0.5</v>
      </c>
      <c r="K5" s="79">
        <f t="array" ref="K5">INDEX('磁場データ'!$C$2:$AB$2,MATCH(ABS($C5),'磁場データ'!$C$2:$AB$2,1))</f>
        <v>900</v>
      </c>
      <c r="L5" s="69">
        <f t="array" ref="L5">INDEX('磁場データ'!$C$2:$AB$2,MATCH(ABS($C5),'磁場データ'!$C$2:$AB$2,1)+1)</f>
        <v>1000</v>
      </c>
      <c r="M5" s="69">
        <f t="array" ref="M5">INDEX('磁場データ'!$C5:$AB5,MATCH(ABS($C5),'磁場データ'!$C$2:$AB$2,1))</f>
        <v>2611.053177</v>
      </c>
      <c r="N5" s="69">
        <f t="array" ref="N5">INDEX('磁場データ'!$C5:$AB5,MATCH(ABS($C5),'磁場データ'!$C$2:$AB$2,1)+1)</f>
        <v>2899.726367</v>
      </c>
      <c r="O5" s="69">
        <f t="array" ref="O5">INDEX('流量データ'!$C$2:$M$2,MATCH($G5,'流量データ'!$C$2:$M$2,1))</f>
        <v>10</v>
      </c>
      <c r="P5" s="69">
        <f t="array" ref="P5">INDEX('流量データ'!$C$2:$M$2,MATCH($G5,'流量データ'!$C$2:$M$2,1)+1)</f>
        <v>11</v>
      </c>
      <c r="Q5" s="69">
        <f t="array" ref="Q5">INDEX('流量データ'!$C5:$M5,MATCH($G5,'流量データ'!$C$2:$M$2,1))</f>
        <v>41</v>
      </c>
      <c r="R5" s="72">
        <f t="array" ref="R5">INDEX('流量データ'!$C5:$M5,MATCH($G5,'流量データ'!$C$2:$M$2,1)+1)</f>
        <v>43</v>
      </c>
    </row>
    <row r="6" ht="13.5" customHeight="1">
      <c r="A6" s="61" t="s">
        <v>67</v>
      </c>
      <c r="B6" s="63" t="s">
        <v>68</v>
      </c>
      <c r="C6" s="65">
        <v>1309.0</v>
      </c>
      <c r="D6" s="71">
        <f t="shared" si="1"/>
        <v>15.7745459</v>
      </c>
      <c r="E6" s="69">
        <f>'電圧データ'!$D6/'電圧データ'!$C6*$C6</f>
        <v>86.22326087</v>
      </c>
      <c r="F6" s="69">
        <f t="shared" si="2"/>
        <v>112.8662485</v>
      </c>
      <c r="G6" s="70">
        <v>10.0</v>
      </c>
      <c r="H6" s="69">
        <f t="shared" si="3"/>
        <v>125</v>
      </c>
      <c r="I6" s="75">
        <f t="shared" si="4"/>
        <v>12.94368636</v>
      </c>
      <c r="J6" s="78">
        <v>1.0</v>
      </c>
      <c r="K6" s="79">
        <f t="array" ref="K6">INDEX('磁場データ'!$C$2:$AB$2,MATCH(ABS($C6),'磁場データ'!$C$2:$AB$2,1))</f>
        <v>1300</v>
      </c>
      <c r="L6" s="69">
        <f t="array" ref="L6">INDEX('磁場データ'!$C$2:$AB$2,MATCH(ABS($C6),'磁場データ'!$C$2:$AB$2,1)+1)</f>
        <v>1400</v>
      </c>
      <c r="M6" s="69">
        <f t="array" ref="M6">INDEX('磁場データ'!$C6:$AB6,MATCH(ABS($C6),'磁場データ'!$C$2:$AB$2,1))</f>
        <v>15692.49001</v>
      </c>
      <c r="N6" s="69">
        <f t="array" ref="N6">INDEX('磁場データ'!$C6:$AB6,MATCH(ABS($C6),'磁場データ'!$C$2:$AB$2,1)+1)</f>
        <v>16604.22213</v>
      </c>
      <c r="O6" s="69">
        <f t="array" ref="O6">INDEX('流量データ'!$C$2:$M$2,MATCH($G6,'流量データ'!$C$2:$M$2,1))</f>
        <v>10</v>
      </c>
      <c r="P6" s="69">
        <f t="array" ref="P6">INDEX('流量データ'!$C$2:$M$2,MATCH($G6,'流量データ'!$C$2:$M$2,1)+1)</f>
        <v>11</v>
      </c>
      <c r="Q6" s="69">
        <f t="array" ref="Q6">INDEX('流量データ'!$C6:$M6,MATCH($G6,'流量データ'!$C$2:$M$2,1))</f>
        <v>125</v>
      </c>
      <c r="R6" s="72">
        <f t="array" ref="R6">INDEX('流量データ'!$C6:$M6,MATCH($G6,'流量データ'!$C$2:$M$2,1)+1)</f>
        <v>132</v>
      </c>
    </row>
    <row r="7" ht="13.5" customHeight="1">
      <c r="A7" s="61" t="s">
        <v>69</v>
      </c>
      <c r="B7" s="63" t="s">
        <v>70</v>
      </c>
      <c r="C7" s="65">
        <v>1018.0</v>
      </c>
      <c r="D7" s="71">
        <f t="shared" si="1"/>
        <v>6.165078948</v>
      </c>
      <c r="E7" s="69">
        <f>'電圧データ'!$D7/'電圧データ'!$C7*$C7</f>
        <v>48.30872727</v>
      </c>
      <c r="F7" s="69">
        <f t="shared" si="2"/>
        <v>49.17828436</v>
      </c>
      <c r="G7" s="70">
        <v>5.5</v>
      </c>
      <c r="H7" s="69">
        <f t="shared" si="3"/>
        <v>69</v>
      </c>
      <c r="I7" s="75">
        <f t="shared" si="4"/>
        <v>10.21711278</v>
      </c>
      <c r="J7" s="78">
        <v>0.5</v>
      </c>
      <c r="K7" s="79">
        <f t="array" ref="K7">INDEX('磁場データ'!$C$2:$AB$2,MATCH(ABS($C7),'磁場データ'!$C$2:$AB$2,1))</f>
        <v>1000</v>
      </c>
      <c r="L7" s="69">
        <f t="array" ref="L7">INDEX('磁場データ'!$C$2:$AB$2,MATCH(ABS($C7),'磁場データ'!$C$2:$AB$2,1)+1)</f>
        <v>1100</v>
      </c>
      <c r="M7" s="69">
        <f t="array" ref="M7">INDEX('磁場データ'!$C7:$AB7,MATCH(ABS($C7),'磁場データ'!$C$2:$AB$2,1))</f>
        <v>3028.009419</v>
      </c>
      <c r="N7" s="69">
        <f t="array" ref="N7">INDEX('磁場データ'!$C7:$AB7,MATCH(ABS($C7),'磁場データ'!$C$2:$AB$2,1)+1)</f>
        <v>3330.954168</v>
      </c>
      <c r="O7" s="69">
        <f t="array" ref="O7">INDEX('流量データ'!$C$2:$M$2,MATCH($G7,'流量データ'!$C$2:$M$2,1))</f>
        <v>5</v>
      </c>
      <c r="P7" s="69">
        <f t="array" ref="P7">INDEX('流量データ'!$C$2:$M$2,MATCH($G7,'流量データ'!$C$2:$M$2,1)+1)</f>
        <v>6</v>
      </c>
      <c r="Q7" s="69">
        <f t="array" ref="Q7">INDEX('流量データ'!$C7:$M7,MATCH($G7,'流量データ'!$C$2:$M$2,1))</f>
        <v>65</v>
      </c>
      <c r="R7" s="72">
        <f t="array" ref="R7">INDEX('流量データ'!$C7:$M7,MATCH($G7,'流量データ'!$C$2:$M$2,1)+1)</f>
        <v>73</v>
      </c>
    </row>
    <row r="8" ht="13.5" customHeight="1">
      <c r="A8" s="61" t="s">
        <v>71</v>
      </c>
      <c r="B8" s="63" t="s">
        <v>72</v>
      </c>
      <c r="C8" s="65">
        <v>43.0</v>
      </c>
      <c r="D8" s="71">
        <f t="shared" si="1"/>
        <v>0.8276</v>
      </c>
      <c r="E8" s="69">
        <f>'電圧データ'!$D8/'電圧データ'!$C8*$C8</f>
        <v>7.7744</v>
      </c>
      <c r="F8" s="69">
        <f t="shared" si="2"/>
        <v>0.3342992</v>
      </c>
      <c r="G8" s="70">
        <v>5.5</v>
      </c>
      <c r="H8" s="69">
        <f t="shared" si="3"/>
        <v>1.925</v>
      </c>
      <c r="I8" s="75">
        <f t="shared" si="4"/>
        <v>2.489479232</v>
      </c>
      <c r="J8" s="78">
        <v>0.125</v>
      </c>
      <c r="K8" s="79">
        <f t="array" ref="K8">INDEX('磁場データ'!$C$2:$AB$2,MATCH(ABS($C8),'磁場データ'!$C$2:$AB$2,1))</f>
        <v>0</v>
      </c>
      <c r="L8" s="69">
        <f t="array" ref="L8">INDEX('磁場データ'!$C$2:$AB$2,MATCH(ABS($C8),'磁場データ'!$C$2:$AB$2,1)+1)</f>
        <v>100</v>
      </c>
      <c r="M8" s="69">
        <f t="array" ref="M8">INDEX('磁場データ'!$C8:$AB8,MATCH(ABS($C8),'磁場データ'!$C$2:$AB$2,1))</f>
        <v>0.25</v>
      </c>
      <c r="N8" s="69">
        <f t="array" ref="N8">INDEX('磁場データ'!$C8:$AB8,MATCH(ABS($C8),'磁場データ'!$C$2:$AB$2,1)+1)</f>
        <v>240.25</v>
      </c>
      <c r="O8" s="69">
        <f t="array" ref="O8">INDEX('流量データ'!$C$2:$M$2,MATCH($G8,'流量データ'!$C$2:$M$2,1))</f>
        <v>5</v>
      </c>
      <c r="P8" s="69">
        <f t="array" ref="P8">INDEX('流量データ'!$C$2:$M$2,MATCH($G8,'流量データ'!$C$2:$M$2,1)+1)</f>
        <v>6</v>
      </c>
      <c r="Q8" s="69">
        <f t="array" ref="Q8">INDEX('流量データ'!$C8:$M8,MATCH($G8,'流量データ'!$C$2:$M$2,1))</f>
        <v>3.85</v>
      </c>
      <c r="R8" s="72" t="str">
        <f t="array" ref="R8">INDEX('流量データ'!$C8:$M8,MATCH($G8,'流量データ'!$C$2:$M$2,1)+1)</f>
        <v/>
      </c>
    </row>
    <row r="9" ht="13.5" customHeight="1">
      <c r="A9" s="61" t="s">
        <v>73</v>
      </c>
      <c r="B9" s="63" t="s">
        <v>70</v>
      </c>
      <c r="C9" s="65">
        <v>1129.0</v>
      </c>
      <c r="D9" s="71">
        <f t="shared" si="1"/>
        <v>6.833398761</v>
      </c>
      <c r="E9" s="69">
        <f>'電圧データ'!$D9/'電圧データ'!$C9*$C9</f>
        <v>53.47354545</v>
      </c>
      <c r="F9" s="69">
        <f t="shared" si="2"/>
        <v>60.37163282</v>
      </c>
      <c r="G9" s="70">
        <v>5.5</v>
      </c>
      <c r="H9" s="69">
        <f t="shared" si="3"/>
        <v>69</v>
      </c>
      <c r="I9" s="75">
        <f t="shared" si="4"/>
        <v>12.54260471</v>
      </c>
      <c r="J9" s="78">
        <v>0.5</v>
      </c>
      <c r="K9" s="79">
        <f t="array" ref="K9">INDEX('磁場データ'!$C$2:$AB$2,MATCH(ABS($C9),'磁場データ'!$C$2:$AB$2,1))</f>
        <v>1100</v>
      </c>
      <c r="L9" s="69">
        <f t="array" ref="L9">INDEX('磁場データ'!$C$2:$AB$2,MATCH(ABS($C9),'磁場データ'!$C$2:$AB$2,1)+1)</f>
        <v>1200</v>
      </c>
      <c r="M9" s="69">
        <f t="array" ref="M9">INDEX('磁場データ'!$C9:$AB9,MATCH(ABS($C9),'磁場データ'!$C$2:$AB$2,1))</f>
        <v>3329.046505</v>
      </c>
      <c r="N9" s="69">
        <f t="array" ref="N9">INDEX('磁場データ'!$C9:$AB9,MATCH(ABS($C9),'磁場データ'!$C$2:$AB$2,1)+1)</f>
        <v>3631.2978</v>
      </c>
      <c r="O9" s="69">
        <f t="array" ref="O9">INDEX('流量データ'!$C$2:$M$2,MATCH($G9,'流量データ'!$C$2:$M$2,1))</f>
        <v>5</v>
      </c>
      <c r="P9" s="69">
        <f t="array" ref="P9">INDEX('流量データ'!$C$2:$M$2,MATCH($G9,'流量データ'!$C$2:$M$2,1)+1)</f>
        <v>6</v>
      </c>
      <c r="Q9" s="69">
        <f t="array" ref="Q9">INDEX('流量データ'!$C9:$M9,MATCH($G9,'流量データ'!$C$2:$M$2,1))</f>
        <v>65</v>
      </c>
      <c r="R9" s="72">
        <f t="array" ref="R9">INDEX('流量データ'!$C9:$M9,MATCH($G9,'流量データ'!$C$2:$M$2,1)+1)</f>
        <v>73</v>
      </c>
    </row>
    <row r="10" ht="13.5" customHeight="1">
      <c r="A10" s="61" t="s">
        <v>74</v>
      </c>
      <c r="B10" s="63" t="s">
        <v>75</v>
      </c>
      <c r="C10" s="65">
        <v>50.0</v>
      </c>
      <c r="D10" s="71">
        <f t="shared" si="1"/>
        <v>0.3479946351</v>
      </c>
      <c r="E10" s="69">
        <f>'電圧データ'!$D10/'電圧データ'!$C10*$C10</f>
        <v>1.51</v>
      </c>
      <c r="F10" s="69">
        <f t="shared" si="2"/>
        <v>0.0755</v>
      </c>
      <c r="G10" s="70">
        <v>5.5</v>
      </c>
      <c r="H10" s="69">
        <f t="shared" si="3"/>
        <v>6</v>
      </c>
      <c r="I10" s="75">
        <f t="shared" si="4"/>
        <v>0.1803846613</v>
      </c>
      <c r="J10" s="78">
        <v>0.25</v>
      </c>
      <c r="K10" s="79">
        <f t="array" ref="K10">INDEX('磁場データ'!$C$2:$AB$2,MATCH(ABS($C10),'磁場データ'!$C$2:$AB$2,1))</f>
        <v>0</v>
      </c>
      <c r="L10" s="69">
        <f t="array" ref="L10">INDEX('磁場データ'!$C$2:$AB$2,MATCH(ABS($C10),'磁場データ'!$C$2:$AB$2,1)+1)</f>
        <v>100</v>
      </c>
      <c r="M10" s="69">
        <f t="array" ref="M10">INDEX('磁場データ'!$C10:$AB10,MATCH(ABS($C10),'磁場データ'!$C$2:$AB$2,1))</f>
        <v>-1.943507858</v>
      </c>
      <c r="N10" s="69">
        <f t="array" ref="N10">INDEX('磁場データ'!$C10:$AB10,MATCH(ABS($C10),'磁場データ'!$C$2:$AB$2,1)+1)</f>
        <v>175.9408254</v>
      </c>
      <c r="O10" s="69">
        <f t="array" ref="O10">INDEX('流量データ'!$C$2:$M$2,MATCH($G10,'流量データ'!$C$2:$M$2,1))</f>
        <v>5</v>
      </c>
      <c r="P10" s="69">
        <f t="array" ref="P10">INDEX('流量データ'!$C$2:$M$2,MATCH($G10,'流量データ'!$C$2:$M$2,1)+1)</f>
        <v>6</v>
      </c>
      <c r="Q10" s="69">
        <f t="array" ref="Q10">INDEX('流量データ'!$C10:$M10,MATCH($G10,'流量データ'!$C$2:$M$2,1))</f>
        <v>12</v>
      </c>
      <c r="R10" s="72" t="str">
        <f t="array" ref="R10">INDEX('流量データ'!$C10:$M10,MATCH($G10,'流量データ'!$C$2:$M$2,1)+1)</f>
        <v/>
      </c>
    </row>
    <row r="11" ht="13.5" customHeight="1">
      <c r="A11" s="61" t="s">
        <v>76</v>
      </c>
      <c r="B11" s="63" t="s">
        <v>77</v>
      </c>
      <c r="C11" s="87">
        <v>348.0</v>
      </c>
      <c r="D11" s="71">
        <f t="shared" si="1"/>
        <v>1.63288</v>
      </c>
      <c r="E11" s="69">
        <f>'電圧データ'!$D11/'電圧データ'!$C11*$C11</f>
        <v>13.94876033</v>
      </c>
      <c r="F11" s="69">
        <f t="shared" si="2"/>
        <v>4.854168595</v>
      </c>
      <c r="G11" s="70">
        <v>5.5</v>
      </c>
      <c r="H11" s="69">
        <f t="shared" si="3"/>
        <v>20.5</v>
      </c>
      <c r="I11" s="75">
        <f t="shared" si="4"/>
        <v>3.394414698</v>
      </c>
      <c r="J11" s="78">
        <v>1.0</v>
      </c>
      <c r="K11" s="79">
        <f t="array" ref="K11">INDEX('磁場データ'!$C$2:$AB$2,MATCH(ABS($C11),'磁場データ'!$C$2:$AB$2,1))</f>
        <v>300</v>
      </c>
      <c r="L11" s="69">
        <f t="array" ref="L11">INDEX('磁場データ'!$C$2:$AB$2,MATCH(ABS($C11),'磁場データ'!$C$2:$AB$2,1)+1)</f>
        <v>400</v>
      </c>
      <c r="M11" s="69">
        <f t="array" ref="M11">INDEX('磁場データ'!$C11:$AB11,MATCH(ABS($C11),'磁場データ'!$C$2:$AB$2,1))</f>
        <v>1414</v>
      </c>
      <c r="N11" s="69">
        <f t="array" ref="N11">INDEX('磁場データ'!$C11:$AB11,MATCH(ABS($C11),'磁場データ'!$C$2:$AB$2,1)+1)</f>
        <v>1870</v>
      </c>
      <c r="O11" s="69">
        <f t="array" ref="O11">INDEX('流量データ'!$C$2:$M$2,MATCH($G11,'流量データ'!$C$2:$M$2,1))</f>
        <v>5</v>
      </c>
      <c r="P11" s="69">
        <f t="array" ref="P11">INDEX('流量データ'!$C$2:$M$2,MATCH($G11,'流量データ'!$C$2:$M$2,1)+1)</f>
        <v>6</v>
      </c>
      <c r="Q11" s="69">
        <f t="array" ref="Q11">INDEX('流量データ'!$C11:$M11,MATCH($G11,'流量データ'!$C$2:$M$2,1))</f>
        <v>19</v>
      </c>
      <c r="R11" s="72">
        <f t="array" ref="R11">INDEX('流量データ'!$C11:$M11,MATCH($G11,'流量データ'!$C$2:$M$2,1)+1)</f>
        <v>22</v>
      </c>
    </row>
    <row r="12" ht="13.5" customHeight="1">
      <c r="A12" s="61" t="s">
        <v>78</v>
      </c>
      <c r="B12" s="63" t="s">
        <v>77</v>
      </c>
      <c r="C12" s="87">
        <v>348.0</v>
      </c>
      <c r="D12" s="71">
        <f t="shared" si="1"/>
        <v>1.6304</v>
      </c>
      <c r="E12" s="69">
        <f>'電圧データ'!$D12/'電圧データ'!$C12*$C12</f>
        <v>13.92</v>
      </c>
      <c r="F12" s="69">
        <f t="shared" si="2"/>
        <v>4.84416</v>
      </c>
      <c r="G12" s="70">
        <v>10.0</v>
      </c>
      <c r="H12" s="69">
        <f t="shared" si="3"/>
        <v>30</v>
      </c>
      <c r="I12" s="75">
        <f t="shared" si="4"/>
        <v>2.314734201</v>
      </c>
      <c r="J12" s="78">
        <v>1.0</v>
      </c>
      <c r="K12" s="79">
        <f t="array" ref="K12">INDEX('磁場データ'!$C$2:$AB$2,MATCH(ABS($C12),'磁場データ'!$C$2:$AB$2,1))</f>
        <v>300</v>
      </c>
      <c r="L12" s="69">
        <f t="array" ref="L12">INDEX('磁場データ'!$C$2:$AB$2,MATCH(ABS($C12),'磁場データ'!$C$2:$AB$2,1)+1)</f>
        <v>400</v>
      </c>
      <c r="M12" s="69">
        <f t="array" ref="M12">INDEX('磁場データ'!$C12:$AB12,MATCH(ABS($C12),'磁場データ'!$C$2:$AB$2,1))</f>
        <v>1412</v>
      </c>
      <c r="N12" s="69">
        <f t="array" ref="N12">INDEX('磁場データ'!$C12:$AB12,MATCH(ABS($C12),'磁場データ'!$C$2:$AB$2,1)+1)</f>
        <v>1867</v>
      </c>
      <c r="O12" s="69">
        <f t="array" ref="O12">INDEX('流量データ'!$C$2:$M$2,MATCH($G12,'流量データ'!$C$2:$M$2,1))</f>
        <v>10</v>
      </c>
      <c r="P12" s="69">
        <f t="array" ref="P12">INDEX('流量データ'!$C$2:$M$2,MATCH($G12,'流量データ'!$C$2:$M$2,1)+1)</f>
        <v>11</v>
      </c>
      <c r="Q12" s="69">
        <f t="array" ref="Q12">INDEX('流量データ'!$C12:$M12,MATCH($G12,'流量データ'!$C$2:$M$2,1))</f>
        <v>30</v>
      </c>
      <c r="R12" s="72">
        <f t="array" ref="R12">INDEX('流量データ'!$C12:$M12,MATCH($G12,'流量データ'!$C$2:$M$2,1)+1)</f>
        <v>32</v>
      </c>
    </row>
    <row r="13" ht="13.5" customHeight="1">
      <c r="A13" s="61" t="s">
        <v>79</v>
      </c>
      <c r="B13" s="63" t="s">
        <v>75</v>
      </c>
      <c r="C13" s="65">
        <v>127.0</v>
      </c>
      <c r="D13" s="71">
        <f t="shared" si="1"/>
        <v>0.9513984754</v>
      </c>
      <c r="E13" s="69">
        <f>'電圧データ'!$D13/'電圧データ'!$C13*$C13</f>
        <v>4.064</v>
      </c>
      <c r="F13" s="69">
        <f t="shared" si="2"/>
        <v>0.516128</v>
      </c>
      <c r="G13" s="70">
        <v>10.0</v>
      </c>
      <c r="H13" s="69">
        <f t="shared" si="3"/>
        <v>15</v>
      </c>
      <c r="I13" s="75">
        <f t="shared" si="4"/>
        <v>0.4932533747</v>
      </c>
      <c r="J13" s="78">
        <v>0.25</v>
      </c>
      <c r="K13" s="79">
        <f t="array" ref="K13">INDEX('磁場データ'!$C$2:$AB$2,MATCH(ABS($C13),'磁場データ'!$C$2:$AB$2,1))</f>
        <v>100</v>
      </c>
      <c r="L13" s="69">
        <f t="array" ref="L13">INDEX('磁場データ'!$C$2:$AB$2,MATCH(ABS($C13),'磁場データ'!$C$2:$AB$2,1)+1)</f>
        <v>200</v>
      </c>
      <c r="M13" s="69">
        <f t="array" ref="M13">INDEX('磁場データ'!$C13:$AB13,MATCH(ABS($C13),'磁場データ'!$C$2:$AB$2,1))</f>
        <v>188.2548773</v>
      </c>
      <c r="N13" s="69">
        <f t="array" ref="N13">INDEX('磁場データ'!$C13:$AB13,MATCH(ABS($C13),'磁場データ'!$C$2:$AB$2,1)+1)</f>
        <v>371.9391052</v>
      </c>
      <c r="O13" s="69">
        <f t="array" ref="O13">INDEX('流量データ'!$C$2:$M$2,MATCH($G13,'流量データ'!$C$2:$M$2,1))</f>
        <v>10</v>
      </c>
      <c r="P13" s="69">
        <f t="array" ref="P13">INDEX('流量データ'!$C$2:$M$2,MATCH($G13,'流量データ'!$C$2:$M$2,1)+1)</f>
        <v>11</v>
      </c>
      <c r="Q13" s="69">
        <f t="array" ref="Q13">INDEX('流量データ'!$C13:$M13,MATCH($G13,'流量データ'!$C$2:$M$2,1))</f>
        <v>15</v>
      </c>
      <c r="R13" s="72">
        <f t="array" ref="R13">INDEX('流量データ'!$C13:$M13,MATCH($G13,'流量データ'!$C$2:$M$2,1)+1)</f>
        <v>16</v>
      </c>
    </row>
    <row r="14" ht="13.5" customHeight="1">
      <c r="A14" s="61" t="s">
        <v>80</v>
      </c>
      <c r="B14" s="63" t="s">
        <v>81</v>
      </c>
      <c r="C14" s="65">
        <v>710.0</v>
      </c>
      <c r="D14" s="71">
        <f t="shared" si="1"/>
        <v>6.004876607</v>
      </c>
      <c r="E14" s="69">
        <f>'電圧データ'!$D14/'電圧データ'!$C14*$C14</f>
        <v>39.10071429</v>
      </c>
      <c r="F14" s="69">
        <f t="shared" si="2"/>
        <v>27.76150714</v>
      </c>
      <c r="G14" s="70">
        <v>10.0</v>
      </c>
      <c r="H14" s="69">
        <f t="shared" si="3"/>
        <v>92</v>
      </c>
      <c r="I14" s="75">
        <f t="shared" si="4"/>
        <v>4.325727092</v>
      </c>
      <c r="J14" s="78">
        <v>0.5</v>
      </c>
      <c r="K14" s="79">
        <f t="array" ref="K14">INDEX('磁場データ'!$C$2:$AB$2,MATCH(ABS($C14),'磁場データ'!$C$2:$AB$2,1))</f>
        <v>700</v>
      </c>
      <c r="L14" s="69">
        <f t="array" ref="L14">INDEX('磁場データ'!$C$2:$AB$2,MATCH(ABS($C14),'磁場データ'!$C$2:$AB$2,1)+1)</f>
        <v>800</v>
      </c>
      <c r="M14" s="69">
        <f t="array" ref="M14">INDEX('磁場データ'!$C14:$AB14,MATCH(ABS($C14),'磁場データ'!$C$2:$AB$2,1))</f>
        <v>2960.510861</v>
      </c>
      <c r="N14" s="69">
        <f t="array" ref="N14">INDEX('磁場データ'!$C14:$AB14,MATCH(ABS($C14),'磁場データ'!$C$2:$AB$2,1)+1)</f>
        <v>3379.785285</v>
      </c>
      <c r="O14" s="69">
        <f t="array" ref="O14">INDEX('流量データ'!$C$2:$M$2,MATCH($G14,'流量データ'!$C$2:$M$2,1))</f>
        <v>10</v>
      </c>
      <c r="P14" s="69">
        <f t="array" ref="P14">INDEX('流量データ'!$C$2:$M$2,MATCH($G14,'流量データ'!$C$2:$M$2,1)+1)</f>
        <v>11</v>
      </c>
      <c r="Q14" s="69">
        <f t="array" ref="Q14">INDEX('流量データ'!$C14:$M14,MATCH($G14,'流量データ'!$C$2:$M$2,1))</f>
        <v>92</v>
      </c>
      <c r="R14" s="72" t="str">
        <f t="array" ref="R14">INDEX('流量データ'!$C14:$M14,MATCH($G14,'流量データ'!$C$2:$M$2,1)+1)</f>
        <v/>
      </c>
    </row>
    <row r="15" ht="13.5" customHeight="1">
      <c r="A15" s="61" t="s">
        <v>82</v>
      </c>
      <c r="B15" s="63" t="s">
        <v>83</v>
      </c>
      <c r="C15" s="65">
        <v>840.0</v>
      </c>
      <c r="D15" s="71">
        <f t="shared" si="1"/>
        <v>6.750814736</v>
      </c>
      <c r="E15" s="69">
        <f>'電圧データ'!$D15/'電圧データ'!$C15*$C15</f>
        <v>50.15294118</v>
      </c>
      <c r="F15" s="69">
        <f t="shared" si="2"/>
        <v>42.12847059</v>
      </c>
      <c r="G15" s="70">
        <v>10.0</v>
      </c>
      <c r="H15" s="69">
        <f t="shared" si="3"/>
        <v>103</v>
      </c>
      <c r="I15" s="75">
        <f t="shared" si="4"/>
        <v>5.863303465</v>
      </c>
      <c r="J15" s="78">
        <f>80/150</f>
        <v>0.5333333333</v>
      </c>
      <c r="K15" s="79">
        <f t="array" ref="K15">INDEX('磁場データ'!$C$2:$AB$2,MATCH(ABS($C15),'磁場データ'!$C$2:$AB$2,1))</f>
        <v>800</v>
      </c>
      <c r="L15" s="69">
        <f t="array" ref="L15">INDEX('磁場データ'!$C$2:$AB$2,MATCH(ABS($C15),'磁場データ'!$C$2:$AB$2,1)+1)</f>
        <v>900</v>
      </c>
      <c r="M15" s="69">
        <f t="array" ref="M15">INDEX('磁場データ'!$C15:$AB15,MATCH(ABS($C15),'磁場データ'!$C$2:$AB$2,1))</f>
        <v>3431.050022</v>
      </c>
      <c r="N15" s="69">
        <f t="array" ref="N15">INDEX('磁場データ'!$C15:$AB15,MATCH(ABS($C15),'磁場データ'!$C$2:$AB$2,1)+1)</f>
        <v>3854.511281</v>
      </c>
      <c r="O15" s="69">
        <f t="array" ref="O15">INDEX('流量データ'!$C$2:$M$2,MATCH($G15,'流量データ'!$C$2:$M$2,1))</f>
        <v>10</v>
      </c>
      <c r="P15" s="69">
        <f t="array" ref="P15">INDEX('流量データ'!$C$2:$M$2,MATCH($G15,'流量データ'!$C$2:$M$2,1)+1)</f>
        <v>11</v>
      </c>
      <c r="Q15" s="69">
        <f t="array" ref="Q15">INDEX('流量データ'!$C15:$M15,MATCH($G15,'流量データ'!$C$2:$M$2,1))</f>
        <v>103</v>
      </c>
      <c r="R15" s="72">
        <f t="array" ref="R15">INDEX('流量データ'!$C15:$M15,MATCH($G15,'流量データ'!$C$2:$M$2,1)+1)</f>
        <v>108</v>
      </c>
    </row>
    <row r="16" ht="14.25" customHeight="1">
      <c r="A16" s="89" t="s">
        <v>84</v>
      </c>
      <c r="B16" s="90" t="s">
        <v>85</v>
      </c>
      <c r="C16" s="91">
        <v>378.0</v>
      </c>
      <c r="D16" s="92">
        <f t="shared" si="1"/>
        <v>12.53064258</v>
      </c>
      <c r="E16" s="93">
        <f>'電圧データ'!$D16/'電圧データ'!$C16*$C16</f>
        <v>99.5652</v>
      </c>
      <c r="F16" s="93">
        <f t="shared" si="2"/>
        <v>37.6356456</v>
      </c>
      <c r="G16" s="94">
        <v>10.0</v>
      </c>
      <c r="H16" s="93">
        <f t="shared" si="3"/>
        <v>103</v>
      </c>
      <c r="I16" s="95">
        <f t="shared" si="4"/>
        <v>5.238006701</v>
      </c>
      <c r="J16" s="96">
        <v>1.0</v>
      </c>
      <c r="K16" s="98">
        <f t="array" ref="K16">INDEX('磁場データ'!$C$2:$AB$2,MATCH(ABS($C16),'磁場データ'!$C$2:$AB$2,1))</f>
        <v>300</v>
      </c>
      <c r="L16" s="93">
        <f t="array" ref="L16">INDEX('磁場データ'!$C$2:$AB$2,MATCH(ABS($C16),'磁場データ'!$C$2:$AB$2,1)+1)</f>
        <v>400</v>
      </c>
      <c r="M16" s="93">
        <f t="array" ref="M16">INDEX('磁場データ'!$C16:$AB16,MATCH(ABS($C16),'磁場データ'!$C$2:$AB$2,1))</f>
        <v>10063.05133</v>
      </c>
      <c r="N16" s="93">
        <f t="array" ref="N16">INDEX('磁場データ'!$C16:$AB16,MATCH(ABS($C16),'磁場データ'!$C$2:$AB$2,1)+1)</f>
        <v>13226.62985</v>
      </c>
      <c r="O16" s="93">
        <f t="array" ref="O16">INDEX('流量データ'!$C$2:$M$2,MATCH($G16,'流量データ'!$C$2:$M$2,1))</f>
        <v>10</v>
      </c>
      <c r="P16" s="93">
        <f t="array" ref="P16">INDEX('流量データ'!$C$2:$M$2,MATCH($G16,'流量データ'!$C$2:$M$2,1)+1)</f>
        <v>11</v>
      </c>
      <c r="Q16" s="93">
        <f t="array" ref="Q16">INDEX('流量データ'!$C16:$M16,MATCH($G16,'流量データ'!$C$2:$M$2,1))</f>
        <v>103</v>
      </c>
      <c r="R16" s="103">
        <f t="array" ref="R16">INDEX('流量データ'!$C16:$M16,MATCH($G16,'流量データ'!$C$2:$M$2,1)+1)</f>
        <v>108</v>
      </c>
    </row>
    <row r="17" ht="13.5" customHeight="1">
      <c r="A17" s="40" t="s">
        <v>86</v>
      </c>
      <c r="B17" s="42" t="s">
        <v>87</v>
      </c>
      <c r="C17" s="44">
        <v>643.0</v>
      </c>
      <c r="D17" s="49">
        <f t="shared" si="1"/>
        <v>3.7603918</v>
      </c>
      <c r="E17" s="51">
        <f>'電圧データ'!$D17/'電圧データ'!$C17*$C17</f>
        <v>9.16275</v>
      </c>
      <c r="F17" s="51">
        <f t="shared" si="2"/>
        <v>5.89164825</v>
      </c>
      <c r="G17" s="53">
        <v>10.0</v>
      </c>
      <c r="H17" s="51">
        <f t="shared" si="3"/>
        <v>75</v>
      </c>
      <c r="I17" s="55">
        <f t="shared" si="4"/>
        <v>1.126106463</v>
      </c>
      <c r="J17" s="57">
        <v>0.5</v>
      </c>
      <c r="K17" s="59">
        <f t="array" ref="K17">INDEX('磁場データ'!$C$2:$AB$2,MATCH(ABS($C17),'磁場データ'!$C$2:$AB$2,1))</f>
        <v>600</v>
      </c>
      <c r="L17" s="51">
        <f t="array" ref="L17">INDEX('磁場データ'!$C$2:$AB$2,MATCH(ABS($C17),'磁場データ'!$C$2:$AB$2,1)+1)</f>
        <v>700</v>
      </c>
      <c r="M17" s="51">
        <f t="array" ref="M17">INDEX('磁場データ'!$C17:$AB17,MATCH(ABS($C17),'磁場データ'!$C$2:$AB$2,1))</f>
        <v>1758.45</v>
      </c>
      <c r="N17" s="51">
        <f t="array" ref="N17">INDEX('磁場データ'!$C17:$AB17,MATCH(ABS($C17),'磁場データ'!$C$2:$AB$2,1)+1)</f>
        <v>2041.58</v>
      </c>
      <c r="O17" s="51">
        <f t="array" ref="O17">INDEX('流量データ'!$C$2:$M$2,MATCH($G17,'流量データ'!$C$2:$M$2,1))</f>
        <v>10</v>
      </c>
      <c r="P17" s="51">
        <f t="array" ref="P17">INDEX('流量データ'!$C$2:$M$2,MATCH($G17,'流量データ'!$C$2:$M$2,1)+1)</f>
        <v>11</v>
      </c>
      <c r="Q17" s="51">
        <f t="array" ref="Q17">INDEX('流量データ'!$C17:$M17,MATCH($G17,'流量データ'!$C$2:$M$2,1))</f>
        <v>75</v>
      </c>
      <c r="R17" s="64">
        <f t="array" ref="R17">INDEX('流量データ'!$C17:$M17,MATCH($G17,'流量データ'!$C$2:$M$2,1)+1)</f>
        <v>83</v>
      </c>
    </row>
    <row r="18" ht="13.5" customHeight="1">
      <c r="A18" s="61" t="s">
        <v>88</v>
      </c>
      <c r="B18" s="63" t="s">
        <v>89</v>
      </c>
      <c r="C18" s="65">
        <v>33.0</v>
      </c>
      <c r="D18" s="71">
        <f t="shared" si="1"/>
        <v>0.29438</v>
      </c>
      <c r="E18" s="69">
        <f>'電圧データ'!$D18/'電圧データ'!$C18*$C18</f>
        <v>1.7226</v>
      </c>
      <c r="F18" s="69">
        <f t="shared" si="2"/>
        <v>0.0568458</v>
      </c>
      <c r="G18" s="70">
        <v>10.0</v>
      </c>
      <c r="H18" s="69">
        <f t="shared" si="3"/>
        <v>10.5</v>
      </c>
      <c r="I18" s="75">
        <f t="shared" si="4"/>
        <v>0.07760916088</v>
      </c>
      <c r="J18" s="78">
        <v>0.125</v>
      </c>
      <c r="K18" s="79">
        <f t="array" ref="K18">INDEX('磁場データ'!$C$2:$AB$2,MATCH(ABS($C18),'磁場データ'!$C$2:$AB$2,1))</f>
        <v>0</v>
      </c>
      <c r="L18" s="69">
        <f t="array" ref="L18">INDEX('磁場データ'!$C$2:$AB$2,MATCH(ABS($C18),'磁場データ'!$C$2:$AB$2,1)+1)</f>
        <v>100</v>
      </c>
      <c r="M18" s="69">
        <f t="array" ref="M18">INDEX('磁場データ'!$C18:$AB18,MATCH(ABS($C18),'磁場データ'!$C$2:$AB$2,1))</f>
        <v>0.25</v>
      </c>
      <c r="N18" s="69">
        <f t="array" ref="N18">INDEX('磁場データ'!$C18:$AB18,MATCH(ABS($C18),'磁場データ'!$C$2:$AB$2,1)+1)</f>
        <v>111</v>
      </c>
      <c r="O18" s="69">
        <f t="array" ref="O18">INDEX('流量データ'!$C$2:$M$2,MATCH($G18,'流量データ'!$C$2:$M$2,1))</f>
        <v>10</v>
      </c>
      <c r="P18" s="69">
        <f t="array" ref="P18">INDEX('流量データ'!$C$2:$M$2,MATCH($G18,'流量データ'!$C$2:$M$2,1)+1)</f>
        <v>11</v>
      </c>
      <c r="Q18" s="69">
        <f t="array" ref="Q18">INDEX('流量データ'!$C18:$M18,MATCH($G18,'流量データ'!$C$2:$M$2,1))</f>
        <v>10.5</v>
      </c>
      <c r="R18" s="72" t="str">
        <f t="array" ref="R18">INDEX('流量データ'!$C18:$M18,MATCH($G18,'流量データ'!$C$2:$M$2,1)+1)</f>
        <v/>
      </c>
    </row>
    <row r="19" ht="13.5" customHeight="1">
      <c r="A19" s="61" t="s">
        <v>90</v>
      </c>
      <c r="B19" s="63" t="s">
        <v>91</v>
      </c>
      <c r="C19" s="65">
        <v>129.0</v>
      </c>
      <c r="D19" s="71">
        <f t="shared" si="1"/>
        <v>0.87836</v>
      </c>
      <c r="E19" s="69">
        <f>'電圧データ'!$D19/'電圧データ'!$C19*$C19</f>
        <v>4.443333333</v>
      </c>
      <c r="F19" s="69">
        <f t="shared" si="2"/>
        <v>0.57319</v>
      </c>
      <c r="G19" s="70">
        <v>10.0</v>
      </c>
      <c r="H19" s="69">
        <f t="shared" si="3"/>
        <v>19.6</v>
      </c>
      <c r="I19" s="75">
        <f t="shared" si="4"/>
        <v>0.4192242899</v>
      </c>
      <c r="J19" s="78">
        <v>0.25</v>
      </c>
      <c r="K19" s="79">
        <f t="array" ref="K19">INDEX('磁場データ'!$C$2:$AB$2,MATCH(ABS($C19),'磁場データ'!$C$2:$AB$2,1))</f>
        <v>100</v>
      </c>
      <c r="L19" s="69">
        <f t="array" ref="L19">INDEX('磁場データ'!$C$2:$AB$2,MATCH(ABS($C19),'磁場データ'!$C$2:$AB$2,1)+1)</f>
        <v>200</v>
      </c>
      <c r="M19" s="69">
        <f t="array" ref="M19">INDEX('磁場データ'!$C19:$AB19,MATCH(ABS($C19),'磁場データ'!$C$2:$AB$2,1))</f>
        <v>170</v>
      </c>
      <c r="N19" s="69">
        <f t="array" ref="N19">INDEX('磁場データ'!$C19:$AB19,MATCH(ABS($C19),'磁場データ'!$C$2:$AB$2,1)+1)</f>
        <v>341</v>
      </c>
      <c r="O19" s="69">
        <f t="array" ref="O19">INDEX('流量データ'!$C$2:$M$2,MATCH($G19,'流量データ'!$C$2:$M$2,1))</f>
        <v>10</v>
      </c>
      <c r="P19" s="69">
        <f t="array" ref="P19">INDEX('流量データ'!$C$2:$M$2,MATCH($G19,'流量データ'!$C$2:$M$2,1)+1)</f>
        <v>11</v>
      </c>
      <c r="Q19" s="69">
        <f t="array" ref="Q19">INDEX('流量データ'!$C19:$M19,MATCH($G19,'流量データ'!$C$2:$M$2,1))</f>
        <v>19.6</v>
      </c>
      <c r="R19" s="72" t="str">
        <f t="array" ref="R19">INDEX('流量データ'!$C19:$M19,MATCH($G19,'流量データ'!$C$2:$M$2,1)+1)</f>
        <v/>
      </c>
    </row>
    <row r="20" ht="13.5" customHeight="1">
      <c r="A20" s="61" t="s">
        <v>92</v>
      </c>
      <c r="B20" s="63" t="s">
        <v>77</v>
      </c>
      <c r="C20" s="65">
        <v>306.0</v>
      </c>
      <c r="D20" s="71">
        <f t="shared" si="1"/>
        <v>1.44136</v>
      </c>
      <c r="E20" s="69">
        <f>'電圧データ'!$D20/'電圧データ'!$C20*$C20</f>
        <v>11.8353719</v>
      </c>
      <c r="F20" s="69">
        <f t="shared" si="2"/>
        <v>3.621623802</v>
      </c>
      <c r="G20" s="70">
        <v>10.0</v>
      </c>
      <c r="H20" s="69">
        <f t="shared" si="3"/>
        <v>32.8</v>
      </c>
      <c r="I20" s="75">
        <f t="shared" si="4"/>
        <v>1.582826804</v>
      </c>
      <c r="J20" s="78">
        <v>1.0</v>
      </c>
      <c r="K20" s="79">
        <f t="array" ref="K20">INDEX('磁場データ'!$C$2:$AB$2,MATCH(ABS($C20),'磁場データ'!$C$2:$AB$2,1))</f>
        <v>300</v>
      </c>
      <c r="L20" s="69">
        <f t="array" ref="L20">INDEX('磁場データ'!$C$2:$AB$2,MATCH(ABS($C20),'磁場データ'!$C$2:$AB$2,1)+1)</f>
        <v>400</v>
      </c>
      <c r="M20" s="69">
        <f t="array" ref="M20">INDEX('磁場データ'!$C20:$AB20,MATCH(ABS($C20),'磁場データ'!$C$2:$AB$2,1))</f>
        <v>1414</v>
      </c>
      <c r="N20" s="69">
        <f t="array" ref="N20">INDEX('磁場データ'!$C20:$AB20,MATCH(ABS($C20),'磁場データ'!$C$2:$AB$2,1)+1)</f>
        <v>1870</v>
      </c>
      <c r="O20" s="69">
        <f t="array" ref="O20">INDEX('流量データ'!$C$2:$M$2,MATCH($G20,'流量データ'!$C$2:$M$2,1))</f>
        <v>10</v>
      </c>
      <c r="P20" s="69">
        <f t="array" ref="P20">INDEX('流量データ'!$C$2:$M$2,MATCH($G20,'流量データ'!$C$2:$M$2,1)+1)</f>
        <v>11</v>
      </c>
      <c r="Q20" s="69">
        <f t="array" ref="Q20">INDEX('流量データ'!$C20:$M20,MATCH($G20,'流量データ'!$C$2:$M$2,1))</f>
        <v>32.8</v>
      </c>
      <c r="R20" s="72" t="str">
        <f t="array" ref="R20">INDEX('流量データ'!$C20:$M20,MATCH($G20,'流量データ'!$C$2:$M$2,1)+1)</f>
        <v/>
      </c>
    </row>
    <row r="21" ht="13.5" customHeight="1">
      <c r="A21" s="61" t="s">
        <v>93</v>
      </c>
      <c r="B21" s="63" t="s">
        <v>77</v>
      </c>
      <c r="C21" s="65">
        <v>306.0</v>
      </c>
      <c r="D21" s="71">
        <f t="shared" si="1"/>
        <v>1.44136</v>
      </c>
      <c r="E21" s="69">
        <f>'電圧データ'!$D21/'電圧データ'!$C21*$C21</f>
        <v>11.91123967</v>
      </c>
      <c r="F21" s="69">
        <f t="shared" si="2"/>
        <v>3.644839339</v>
      </c>
      <c r="G21" s="70">
        <v>10.0</v>
      </c>
      <c r="H21" s="69">
        <f t="shared" si="3"/>
        <v>33.6</v>
      </c>
      <c r="I21" s="75">
        <f t="shared" si="4"/>
        <v>1.555045198</v>
      </c>
      <c r="J21" s="78">
        <v>1.0</v>
      </c>
      <c r="K21" s="79">
        <f t="array" ref="K21">INDEX('磁場データ'!$C$2:$AB$2,MATCH(ABS($C21),'磁場データ'!$C$2:$AB$2,1))</f>
        <v>300</v>
      </c>
      <c r="L21" s="69">
        <f t="array" ref="L21">INDEX('磁場データ'!$C$2:$AB$2,MATCH(ABS($C21),'磁場データ'!$C$2:$AB$2,1)+1)</f>
        <v>400</v>
      </c>
      <c r="M21" s="69">
        <f t="array" ref="M21">INDEX('磁場データ'!$C21:$AB21,MATCH(ABS($C21),'磁場データ'!$C$2:$AB$2,1))</f>
        <v>1414</v>
      </c>
      <c r="N21" s="69">
        <f t="array" ref="N21">INDEX('磁場データ'!$C21:$AB21,MATCH(ABS($C21),'磁場データ'!$C$2:$AB$2,1)+1)</f>
        <v>1870</v>
      </c>
      <c r="O21" s="69">
        <f t="array" ref="O21">INDEX('流量データ'!$C$2:$M$2,MATCH($G21,'流量データ'!$C$2:$M$2,1))</f>
        <v>10</v>
      </c>
      <c r="P21" s="69">
        <f t="array" ref="P21">INDEX('流量データ'!$C$2:$M$2,MATCH($G21,'流量データ'!$C$2:$M$2,1)+1)</f>
        <v>11</v>
      </c>
      <c r="Q21" s="69">
        <f t="array" ref="Q21">INDEX('流量データ'!$C21:$M21,MATCH($G21,'流量データ'!$C$2:$M$2,1))</f>
        <v>33.6</v>
      </c>
      <c r="R21" s="72" t="str">
        <f t="array" ref="R21">INDEX('流量データ'!$C21:$M21,MATCH($G21,'流量データ'!$C$2:$M$2,1)+1)</f>
        <v/>
      </c>
    </row>
    <row r="22" ht="13.5" customHeight="1">
      <c r="A22" s="61" t="s">
        <v>98</v>
      </c>
      <c r="B22" s="63" t="s">
        <v>91</v>
      </c>
      <c r="C22" s="65">
        <v>29.0</v>
      </c>
      <c r="D22" s="71">
        <f t="shared" si="1"/>
        <v>0.2012</v>
      </c>
      <c r="E22" s="69">
        <f>'電圧データ'!$D22/'電圧データ'!$C22*$C22</f>
        <v>0.9988888889</v>
      </c>
      <c r="F22" s="69">
        <f t="shared" si="2"/>
        <v>0.02896777778</v>
      </c>
      <c r="G22" s="70">
        <v>10.0</v>
      </c>
      <c r="H22" s="69">
        <f t="shared" si="3"/>
        <v>19.6</v>
      </c>
      <c r="I22" s="75">
        <f t="shared" si="4"/>
        <v>0.02118668516</v>
      </c>
      <c r="J22" s="78">
        <v>0.25</v>
      </c>
      <c r="K22" s="79">
        <f t="array" ref="K22">INDEX('磁場データ'!$C$2:$AB$2,MATCH(ABS($C22),'磁場データ'!$C$2:$AB$2,1))</f>
        <v>0</v>
      </c>
      <c r="L22" s="69">
        <f t="array" ref="L22">INDEX('磁場データ'!$C$2:$AB$2,MATCH(ABS($C22),'磁場データ'!$C$2:$AB$2,1)+1)</f>
        <v>100</v>
      </c>
      <c r="M22" s="69">
        <f t="array" ref="M22">INDEX('磁場データ'!$C22:$AB22,MATCH(ABS($C22),'磁場データ'!$C$2:$AB$2,1))</f>
        <v>1</v>
      </c>
      <c r="N22" s="69">
        <f t="array" ref="N22">INDEX('磁場データ'!$C22:$AB22,MATCH(ABS($C22),'磁場データ'!$C$2:$AB$2,1)+1)</f>
        <v>171</v>
      </c>
      <c r="O22" s="69">
        <f t="array" ref="O22">INDEX('流量データ'!$C$2:$M$2,MATCH($G22,'流量データ'!$C$2:$M$2,1))</f>
        <v>10</v>
      </c>
      <c r="P22" s="69">
        <f t="array" ref="P22">INDEX('流量データ'!$C$2:$M$2,MATCH($G22,'流量データ'!$C$2:$M$2,1)+1)</f>
        <v>11</v>
      </c>
      <c r="Q22" s="69">
        <f t="array" ref="Q22">INDEX('流量データ'!$C22:$M22,MATCH($G22,'流量データ'!$C$2:$M$2,1))</f>
        <v>19.6</v>
      </c>
      <c r="R22" s="72" t="str">
        <f t="array" ref="R22">INDEX('流量データ'!$C22:$M22,MATCH($G22,'流量データ'!$C$2:$M$2,1)+1)</f>
        <v/>
      </c>
    </row>
    <row r="23" ht="13.5" customHeight="1">
      <c r="A23" s="61" t="s">
        <v>99</v>
      </c>
      <c r="B23" s="63" t="s">
        <v>100</v>
      </c>
      <c r="C23" s="65">
        <v>882.0</v>
      </c>
      <c r="D23" s="71">
        <f t="shared" si="1"/>
        <v>6.6320052</v>
      </c>
      <c r="E23" s="69">
        <f>'電圧データ'!$D23/'電圧データ'!$C23*$C23</f>
        <v>30.6936</v>
      </c>
      <c r="F23" s="69">
        <f t="shared" si="2"/>
        <v>27.0717552</v>
      </c>
      <c r="G23" s="70">
        <v>10.0</v>
      </c>
      <c r="H23" s="69">
        <f t="shared" si="3"/>
        <v>158</v>
      </c>
      <c r="I23" s="75">
        <f t="shared" si="4"/>
        <v>2.456197197</v>
      </c>
      <c r="J23" s="78">
        <v>0.5</v>
      </c>
      <c r="K23" s="79">
        <f t="array" ref="K23">INDEX('磁場データ'!$C$2:$AB$2,MATCH(ABS($C23),'磁場データ'!$C$2:$AB$2,1))</f>
        <v>800</v>
      </c>
      <c r="L23" s="69">
        <f t="array" ref="L23">INDEX('磁場データ'!$C$2:$AB$2,MATCH(ABS($C23),'磁場データ'!$C$2:$AB$2,1)+1)</f>
        <v>900</v>
      </c>
      <c r="M23" s="69">
        <f t="array" ref="M23">INDEX('磁場データ'!$C23:$AB23,MATCH(ABS($C23),'磁場データ'!$C$2:$AB$2,1))</f>
        <v>3005.28</v>
      </c>
      <c r="N23" s="69">
        <f t="array" ref="N23">INDEX('磁場データ'!$C23:$AB23,MATCH(ABS($C23),'磁場データ'!$C$2:$AB$2,1)+1)</f>
        <v>3384.21</v>
      </c>
      <c r="O23" s="69">
        <f t="array" ref="O23">INDEX('流量データ'!$C$2:$M$2,MATCH($G23,'流量データ'!$C$2:$M$2,1))</f>
        <v>10</v>
      </c>
      <c r="P23" s="69">
        <f t="array" ref="P23">INDEX('流量データ'!$C$2:$M$2,MATCH($G23,'流量データ'!$C$2:$M$2,1)+1)</f>
        <v>11</v>
      </c>
      <c r="Q23" s="69">
        <f t="array" ref="Q23">INDEX('流量データ'!$C23:$M23,MATCH($G23,'流量データ'!$C$2:$M$2,1))</f>
        <v>158</v>
      </c>
      <c r="R23" s="72" t="str">
        <f t="array" ref="R23">INDEX('流量データ'!$C23:$M23,MATCH($G23,'流量データ'!$C$2:$M$2,1)+1)</f>
        <v/>
      </c>
    </row>
    <row r="24" ht="13.5" customHeight="1">
      <c r="A24" s="61" t="s">
        <v>101</v>
      </c>
      <c r="B24" s="63" t="s">
        <v>89</v>
      </c>
      <c r="C24" s="65">
        <v>80.0</v>
      </c>
      <c r="D24" s="71">
        <f t="shared" si="1"/>
        <v>0.71</v>
      </c>
      <c r="E24" s="69">
        <f>'電圧データ'!$D24/'電圧データ'!$C24*$C24</f>
        <v>4.16</v>
      </c>
      <c r="F24" s="69">
        <f t="shared" si="2"/>
        <v>0.3328</v>
      </c>
      <c r="G24" s="70">
        <v>10.0</v>
      </c>
      <c r="H24" s="69">
        <f t="shared" si="3"/>
        <v>10.5</v>
      </c>
      <c r="I24" s="75">
        <f t="shared" si="4"/>
        <v>0.4543577316</v>
      </c>
      <c r="J24" s="78">
        <v>0.125</v>
      </c>
      <c r="K24" s="79">
        <f t="array" ref="K24">INDEX('磁場データ'!$C$2:$AB$2,MATCH(ABS($C24),'磁場データ'!$C$2:$AB$2,1))</f>
        <v>0</v>
      </c>
      <c r="L24" s="69">
        <f t="array" ref="L24">INDEX('磁場データ'!$C$2:$AB$2,MATCH(ABS($C24),'磁場データ'!$C$2:$AB$2,1)+1)</f>
        <v>100</v>
      </c>
      <c r="M24" s="69">
        <f t="array" ref="M24">INDEX('磁場データ'!$C24:$AB24,MATCH(ABS($C24),'磁場データ'!$C$2:$AB$2,1))</f>
        <v>0.25</v>
      </c>
      <c r="N24" s="69">
        <f t="array" ref="N24">INDEX('磁場データ'!$C24:$AB24,MATCH(ABS($C24),'磁場データ'!$C$2:$AB$2,1)+1)</f>
        <v>110.875</v>
      </c>
      <c r="O24" s="69">
        <f t="array" ref="O24">INDEX('流量データ'!$C$2:$M$2,MATCH($G24,'流量データ'!$C$2:$M$2,1))</f>
        <v>10</v>
      </c>
      <c r="P24" s="69">
        <f t="array" ref="P24">INDEX('流量データ'!$C$2:$M$2,MATCH($G24,'流量データ'!$C$2:$M$2,1)+1)</f>
        <v>11</v>
      </c>
      <c r="Q24" s="69">
        <f t="array" ref="Q24">INDEX('流量データ'!$C24:$M24,MATCH($G24,'流量データ'!$C$2:$M$2,1))</f>
        <v>10.5</v>
      </c>
      <c r="R24" s="72" t="str">
        <f t="array" ref="R24">INDEX('流量データ'!$C24:$M24,MATCH($G24,'流量データ'!$C$2:$M$2,1)+1)</f>
        <v/>
      </c>
    </row>
    <row r="25" ht="13.5" customHeight="1">
      <c r="A25" s="61" t="s">
        <v>102</v>
      </c>
      <c r="B25" s="63" t="s">
        <v>103</v>
      </c>
      <c r="C25" s="65">
        <v>1095.0</v>
      </c>
      <c r="D25" s="71">
        <f t="shared" si="1"/>
        <v>8.234588</v>
      </c>
      <c r="E25" s="69">
        <f>'電圧データ'!$D25/'電圧データ'!$C25*$C25</f>
        <v>56.94</v>
      </c>
      <c r="F25" s="69">
        <f t="shared" si="2"/>
        <v>62.3493</v>
      </c>
      <c r="G25" s="70">
        <v>10.0</v>
      </c>
      <c r="H25" s="69">
        <f t="shared" si="3"/>
        <v>128</v>
      </c>
      <c r="I25" s="75">
        <f t="shared" si="4"/>
        <v>6.982734291</v>
      </c>
      <c r="J25" s="78">
        <v>0.5</v>
      </c>
      <c r="K25" s="79">
        <f t="array" ref="K25">INDEX('磁場データ'!$C$2:$AB$2,MATCH(ABS($C25),'磁場データ'!$C$2:$AB$2,1))</f>
        <v>1000</v>
      </c>
      <c r="L25" s="69">
        <f t="array" ref="L25">INDEX('磁場データ'!$C$2:$AB$2,MATCH(ABS($C25),'磁場データ'!$C$2:$AB$2,1)+1)</f>
        <v>1100</v>
      </c>
      <c r="M25" s="69">
        <f t="array" ref="M25">INDEX('磁場データ'!$C25:$AB25,MATCH(ABS($C25),'磁場データ'!$C$2:$AB$2,1))</f>
        <v>3757.32</v>
      </c>
      <c r="N25" s="69">
        <f t="array" ref="N25">INDEX('磁場データ'!$C25:$AB25,MATCH(ABS($C25),'磁場データ'!$C$2:$AB$2,1)+1)</f>
        <v>4136.24</v>
      </c>
      <c r="O25" s="69">
        <f t="array" ref="O25">INDEX('流量データ'!$C$2:$M$2,MATCH($G25,'流量データ'!$C$2:$M$2,1))</f>
        <v>10</v>
      </c>
      <c r="P25" s="69">
        <f t="array" ref="P25">INDEX('流量データ'!$C$2:$M$2,MATCH($G25,'流量データ'!$C$2:$M$2,1)+1)</f>
        <v>11</v>
      </c>
      <c r="Q25" s="69">
        <f t="array" ref="Q25">INDEX('流量データ'!$C25:$M25,MATCH($G25,'流量データ'!$C$2:$M$2,1))</f>
        <v>128</v>
      </c>
      <c r="R25" s="72">
        <f t="array" ref="R25">INDEX('流量データ'!$C25:$M25,MATCH($G25,'流量データ'!$C$2:$M$2,1)+1)</f>
        <v>136</v>
      </c>
    </row>
    <row r="26" ht="13.5" customHeight="1">
      <c r="A26" s="61" t="s">
        <v>104</v>
      </c>
      <c r="B26" s="63" t="s">
        <v>105</v>
      </c>
      <c r="C26" s="65">
        <v>1075.0</v>
      </c>
      <c r="D26" s="71">
        <f t="shared" si="1"/>
        <v>8.01383</v>
      </c>
      <c r="E26" s="69">
        <f>'電圧データ'!$D26/'電圧データ'!$C26*$C26</f>
        <v>36.4425</v>
      </c>
      <c r="F26" s="69">
        <f t="shared" si="2"/>
        <v>39.1756875</v>
      </c>
      <c r="G26" s="70">
        <v>10.0</v>
      </c>
      <c r="H26" s="69">
        <f t="shared" si="3"/>
        <v>162</v>
      </c>
      <c r="I26" s="75">
        <f t="shared" si="4"/>
        <v>3.466614237</v>
      </c>
      <c r="J26" s="78">
        <v>0.5</v>
      </c>
      <c r="K26" s="79">
        <f t="array" ref="K26">INDEX('磁場データ'!$C$2:$AB$2,MATCH(ABS($C26),'磁場データ'!$C$2:$AB$2,1))</f>
        <v>1000</v>
      </c>
      <c r="L26" s="69">
        <f t="array" ref="L26">INDEX('磁場データ'!$C$2:$AB$2,MATCH(ABS($C26),'磁場データ'!$C$2:$AB$2,1)+1)</f>
        <v>1100</v>
      </c>
      <c r="M26" s="69">
        <f t="array" ref="M26">INDEX('磁場データ'!$C26:$AB26,MATCH(ABS($C26),'磁場データ'!$C$2:$AB$2,1))</f>
        <v>3733.06</v>
      </c>
      <c r="N26" s="69">
        <f t="array" ref="N26">INDEX('磁場データ'!$C26:$AB26,MATCH(ABS($C26),'磁場データ'!$C$2:$AB$2,1)+1)</f>
        <v>4098.2</v>
      </c>
      <c r="O26" s="69">
        <f t="array" ref="O26">INDEX('流量データ'!$C$2:$M$2,MATCH($G26,'流量データ'!$C$2:$M$2,1))</f>
        <v>10</v>
      </c>
      <c r="P26" s="69">
        <f t="array" ref="P26">INDEX('流量データ'!$C$2:$M$2,MATCH($G26,'流量データ'!$C$2:$M$2,1)+1)</f>
        <v>11</v>
      </c>
      <c r="Q26" s="69">
        <f t="array" ref="Q26">INDEX('流量データ'!$C26:$M26,MATCH($G26,'流量データ'!$C$2:$M$2,1))</f>
        <v>162</v>
      </c>
      <c r="R26" s="72">
        <f t="array" ref="R26">INDEX('流量データ'!$C26:$M26,MATCH($G26,'流量データ'!$C$2:$M$2,1)+1)</f>
        <v>170</v>
      </c>
    </row>
    <row r="27" ht="13.5" customHeight="1">
      <c r="A27" s="61" t="s">
        <v>106</v>
      </c>
      <c r="B27" s="63" t="s">
        <v>107</v>
      </c>
      <c r="C27" s="65">
        <v>846.0</v>
      </c>
      <c r="D27" s="71">
        <f t="shared" si="1"/>
        <v>6.2194864</v>
      </c>
      <c r="E27" s="69">
        <f>'電圧データ'!$D27/'電圧データ'!$C27*$C27</f>
        <v>22.9266</v>
      </c>
      <c r="F27" s="69">
        <f t="shared" si="2"/>
        <v>19.3959036</v>
      </c>
      <c r="G27" s="70">
        <v>10.0</v>
      </c>
      <c r="H27" s="69">
        <f t="shared" si="3"/>
        <v>63</v>
      </c>
      <c r="I27" s="75">
        <f t="shared" si="4"/>
        <v>4.413400823</v>
      </c>
      <c r="J27" s="78">
        <v>0.5</v>
      </c>
      <c r="K27" s="79">
        <f t="array" ref="K27">INDEX('磁場データ'!$C$2:$AB$2,MATCH(ABS($C27),'磁場データ'!$C$2:$AB$2,1))</f>
        <v>800</v>
      </c>
      <c r="L27" s="69">
        <f t="array" ref="L27">INDEX('磁場データ'!$C$2:$AB$2,MATCH(ABS($C27),'磁場データ'!$C$2:$AB$2,1)+1)</f>
        <v>900</v>
      </c>
      <c r="M27" s="69">
        <f t="array" ref="M27">INDEX('磁場データ'!$C27:$AB27,MATCH(ABS($C27),'磁場データ'!$C$2:$AB$2,1))</f>
        <v>2939.12</v>
      </c>
      <c r="N27" s="69">
        <f t="array" ref="N27">INDEX('磁場データ'!$C27:$AB27,MATCH(ABS($C27),'磁場データ'!$C$2:$AB$2,1)+1)</f>
        <v>3310.04</v>
      </c>
      <c r="O27" s="69">
        <f t="array" ref="O27">INDEX('流量データ'!$C$2:$M$2,MATCH($G27,'流量データ'!$C$2:$M$2,1))</f>
        <v>10</v>
      </c>
      <c r="P27" s="69">
        <f t="array" ref="P27">INDEX('流量データ'!$C$2:$M$2,MATCH($G27,'流量データ'!$C$2:$M$2,1)+1)</f>
        <v>11</v>
      </c>
      <c r="Q27" s="69">
        <f t="array" ref="Q27">INDEX('流量データ'!$C27:$M27,MATCH($G27,'流量データ'!$C$2:$M$2,1))</f>
        <v>63</v>
      </c>
      <c r="R27" s="72">
        <f t="array" ref="R27">INDEX('流量データ'!$C27:$M27,MATCH($G27,'流量データ'!$C$2:$M$2,1)+1)</f>
        <v>66</v>
      </c>
    </row>
    <row r="28" ht="13.5" customHeight="1">
      <c r="A28" s="61" t="s">
        <v>108</v>
      </c>
      <c r="B28" s="63" t="s">
        <v>109</v>
      </c>
      <c r="C28" s="65">
        <v>5600.0</v>
      </c>
      <c r="D28" s="71">
        <f t="shared" si="1"/>
        <v>13.3802</v>
      </c>
      <c r="E28" s="69">
        <f>'電圧データ'!$D28/'電圧データ'!$C28*$C28</f>
        <v>156.8</v>
      </c>
      <c r="F28" s="69">
        <f t="shared" si="2"/>
        <v>878.08</v>
      </c>
      <c r="G28" s="70">
        <v>10.0</v>
      </c>
      <c r="H28" s="69">
        <f t="shared" si="3"/>
        <v>557</v>
      </c>
      <c r="I28" s="75">
        <f t="shared" si="4"/>
        <v>22.59866552</v>
      </c>
      <c r="J28" s="78">
        <v>1.0</v>
      </c>
      <c r="K28" s="79">
        <f t="array" ref="K28">INDEX('磁場データ'!$C$2:$AB$2,MATCH(ABS($C28)/5,'磁場データ'!$C$2:$AB$2,1))*5</f>
        <v>5500</v>
      </c>
      <c r="L28" s="69">
        <f t="array" ref="L28">INDEX('磁場データ'!$C$2:$AB$2,MATCH(ABS($C28)/5,'磁場データ'!$C$2:$AB$2,1)+1)*5</f>
        <v>6000</v>
      </c>
      <c r="M28" s="69">
        <f t="array" ref="M28">INDEX('磁場データ'!$C28:$AB28,MATCH(ABS($C28)/5,'磁場データ'!$C$2:$AB$2,1))</f>
        <v>13142</v>
      </c>
      <c r="N28" s="69">
        <f t="array" ref="N28">INDEX('磁場データ'!$C28:$AB28,MATCH(ABS($C28)/5,'磁場データ'!$C$2:$AB$2,1)+1)</f>
        <v>14333</v>
      </c>
      <c r="O28" s="69">
        <f t="array" ref="O28">INDEX('流量データ'!$C$2:$M$2,MATCH($G28,'流量データ'!$C$2:$M$2,1))</f>
        <v>10</v>
      </c>
      <c r="P28" s="69">
        <f t="array" ref="P28">INDEX('流量データ'!$C$2:$M$2,MATCH($G28,'流量データ'!$C$2:$M$2,1)+1)</f>
        <v>11</v>
      </c>
      <c r="Q28" s="69">
        <f t="array" ref="Q28">INDEX('流量データ'!$C28:$M28,MATCH($G28,'流量データ'!$C$2:$M$2,1))</f>
        <v>557</v>
      </c>
      <c r="R28" s="72" t="str">
        <f t="array" ref="R28">INDEX('流量データ'!$C28:$M28,MATCH($G28,'流量データ'!$C$2:$M$2,1)+1)</f>
        <v/>
      </c>
    </row>
    <row r="29" ht="13.5" customHeight="1">
      <c r="A29" s="61" t="s">
        <v>110</v>
      </c>
      <c r="B29" s="63" t="s">
        <v>111</v>
      </c>
      <c r="C29" s="65">
        <v>386.0</v>
      </c>
      <c r="D29" s="71">
        <f t="shared" si="1"/>
        <v>1.61567544</v>
      </c>
      <c r="E29" s="69">
        <f>'電圧データ'!$D29/'電圧データ'!$C29*$C29</f>
        <v>78.9756</v>
      </c>
      <c r="F29" s="69">
        <f t="shared" si="2"/>
        <v>30.4845816</v>
      </c>
      <c r="G29" s="70">
        <v>10.0</v>
      </c>
      <c r="H29" s="69">
        <f t="shared" si="3"/>
        <v>117</v>
      </c>
      <c r="I29" s="75">
        <f t="shared" si="4"/>
        <v>3.735066006</v>
      </c>
      <c r="J29" s="78">
        <v>1.0</v>
      </c>
      <c r="K29" s="79">
        <f t="array" ref="K29">INDEX('磁場データ'!$C$2:$AB$2,MATCH(ABS($C29),'磁場データ'!$C$2:$AB$2,1))</f>
        <v>300</v>
      </c>
      <c r="L29" s="69">
        <f t="array" ref="L29">INDEX('磁場データ'!$C$2:$AB$2,MATCH(ABS($C29),'磁場データ'!$C$2:$AB$2,1)+1)</f>
        <v>400</v>
      </c>
      <c r="M29" s="69">
        <f t="array" ref="M29">INDEX('磁場データ'!$C29:$AB29,MATCH(ABS($C29),'磁場データ'!$C$2:$AB$2,1))</f>
        <v>1255.518969</v>
      </c>
      <c r="N29" s="69">
        <f t="array" ref="N29">INDEX('磁場データ'!$C29:$AB29,MATCH(ABS($C29),'磁場データ'!$C$2:$AB$2,1)+1)</f>
        <v>1674.305564</v>
      </c>
      <c r="O29" s="69">
        <f t="array" ref="O29">INDEX('流量データ'!$C$2:$M$2,MATCH($G29,'流量データ'!$C$2:$M$2,1))</f>
        <v>10</v>
      </c>
      <c r="P29" s="69">
        <f t="array" ref="P29">INDEX('流量データ'!$C$2:$M$2,MATCH($G29,'流量データ'!$C$2:$M$2,1)+1)</f>
        <v>11</v>
      </c>
      <c r="Q29" s="69">
        <f t="array" ref="Q29">INDEX('流量データ'!$C29:$M29,MATCH($G29,'流量データ'!$C$2:$M$2,1))</f>
        <v>117</v>
      </c>
      <c r="R29" s="72" t="str">
        <f t="array" ref="R29">INDEX('流量データ'!$C29:$M29,MATCH($G29,'流量データ'!$C$2:$M$2,1)+1)</f>
        <v/>
      </c>
    </row>
    <row r="30" ht="13.5" customHeight="1">
      <c r="A30" s="61" t="s">
        <v>112</v>
      </c>
      <c r="B30" s="63" t="s">
        <v>107</v>
      </c>
      <c r="C30" s="65">
        <v>883.0</v>
      </c>
      <c r="D30" s="71">
        <f t="shared" si="1"/>
        <v>6.555611</v>
      </c>
      <c r="E30" s="69">
        <f>'電圧データ'!$D30/'電圧データ'!$C30*$C30</f>
        <v>23.9293</v>
      </c>
      <c r="F30" s="69">
        <f t="shared" si="2"/>
        <v>21.1295719</v>
      </c>
      <c r="G30" s="70">
        <v>10.0</v>
      </c>
      <c r="H30" s="69">
        <f t="shared" si="3"/>
        <v>63</v>
      </c>
      <c r="I30" s="75">
        <f t="shared" si="4"/>
        <v>4.807884795</v>
      </c>
      <c r="J30" s="78">
        <v>0.5</v>
      </c>
      <c r="K30" s="79">
        <f t="array" ref="K30">INDEX('磁場データ'!$C$2:$AB$2,MATCH(ABS($C30),'磁場データ'!$C$2:$AB$2,1))</f>
        <v>800</v>
      </c>
      <c r="L30" s="69">
        <f t="array" ref="L30">INDEX('磁場データ'!$C$2:$AB$2,MATCH(ABS($C30),'磁場データ'!$C$2:$AB$2,1)+1)</f>
        <v>900</v>
      </c>
      <c r="M30" s="69">
        <f t="array" ref="M30">INDEX('磁場データ'!$C30:$AB30,MATCH(ABS($C30),'磁場データ'!$C$2:$AB$2,1))</f>
        <v>2970</v>
      </c>
      <c r="N30" s="69">
        <f t="array" ref="N30">INDEX('磁場データ'!$C30:$AB30,MATCH(ABS($C30),'磁場データ'!$C$2:$AB$2,1)+1)</f>
        <v>3340.85</v>
      </c>
      <c r="O30" s="69">
        <f t="array" ref="O30">INDEX('流量データ'!$C$2:$M$2,MATCH($G30,'流量データ'!$C$2:$M$2,1))</f>
        <v>10</v>
      </c>
      <c r="P30" s="69">
        <f t="array" ref="P30">INDEX('流量データ'!$C$2:$M$2,MATCH($G30,'流量データ'!$C$2:$M$2,1)+1)</f>
        <v>11</v>
      </c>
      <c r="Q30" s="69">
        <f t="array" ref="Q30">INDEX('流量データ'!$C30:$M30,MATCH($G30,'流量データ'!$C$2:$M$2,1))</f>
        <v>63</v>
      </c>
      <c r="R30" s="72">
        <f t="array" ref="R30">INDEX('流量データ'!$C30:$M30,MATCH($G30,'流量データ'!$C$2:$M$2,1)+1)</f>
        <v>66</v>
      </c>
    </row>
    <row r="31" ht="14.25" customHeight="1">
      <c r="A31" s="89" t="s">
        <v>113</v>
      </c>
      <c r="B31" s="90" t="s">
        <v>107</v>
      </c>
      <c r="C31" s="91">
        <v>732.0</v>
      </c>
      <c r="D31" s="92">
        <f t="shared" si="1"/>
        <v>5.4130696</v>
      </c>
      <c r="E31" s="93">
        <f>'電圧データ'!$D31/'電圧データ'!$C31*$C31</f>
        <v>19.8372</v>
      </c>
      <c r="F31" s="93">
        <f t="shared" si="2"/>
        <v>14.5208304</v>
      </c>
      <c r="G31" s="94">
        <v>10.0</v>
      </c>
      <c r="H31" s="93">
        <f t="shared" si="3"/>
        <v>64</v>
      </c>
      <c r="I31" s="95">
        <f t="shared" si="4"/>
        <v>3.252485605</v>
      </c>
      <c r="J31" s="96">
        <v>0.5</v>
      </c>
      <c r="K31" s="98">
        <f t="array" ref="K31">INDEX('磁場データ'!$C$2:$AB$2,MATCH(ABS($C31),'磁場データ'!$C$2:$AB$2,1))</f>
        <v>700</v>
      </c>
      <c r="L31" s="93">
        <f t="array" ref="L31">INDEX('磁場データ'!$C$2:$AB$2,MATCH(ABS($C31),'磁場データ'!$C$2:$AB$2,1)+1)</f>
        <v>800</v>
      </c>
      <c r="M31" s="93">
        <f t="array" ref="M31">INDEX('磁場データ'!$C31:$AB31,MATCH(ABS($C31),'磁場データ'!$C$2:$AB$2,1))</f>
        <v>2587.13</v>
      </c>
      <c r="N31" s="93">
        <f t="array" ref="N31">INDEX('磁場データ'!$C31:$AB31,MATCH(ABS($C31),'磁場データ'!$C$2:$AB$2,1)+1)</f>
        <v>2960.27</v>
      </c>
      <c r="O31" s="93">
        <f t="array" ref="O31">INDEX('流量データ'!$C$2:$M$2,MATCH($G31,'流量データ'!$C$2:$M$2,1))</f>
        <v>10</v>
      </c>
      <c r="P31" s="93">
        <f t="array" ref="P31">INDEX('流量データ'!$C$2:$M$2,MATCH($G31,'流量データ'!$C$2:$M$2,1)+1)</f>
        <v>11</v>
      </c>
      <c r="Q31" s="93">
        <f t="array" ref="Q31">INDEX('流量データ'!$C31:$M31,MATCH($G31,'流量データ'!$C$2:$M$2,1))</f>
        <v>64</v>
      </c>
      <c r="R31" s="103">
        <f t="array" ref="R31">INDEX('流量データ'!$C31:$M31,MATCH($G31,'流量データ'!$C$2:$M$2,1)+1)</f>
        <v>67</v>
      </c>
    </row>
    <row r="32" ht="13.5" customHeight="1">
      <c r="A32" s="40" t="s">
        <v>115</v>
      </c>
      <c r="B32" s="42" t="s">
        <v>116</v>
      </c>
      <c r="C32" s="44">
        <v>39.0625</v>
      </c>
      <c r="D32" s="49">
        <f t="shared" si="1"/>
        <v>1.171</v>
      </c>
      <c r="E32" s="51">
        <f>'電圧データ'!$D32/'電圧データ'!$C32*$C32</f>
        <v>16.20565878</v>
      </c>
      <c r="F32" s="51">
        <f t="shared" si="2"/>
        <v>0.6330335462</v>
      </c>
      <c r="G32" s="53">
        <v>10.0</v>
      </c>
      <c r="H32" s="51">
        <f t="shared" si="3"/>
        <v>0</v>
      </c>
      <c r="I32" s="55" t="str">
        <f t="shared" si="4"/>
        <v>#DIV/0!</v>
      </c>
      <c r="J32" s="57">
        <v>0.25</v>
      </c>
      <c r="K32" s="59">
        <f t="array" ref="K32">INDEX('磁場データ'!$C$2:$AB$2,MATCH(ABS($C32)*50,'磁場データ'!$C$2:$AB$2,1))/50</f>
        <v>38</v>
      </c>
      <c r="L32" s="51">
        <f t="array" ref="L32">INDEX('磁場データ'!$C$2:$AB$2,MATCH(ABS($C32)*50,'磁場データ'!$C$2:$AB$2,1)+1)/50</f>
        <v>40</v>
      </c>
      <c r="M32" s="51">
        <f t="array" ref="M32">INDEX('磁場データ'!$C32:$AB32,MATCH(ABS($C32)*50,'磁場データ'!$C$2:$AB$2,1))</f>
        <v>288.5</v>
      </c>
      <c r="N32" s="51">
        <f t="array" ref="N32">INDEX('磁場データ'!$C32:$AB32,MATCH(ABS($C32)*50,'磁場データ'!$C$2:$AB$2,1)+1)</f>
        <v>296.5</v>
      </c>
      <c r="O32" s="51">
        <f t="array" ref="O32">INDEX('流量データ'!$C$2:$M$2,MATCH($G32,'流量データ'!$C$2:$M$2,1))</f>
        <v>10</v>
      </c>
      <c r="P32" s="51">
        <f t="array" ref="P32">INDEX('流量データ'!$C$2:$M$2,MATCH($G32,'流量データ'!$C$2:$M$2,1)+1)</f>
        <v>11</v>
      </c>
      <c r="Q32" s="51">
        <f t="array" ref="Q32">INDEX('流量データ'!$C32:$M32,MATCH($G32,'流量データ'!$C$2:$M$2,1))</f>
        <v>0</v>
      </c>
      <c r="R32" s="64">
        <f t="array" ref="R32">INDEX('流量データ'!$C32:$M32,MATCH($G32,'流量データ'!$C$2:$M$2,1)+1)</f>
        <v>0</v>
      </c>
    </row>
    <row r="33" ht="13.5" customHeight="1">
      <c r="A33" s="61" t="s">
        <v>117</v>
      </c>
      <c r="B33" s="63" t="s">
        <v>118</v>
      </c>
      <c r="C33" s="65">
        <v>-511.1111111111111</v>
      </c>
      <c r="D33" s="71">
        <f t="shared" si="1"/>
        <v>-4.435</v>
      </c>
      <c r="E33" s="69">
        <f>'電圧データ'!$D33/'電圧データ'!$C33*$C33</f>
        <v>-21.55959596</v>
      </c>
      <c r="F33" s="69">
        <f t="shared" si="2"/>
        <v>11.01934905</v>
      </c>
      <c r="G33" s="70">
        <v>10.0</v>
      </c>
      <c r="H33" s="69">
        <f t="shared" si="3"/>
        <v>42.1</v>
      </c>
      <c r="I33" s="75">
        <f t="shared" si="4"/>
        <v>3.752128887</v>
      </c>
      <c r="J33" s="78">
        <v>0.5</v>
      </c>
      <c r="K33" s="79">
        <f t="array" ref="K33">INDEX('磁場データ'!$C$2:$AB$2,MATCH(ABS($C33),'磁場データ'!$C$2:$AB$2,1))</f>
        <v>500</v>
      </c>
      <c r="L33" s="69">
        <f t="array" ref="L33">INDEX('磁場データ'!$C$2:$AB$2,MATCH(ABS($C33),'磁場データ'!$C$2:$AB$2,1)+1)</f>
        <v>600</v>
      </c>
      <c r="M33" s="69">
        <f t="array" ref="M33">INDEX('磁場データ'!$C33:$AB33,MATCH(ABS($C33),'磁場データ'!$C$2:$AB$2,1))</f>
        <v>2169.375</v>
      </c>
      <c r="N33" s="69">
        <f t="array" ref="N33">INDEX('磁場データ'!$C33:$AB33,MATCH(ABS($C33),'磁場データ'!$C$2:$AB$2,1)+1)</f>
        <v>2602.5</v>
      </c>
      <c r="O33" s="69">
        <f t="array" ref="O33">INDEX('流量データ'!$C$2:$M$2,MATCH($G33,'流量データ'!$C$2:$M$2,1))</f>
        <v>10</v>
      </c>
      <c r="P33" s="69">
        <f t="array" ref="P33">INDEX('流量データ'!$C$2:$M$2,MATCH($G33,'流量データ'!$C$2:$M$2,1)+1)</f>
        <v>11</v>
      </c>
      <c r="Q33" s="69">
        <f t="array" ref="Q33">INDEX('流量データ'!$C33:$M33,MATCH($G33,'流量データ'!$C$2:$M$2,1))</f>
        <v>42.1</v>
      </c>
      <c r="R33" s="72" t="str">
        <f t="array" ref="R33">INDEX('流量データ'!$C33:$M33,MATCH($G33,'流量データ'!$C$2:$M$2,1)+1)</f>
        <v/>
      </c>
    </row>
    <row r="34" ht="13.5" customHeight="1">
      <c r="A34" s="61" t="s">
        <v>119</v>
      </c>
      <c r="B34" s="63" t="s">
        <v>120</v>
      </c>
      <c r="C34" s="87">
        <v>1938.0</v>
      </c>
      <c r="D34" s="71">
        <f t="shared" si="1"/>
        <v>17.90616796</v>
      </c>
      <c r="E34" s="69">
        <f>'電圧データ'!$D34/'電圧データ'!$C34*$C34</f>
        <v>146.319</v>
      </c>
      <c r="F34" s="69">
        <f t="shared" si="2"/>
        <v>283.566222</v>
      </c>
      <c r="G34" s="70">
        <v>10.0</v>
      </c>
      <c r="H34" s="69">
        <f t="shared" si="3"/>
        <v>180</v>
      </c>
      <c r="I34" s="75">
        <f t="shared" si="4"/>
        <v>22.5832216</v>
      </c>
      <c r="J34" s="78">
        <v>1.0</v>
      </c>
      <c r="K34" s="79">
        <f t="array" ref="K34">INDEX('磁場データ'!$C$2:$AB$2,MATCH(ABS($C34),'磁場データ'!$C$2:$AB$2,1))</f>
        <v>1900</v>
      </c>
      <c r="L34" s="69">
        <f t="array" ref="L34">INDEX('磁場データ'!$C$2:$AB$2,MATCH(ABS($C34),'磁場データ'!$C$2:$AB$2,1)+1)</f>
        <v>2000</v>
      </c>
      <c r="M34" s="69">
        <f t="array" ref="M34">INDEX('磁場データ'!$C34:$AB34,MATCH(ABS($C34),'磁場データ'!$C$2:$AB$2,1))</f>
        <v>17612.60445</v>
      </c>
      <c r="N34" s="69">
        <f t="array" ref="N34">INDEX('磁場データ'!$C34:$AB34,MATCH(ABS($C34),'磁場データ'!$C$2:$AB$2,1)+1)</f>
        <v>18385.14</v>
      </c>
      <c r="O34" s="69">
        <f t="array" ref="O34">INDEX('流量データ'!$C$2:$M$2,MATCH($G34,'流量データ'!$C$2:$M$2,1))</f>
        <v>10</v>
      </c>
      <c r="P34" s="69">
        <f t="array" ref="P34">INDEX('流量データ'!$C$2:$M$2,MATCH($G34,'流量データ'!$C$2:$M$2,1)+1)</f>
        <v>11</v>
      </c>
      <c r="Q34" s="69">
        <f t="array" ref="Q34">INDEX('流量データ'!$C34:$M34,MATCH($G34,'流量データ'!$C$2:$M$2,1))</f>
        <v>180</v>
      </c>
      <c r="R34" s="72" t="str">
        <f t="array" ref="R34">INDEX('流量データ'!$C34:$M34,MATCH($G34,'流量データ'!$C$2:$M$2,1)+1)</f>
        <v/>
      </c>
    </row>
    <row r="35" ht="13.5" customHeight="1">
      <c r="A35" s="61" t="s">
        <v>121</v>
      </c>
      <c r="B35" s="63" t="s">
        <v>87</v>
      </c>
      <c r="C35" s="65">
        <v>-120.40802988504166</v>
      </c>
      <c r="D35" s="71">
        <f t="shared" si="1"/>
        <v>-0.732</v>
      </c>
      <c r="E35" s="69">
        <f>'電圧データ'!$D35/'電圧データ'!$C35*$C35</f>
        <v>-1.703773623</v>
      </c>
      <c r="F35" s="69">
        <f t="shared" si="2"/>
        <v>0.2051480253</v>
      </c>
      <c r="G35" s="70">
        <v>10.0</v>
      </c>
      <c r="H35" s="69">
        <f t="shared" si="3"/>
        <v>81</v>
      </c>
      <c r="I35" s="75">
        <f t="shared" si="4"/>
        <v>0.03630665398</v>
      </c>
      <c r="J35" s="78">
        <v>0.5</v>
      </c>
      <c r="K35" s="79">
        <f t="array" ref="K35">INDEX('磁場データ'!$C$2:$AB$2,MATCH(ABS($C35),'磁場データ'!$C$2:$AB$2,1))</f>
        <v>100</v>
      </c>
      <c r="L35" s="69">
        <f t="array" ref="L35">INDEX('磁場データ'!$C$2:$AB$2,MATCH(ABS($C35),'磁場データ'!$C$2:$AB$2,1)+1)</f>
        <v>200</v>
      </c>
      <c r="M35" s="69">
        <f t="array" ref="M35">INDEX('磁場データ'!$C35:$AB35,MATCH(ABS($C35),'磁場データ'!$C$2:$AB$2,1))</f>
        <v>306.671</v>
      </c>
      <c r="N35" s="69">
        <f t="array" ref="N35">INDEX('磁場データ'!$C35:$AB35,MATCH(ABS($C35),'磁場データ'!$C$2:$AB$2,1)+1)</f>
        <v>597.385</v>
      </c>
      <c r="O35" s="69">
        <f t="array" ref="O35">INDEX('流量データ'!$C$2:$M$2,MATCH($G35,'流量データ'!$C$2:$M$2,1))</f>
        <v>10</v>
      </c>
      <c r="P35" s="69">
        <f t="array" ref="P35">INDEX('流量データ'!$C$2:$M$2,MATCH($G35,'流量データ'!$C$2:$M$2,1)+1)</f>
        <v>11</v>
      </c>
      <c r="Q35" s="69">
        <f t="array" ref="Q35">INDEX('流量データ'!$C35:$M35,MATCH($G35,'流量データ'!$C$2:$M$2,1))</f>
        <v>81</v>
      </c>
      <c r="R35" s="72" t="str">
        <f t="array" ref="R35">INDEX('流量データ'!$C35:$M35,MATCH($G35,'流量データ'!$C$2:$M$2,1)+1)</f>
        <v/>
      </c>
    </row>
    <row r="36" ht="14.25" customHeight="1">
      <c r="A36" s="89" t="s">
        <v>122</v>
      </c>
      <c r="B36" s="90" t="s">
        <v>123</v>
      </c>
      <c r="C36" s="91">
        <v>1848.9175</v>
      </c>
      <c r="D36" s="92">
        <f t="shared" si="1"/>
        <v>17.98134</v>
      </c>
      <c r="E36" s="93">
        <f>'電圧データ'!$D36/'電圧データ'!$C36*$C36</f>
        <v>92.53391869</v>
      </c>
      <c r="F36" s="93">
        <f t="shared" si="2"/>
        <v>171.0875816</v>
      </c>
      <c r="G36" s="94">
        <v>10.0</v>
      </c>
      <c r="H36" s="93">
        <f t="shared" si="3"/>
        <v>118</v>
      </c>
      <c r="I36" s="95">
        <f t="shared" si="4"/>
        <v>20.78453842</v>
      </c>
      <c r="J36" s="96">
        <v>1.0</v>
      </c>
      <c r="K36" s="98">
        <f t="array" ref="K36">INDEX('磁場データ'!$C$2:$AB$2,MATCH(ABS($C36),'磁場データ'!$C$2:$AB$2,1))</f>
        <v>1800</v>
      </c>
      <c r="L36" s="93">
        <f t="array" ref="L36">INDEX('磁場データ'!$C$2:$AB$2,MATCH(ABS($C36),'磁場データ'!$C$2:$AB$2,1)+1)</f>
        <v>1900</v>
      </c>
      <c r="M36" s="93">
        <f t="array" ref="M36">INDEX('磁場データ'!$C36:$AB36,MATCH(ABS($C36),'磁場データ'!$C$2:$AB$2,1))</f>
        <v>17590</v>
      </c>
      <c r="N36" s="93">
        <f t="array" ref="N36">INDEX('磁場データ'!$C36:$AB36,MATCH(ABS($C36),'磁場データ'!$C$2:$AB$2,1)+1)</f>
        <v>18390</v>
      </c>
      <c r="O36" s="93">
        <f t="array" ref="O36">INDEX('流量データ'!$C$2:$M$2,MATCH($G36,'流量データ'!$C$2:$M$2,1))</f>
        <v>10</v>
      </c>
      <c r="P36" s="93">
        <f t="array" ref="P36">INDEX('流量データ'!$C$2:$M$2,MATCH($G36,'流量データ'!$C$2:$M$2,1)+1)</f>
        <v>11</v>
      </c>
      <c r="Q36" s="93">
        <f t="array" ref="Q36">INDEX('流量データ'!$C36:$M36,MATCH($G36,'流量データ'!$C$2:$M$2,1))</f>
        <v>118</v>
      </c>
      <c r="R36" s="103" t="str">
        <f t="array" ref="R36">INDEX('流量データ'!$C36:$M36,MATCH($G36,'流量データ'!$C$2:$M$2,1)+1)</f>
        <v/>
      </c>
    </row>
    <row r="37" ht="13.5" customHeight="1">
      <c r="A37" s="43" t="s">
        <v>124</v>
      </c>
      <c r="B37" s="45" t="s">
        <v>125</v>
      </c>
      <c r="C37" s="47">
        <v>2293.8030560271645</v>
      </c>
      <c r="D37" s="121">
        <f t="shared" si="1"/>
        <v>20.7</v>
      </c>
      <c r="E37" s="52">
        <f>'電圧データ'!$D37/'電圧データ'!$C37*$C37</f>
        <v>117.4826087</v>
      </c>
      <c r="F37" s="52">
        <f t="shared" si="2"/>
        <v>269.4819669</v>
      </c>
      <c r="G37" s="54">
        <v>10.0</v>
      </c>
      <c r="H37" s="52">
        <f t="shared" si="3"/>
        <v>173</v>
      </c>
      <c r="I37" s="122">
        <f t="shared" si="4"/>
        <v>22.3299376</v>
      </c>
      <c r="J37" s="123">
        <v>1.0</v>
      </c>
      <c r="K37" s="77">
        <f t="array" ref="K37">INDEX('磁場データ'!$C$2:$AB$2,MATCH(ABS($C37),'磁場データ'!$C$2:$AB$2,1))</f>
        <v>2200</v>
      </c>
      <c r="L37" s="52">
        <f t="array" ref="L37">INDEX('磁場データ'!$C$2:$AB$2,MATCH(ABS($C37),'磁場データ'!$C$2:$AB$2,1)+1)</f>
        <v>2300</v>
      </c>
      <c r="M37" s="52">
        <f t="array" ref="M37">INDEX('磁場データ'!$C37:$AB37,MATCH(ABS($C37),'磁場データ'!$C$2:$AB$2,1))</f>
        <v>20258</v>
      </c>
      <c r="N37" s="52">
        <f t="array" ref="N37">INDEX('磁場データ'!$C37:$AB37,MATCH(ABS($C37),'磁場データ'!$C$2:$AB$2,1)+1)</f>
        <v>20729.2</v>
      </c>
      <c r="O37" s="52">
        <f t="array" ref="O37">INDEX('流量データ'!$C$2:$M$2,MATCH($G37,'流量データ'!$C$2:$M$2,1))</f>
        <v>10</v>
      </c>
      <c r="P37" s="52">
        <f t="array" ref="P37">INDEX('流量データ'!$C$2:$M$2,MATCH($G37,'流量データ'!$C$2:$M$2,1)+1)</f>
        <v>11</v>
      </c>
      <c r="Q37" s="52">
        <f t="array" ref="Q37">INDEX('流量データ'!$C37:$M37,MATCH($G37,'流量データ'!$C$2:$M$2,1))</f>
        <v>173</v>
      </c>
      <c r="R37" s="56" t="str">
        <f t="array" ref="R37">INDEX('流量データ'!$C37:$M37,MATCH($G37,'流量データ'!$C$2:$M$2,1)+1)</f>
        <v/>
      </c>
    </row>
    <row r="38" ht="14.25" customHeight="1">
      <c r="A38" s="89" t="s">
        <v>126</v>
      </c>
      <c r="B38" s="90" t="s">
        <v>127</v>
      </c>
      <c r="C38" s="91">
        <v>2299.6815286624205</v>
      </c>
      <c r="D38" s="92">
        <f t="shared" si="1"/>
        <v>10.56</v>
      </c>
      <c r="E38" s="93">
        <f>'電圧データ'!$D38/'電圧データ'!$C38*$C38</f>
        <v>159.7882166</v>
      </c>
      <c r="F38" s="93">
        <f t="shared" si="2"/>
        <v>367.4620101</v>
      </c>
      <c r="G38" s="94">
        <v>10.0</v>
      </c>
      <c r="H38" s="93">
        <f t="shared" si="3"/>
        <v>240</v>
      </c>
      <c r="I38" s="95">
        <f t="shared" si="4"/>
        <v>21.94851333</v>
      </c>
      <c r="J38" s="96">
        <v>1.0</v>
      </c>
      <c r="K38" s="98">
        <f t="array" ref="K38">INDEX('磁場データ'!$C$2:$AB$2,MATCH(ABS($C38),'磁場データ'!$C$2:$AB$2,1))</f>
        <v>2200</v>
      </c>
      <c r="L38" s="93">
        <f t="array" ref="L38">INDEX('磁場データ'!$C$2:$AB$2,MATCH(ABS($C38),'磁場データ'!$C$2:$AB$2,1)+1)</f>
        <v>2300</v>
      </c>
      <c r="M38" s="93">
        <f t="array" ref="M38">INDEX('磁場データ'!$C38:$AB38,MATCH(ABS($C38),'磁場データ'!$C$2:$AB$2,1))</f>
        <v>10247</v>
      </c>
      <c r="N38" s="93">
        <f t="array" ref="N38">INDEX('磁場データ'!$C38:$AB38,MATCH(ABS($C38),'磁場データ'!$C$2:$AB$2,1)+1)</f>
        <v>10561</v>
      </c>
      <c r="O38" s="93">
        <f t="array" ref="O38">INDEX('流量データ'!$C$2:$M$2,MATCH($G38,'流量データ'!$C$2:$M$2,1))</f>
        <v>10</v>
      </c>
      <c r="P38" s="93">
        <f t="array" ref="P38">INDEX('流量データ'!$C$2:$M$2,MATCH($G38,'流量データ'!$C$2:$M$2,1)+1)</f>
        <v>11</v>
      </c>
      <c r="Q38" s="93">
        <f t="array" ref="Q38">INDEX('流量データ'!$C38:$M38,MATCH($G38,'流量データ'!$C$2:$M$2,1))</f>
        <v>240</v>
      </c>
      <c r="R38" s="103" t="str">
        <f t="array" ref="R38">INDEX('流量データ'!$C38:$M38,MATCH($G38,'流量データ'!$C$2:$M$2,1)+1)</f>
        <v/>
      </c>
    </row>
    <row r="39" ht="13.5" customHeight="1"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</row>
    <row r="40" ht="13.5" customHeight="1"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</row>
    <row r="41" ht="13.5" customHeight="1"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</row>
    <row r="42" ht="13.5" customHeight="1"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</row>
    <row r="43" ht="13.5" customHeight="1"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</row>
    <row r="44" ht="13.5" customHeight="1"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  <row r="45" ht="13.5" customHeight="1"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</row>
    <row r="46" ht="13.5" customHeight="1"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</row>
    <row r="47" ht="13.5" customHeight="1"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</row>
    <row r="48" ht="13.5" customHeight="1"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</row>
    <row r="49" ht="13.5" customHeight="1"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</row>
    <row r="50" ht="13.5" customHeight="1"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</row>
    <row r="51" ht="13.5" customHeight="1"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</row>
    <row r="52" ht="13.5" customHeight="1"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</row>
    <row r="53" ht="13.5" customHeight="1"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</row>
    <row r="54" ht="13.5" customHeight="1"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</row>
    <row r="55" ht="13.5" customHeight="1"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</row>
    <row r="56" ht="13.5" customHeight="1"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</row>
    <row r="57" ht="13.5" customHeight="1"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</row>
    <row r="58" ht="13.5" customHeight="1"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</row>
    <row r="59" ht="13.5" customHeight="1"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</row>
    <row r="60" ht="13.5" customHeight="1"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</row>
    <row r="61" ht="13.5" customHeight="1"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</row>
    <row r="62" ht="13.5" customHeight="1"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</row>
    <row r="63" ht="13.5" customHeight="1"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</row>
    <row r="64" ht="13.5" customHeight="1"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</row>
    <row r="65" ht="13.5" customHeight="1"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</row>
    <row r="66" ht="13.5" customHeight="1"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</row>
    <row r="67" ht="13.5" customHeight="1"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</row>
    <row r="68" ht="13.5" customHeight="1"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</row>
    <row r="69" ht="13.5" customHeight="1"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</row>
    <row r="70" ht="13.5" customHeight="1"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</row>
    <row r="71" ht="13.5" customHeight="1"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</row>
    <row r="72" ht="13.5" customHeight="1"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</row>
    <row r="73" ht="13.5" customHeight="1"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</row>
    <row r="74" ht="13.5" customHeight="1"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</row>
    <row r="75" ht="13.5" customHeight="1"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</row>
    <row r="76" ht="13.5" customHeight="1"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</row>
    <row r="77" ht="13.5" customHeight="1"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</row>
    <row r="78" ht="13.5" customHeight="1"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</row>
    <row r="79" ht="13.5" customHeight="1"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</row>
    <row r="80" ht="13.5" customHeight="1"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</row>
    <row r="81" ht="13.5" customHeight="1"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</row>
    <row r="82" ht="13.5" customHeight="1"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</row>
    <row r="83" ht="13.5" customHeight="1"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</row>
    <row r="84" ht="13.5" customHeight="1"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</row>
    <row r="85" ht="13.5" customHeight="1"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</row>
    <row r="86" ht="13.5" customHeight="1"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</row>
    <row r="87" ht="13.5" customHeight="1"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</row>
    <row r="88" ht="13.5" customHeight="1"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</row>
    <row r="89" ht="13.5" customHeight="1"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</row>
    <row r="90" ht="13.5" customHeight="1"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</row>
    <row r="91" ht="13.5" customHeight="1"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</row>
    <row r="92" ht="13.5" customHeight="1"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</row>
    <row r="93" ht="13.5" customHeight="1"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</row>
    <row r="94" ht="13.5" customHeight="1"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</row>
    <row r="95" ht="13.5" customHeight="1"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</row>
    <row r="96" ht="13.5" customHeight="1"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</row>
    <row r="97" ht="13.5" customHeight="1"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</row>
    <row r="98" ht="13.5" customHeight="1"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</row>
    <row r="99" ht="13.5" customHeight="1"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</row>
    <row r="100" ht="13.5" customHeight="1"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</row>
    <row r="101" ht="13.5" customHeight="1"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</row>
    <row r="102" ht="13.5" customHeight="1"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</row>
    <row r="103" ht="13.5" customHeight="1"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</row>
    <row r="104" ht="13.5" customHeight="1"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</row>
    <row r="105" ht="13.5" customHeight="1"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</row>
    <row r="106" ht="13.5" customHeight="1"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</row>
    <row r="107" ht="13.5" customHeight="1"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</row>
    <row r="108" ht="13.5" customHeight="1"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</row>
    <row r="109" ht="13.5" customHeight="1"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</row>
    <row r="110" ht="13.5" customHeight="1"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</row>
    <row r="111" ht="13.5" customHeight="1"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</row>
    <row r="112" ht="13.5" customHeight="1"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</row>
    <row r="113" ht="13.5" customHeight="1"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</row>
    <row r="114" ht="13.5" customHeight="1"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</row>
    <row r="115" ht="13.5" customHeight="1"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</row>
    <row r="116" ht="13.5" customHeight="1"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</row>
    <row r="117" ht="13.5" customHeight="1"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</row>
    <row r="118" ht="13.5" customHeight="1"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</row>
    <row r="119" ht="13.5" customHeight="1"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</row>
    <row r="120" ht="13.5" customHeight="1"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</row>
    <row r="121" ht="13.5" customHeight="1"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</row>
    <row r="122" ht="13.5" customHeight="1"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</row>
    <row r="123" ht="13.5" customHeight="1"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</row>
    <row r="124" ht="13.5" customHeight="1"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</row>
    <row r="125" ht="13.5" customHeight="1"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</row>
    <row r="126" ht="13.5" customHeight="1"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</row>
    <row r="127" ht="13.5" customHeight="1"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</row>
    <row r="128" ht="13.5" customHeight="1"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</row>
    <row r="129" ht="13.5" customHeight="1"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</row>
    <row r="130" ht="13.5" customHeight="1"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</row>
    <row r="131" ht="13.5" customHeight="1"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</row>
    <row r="132" ht="13.5" customHeight="1"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</row>
    <row r="133" ht="13.5" customHeight="1"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</row>
    <row r="134" ht="13.5" customHeight="1"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</row>
    <row r="135" ht="13.5" customHeight="1"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</row>
    <row r="136" ht="13.5" customHeight="1"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</row>
    <row r="137" ht="13.5" customHeight="1"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</row>
    <row r="138" ht="13.5" customHeight="1"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</row>
    <row r="139" ht="13.5" customHeight="1"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</row>
    <row r="140" ht="13.5" customHeight="1"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</row>
    <row r="141" ht="13.5" customHeight="1"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</row>
    <row r="142" ht="13.5" customHeight="1"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</row>
    <row r="143" ht="13.5" customHeight="1"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</row>
    <row r="144" ht="13.5" customHeight="1"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</row>
    <row r="145" ht="13.5" customHeight="1"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</row>
    <row r="146" ht="13.5" customHeight="1"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</row>
    <row r="147" ht="13.5" customHeight="1"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</row>
    <row r="148" ht="13.5" customHeight="1"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</row>
    <row r="149" ht="13.5" customHeight="1"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</row>
    <row r="150" ht="13.5" customHeight="1"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</row>
    <row r="151" ht="13.5" customHeight="1"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</row>
    <row r="152" ht="13.5" customHeight="1"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</row>
    <row r="153" ht="13.5" customHeight="1"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</row>
    <row r="154" ht="13.5" customHeight="1"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</row>
    <row r="155" ht="13.5" customHeight="1"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</row>
    <row r="156" ht="13.5" customHeight="1"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</row>
    <row r="157" ht="13.5" customHeight="1"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</row>
    <row r="158" ht="13.5" customHeight="1"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</row>
    <row r="159" ht="13.5" customHeight="1"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</row>
    <row r="160" ht="13.5" customHeight="1"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</row>
    <row r="161" ht="13.5" customHeight="1"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</row>
    <row r="162" ht="13.5" customHeight="1"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</row>
    <row r="163" ht="13.5" customHeight="1"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</row>
    <row r="164" ht="13.5" customHeight="1"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</row>
    <row r="165" ht="13.5" customHeight="1"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</row>
    <row r="166" ht="13.5" customHeight="1"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</row>
    <row r="167" ht="13.5" customHeight="1"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</row>
    <row r="168" ht="13.5" customHeight="1"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</row>
    <row r="169" ht="13.5" customHeight="1"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</row>
    <row r="170" ht="13.5" customHeight="1"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</row>
    <row r="171" ht="13.5" customHeight="1"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</row>
    <row r="172" ht="13.5" customHeight="1"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</row>
    <row r="173" ht="13.5" customHeight="1"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</row>
    <row r="174" ht="13.5" customHeight="1"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</row>
    <row r="175" ht="13.5" customHeight="1"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</row>
    <row r="176" ht="13.5" customHeight="1"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</row>
    <row r="177" ht="13.5" customHeight="1"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</row>
    <row r="178" ht="13.5" customHeight="1"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</row>
    <row r="179" ht="13.5" customHeight="1"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</row>
    <row r="180" ht="13.5" customHeight="1"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</row>
    <row r="181" ht="13.5" customHeight="1"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</row>
    <row r="182" ht="13.5" customHeight="1"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</row>
    <row r="183" ht="13.5" customHeight="1"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</row>
    <row r="184" ht="13.5" customHeight="1"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</row>
    <row r="185" ht="13.5" customHeight="1"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</row>
    <row r="186" ht="13.5" customHeight="1"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</row>
    <row r="187" ht="13.5" customHeight="1"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</row>
    <row r="188" ht="13.5" customHeight="1"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</row>
    <row r="189" ht="13.5" customHeight="1"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</row>
    <row r="190" ht="13.5" customHeight="1"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</row>
    <row r="191" ht="13.5" customHeight="1"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</row>
    <row r="192" ht="13.5" customHeight="1"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</row>
    <row r="193" ht="13.5" customHeight="1"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</row>
    <row r="194" ht="13.5" customHeight="1"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</row>
    <row r="195" ht="13.5" customHeight="1"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</row>
    <row r="196" ht="13.5" customHeight="1"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</row>
    <row r="197" ht="13.5" customHeight="1"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</row>
    <row r="198" ht="13.5" customHeight="1"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</row>
    <row r="199" ht="13.5" customHeight="1"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</row>
    <row r="200" ht="13.5" customHeight="1"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</row>
    <row r="201" ht="13.5" customHeight="1"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</row>
    <row r="202" ht="13.5" customHeight="1"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</row>
    <row r="203" ht="13.5" customHeight="1"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</row>
    <row r="204" ht="13.5" customHeight="1"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</row>
    <row r="205" ht="13.5" customHeight="1"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</row>
    <row r="206" ht="13.5" customHeight="1"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</row>
    <row r="207" ht="13.5" customHeight="1"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</row>
    <row r="208" ht="13.5" customHeight="1"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</row>
    <row r="209" ht="13.5" customHeight="1"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</row>
    <row r="210" ht="13.5" customHeight="1"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</row>
    <row r="211" ht="13.5" customHeight="1"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</row>
    <row r="212" ht="13.5" customHeight="1"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</row>
    <row r="213" ht="13.5" customHeight="1"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</row>
    <row r="214" ht="13.5" customHeight="1"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</row>
    <row r="215" ht="13.5" customHeight="1"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</row>
    <row r="216" ht="13.5" customHeight="1"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</row>
    <row r="217" ht="13.5" customHeight="1"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</row>
    <row r="218" ht="13.5" customHeight="1"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</row>
    <row r="219" ht="13.5" customHeight="1"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</row>
    <row r="220" ht="13.5" customHeight="1"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</row>
    <row r="221" ht="13.5" customHeight="1"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</row>
    <row r="222" ht="13.5" customHeight="1"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</row>
    <row r="223" ht="13.5" customHeight="1"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</row>
    <row r="224" ht="13.5" customHeight="1"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</row>
    <row r="225" ht="13.5" customHeight="1"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</row>
    <row r="226" ht="13.5" customHeight="1"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</row>
    <row r="227" ht="13.5" customHeight="1"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</row>
    <row r="228" ht="13.5" customHeight="1"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</row>
    <row r="229" ht="13.5" customHeight="1"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</row>
    <row r="230" ht="13.5" customHeight="1"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</row>
    <row r="231" ht="13.5" customHeight="1"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</row>
    <row r="232" ht="13.5" customHeight="1"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</row>
    <row r="233" ht="13.5" customHeight="1"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</row>
    <row r="234" ht="13.5" customHeight="1"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</row>
    <row r="235" ht="13.5" customHeight="1"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</row>
    <row r="236" ht="13.5" customHeight="1"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</row>
    <row r="237" ht="13.5" customHeight="1"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</row>
    <row r="238" ht="13.5" customHeight="1"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</row>
    <row r="239" ht="13.5" customHeight="1"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</row>
    <row r="240" ht="13.5" customHeight="1"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</row>
    <row r="241" ht="13.5" customHeight="1"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</row>
    <row r="242" ht="13.5" customHeight="1"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</row>
    <row r="243" ht="13.5" customHeight="1"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</row>
    <row r="244" ht="13.5" customHeight="1"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</row>
    <row r="245" ht="13.5" customHeight="1"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</row>
    <row r="246" ht="13.5" customHeight="1"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</row>
    <row r="247" ht="13.5" customHeight="1"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</row>
    <row r="248" ht="13.5" customHeight="1"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</row>
    <row r="249" ht="13.5" customHeight="1"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</row>
    <row r="250" ht="13.5" customHeight="1"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</row>
    <row r="251" ht="13.5" customHeight="1"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</row>
    <row r="252" ht="13.5" customHeight="1"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</row>
    <row r="253" ht="13.5" customHeight="1"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</row>
    <row r="254" ht="13.5" customHeight="1"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</row>
    <row r="255" ht="13.5" customHeight="1"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</row>
    <row r="256" ht="13.5" customHeight="1"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</row>
    <row r="257" ht="13.5" customHeight="1"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</row>
    <row r="258" ht="13.5" customHeight="1"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</row>
    <row r="259" ht="13.5" customHeight="1"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</row>
    <row r="260" ht="13.5" customHeight="1"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</row>
    <row r="261" ht="13.5" customHeight="1"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</row>
    <row r="262" ht="13.5" customHeight="1"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</row>
    <row r="263" ht="13.5" customHeight="1"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</row>
    <row r="264" ht="13.5" customHeight="1"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</row>
    <row r="265" ht="13.5" customHeight="1"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</row>
    <row r="266" ht="13.5" customHeight="1"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</row>
    <row r="267" ht="13.5" customHeight="1"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</row>
    <row r="268" ht="13.5" customHeight="1"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</row>
    <row r="269" ht="13.5" customHeight="1"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</row>
    <row r="270" ht="13.5" customHeight="1"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</row>
    <row r="271" ht="13.5" customHeight="1"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</row>
    <row r="272" ht="13.5" customHeight="1"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</row>
    <row r="273" ht="13.5" customHeight="1"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</row>
    <row r="274" ht="13.5" customHeight="1"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</row>
    <row r="275" ht="13.5" customHeight="1"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</row>
    <row r="276" ht="13.5" customHeight="1"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</row>
    <row r="277" ht="13.5" customHeight="1"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</row>
    <row r="278" ht="13.5" customHeight="1"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</row>
    <row r="279" ht="13.5" customHeight="1"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</row>
    <row r="280" ht="13.5" customHeight="1"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</row>
    <row r="281" ht="13.5" customHeight="1"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</row>
    <row r="282" ht="13.5" customHeight="1"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</row>
    <row r="283" ht="13.5" customHeight="1"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</row>
    <row r="284" ht="13.5" customHeight="1"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</row>
    <row r="285" ht="13.5" customHeight="1"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</row>
    <row r="286" ht="13.5" customHeight="1"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</row>
    <row r="287" ht="13.5" customHeight="1"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</row>
    <row r="288" ht="13.5" customHeight="1"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</row>
    <row r="289" ht="13.5" customHeight="1"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</row>
    <row r="290" ht="13.5" customHeight="1"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</row>
    <row r="291" ht="13.5" customHeight="1"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</row>
    <row r="292" ht="13.5" customHeight="1"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</row>
    <row r="293" ht="13.5" customHeight="1"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</row>
    <row r="294" ht="13.5" customHeight="1"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</row>
    <row r="295" ht="13.5" customHeight="1"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</row>
    <row r="296" ht="13.5" customHeight="1"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</row>
    <row r="297" ht="13.5" customHeight="1"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</row>
    <row r="298" ht="13.5" customHeight="1"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</row>
    <row r="299" ht="13.5" customHeight="1"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</row>
    <row r="300" ht="13.5" customHeight="1"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</row>
    <row r="301" ht="13.5" customHeight="1"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</row>
    <row r="302" ht="13.5" customHeight="1"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</row>
    <row r="303" ht="13.5" customHeight="1"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</row>
    <row r="304" ht="13.5" customHeight="1"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</row>
    <row r="305" ht="13.5" customHeight="1"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</row>
    <row r="306" ht="13.5" customHeight="1"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</row>
    <row r="307" ht="13.5" customHeight="1"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</row>
    <row r="308" ht="13.5" customHeight="1"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</row>
    <row r="309" ht="13.5" customHeight="1"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</row>
    <row r="310" ht="13.5" customHeight="1"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</row>
    <row r="311" ht="13.5" customHeight="1"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</row>
    <row r="312" ht="13.5" customHeight="1"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</row>
    <row r="313" ht="13.5" customHeight="1"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</row>
    <row r="314" ht="13.5" customHeight="1"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</row>
    <row r="315" ht="13.5" customHeight="1"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</row>
    <row r="316" ht="13.5" customHeight="1"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</row>
    <row r="317" ht="13.5" customHeight="1"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</row>
    <row r="318" ht="13.5" customHeight="1"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</row>
    <row r="319" ht="13.5" customHeight="1"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</row>
    <row r="320" ht="13.5" customHeight="1"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</row>
    <row r="321" ht="13.5" customHeight="1"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</row>
    <row r="322" ht="13.5" customHeight="1"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</row>
    <row r="323" ht="13.5" customHeight="1"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</row>
    <row r="324" ht="13.5" customHeight="1"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</row>
    <row r="325" ht="13.5" customHeight="1"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</row>
    <row r="326" ht="13.5" customHeight="1"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</row>
    <row r="327" ht="13.5" customHeight="1"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</row>
    <row r="328" ht="13.5" customHeight="1"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</row>
    <row r="329" ht="13.5" customHeight="1"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</row>
    <row r="330" ht="13.5" customHeight="1"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</row>
    <row r="331" ht="13.5" customHeight="1"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</row>
    <row r="332" ht="13.5" customHeight="1"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</row>
    <row r="333" ht="13.5" customHeight="1"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</row>
    <row r="334" ht="13.5" customHeight="1"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</row>
    <row r="335" ht="13.5" customHeight="1"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</row>
    <row r="336" ht="13.5" customHeight="1"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</row>
    <row r="337" ht="13.5" customHeight="1"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</row>
    <row r="338" ht="13.5" customHeight="1"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</row>
    <row r="339" ht="13.5" customHeight="1"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</row>
    <row r="340" ht="13.5" customHeight="1"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</row>
    <row r="341" ht="13.5" customHeight="1"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</row>
    <row r="342" ht="13.5" customHeight="1"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</row>
    <row r="343" ht="13.5" customHeight="1"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</row>
    <row r="344" ht="13.5" customHeight="1"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</row>
    <row r="345" ht="13.5" customHeight="1"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</row>
    <row r="346" ht="13.5" customHeight="1"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</row>
    <row r="347" ht="13.5" customHeight="1"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</row>
    <row r="348" ht="13.5" customHeight="1"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</row>
    <row r="349" ht="13.5" customHeight="1"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</row>
    <row r="350" ht="13.5" customHeight="1"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</row>
    <row r="351" ht="13.5" customHeight="1"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</row>
    <row r="352" ht="13.5" customHeight="1"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</row>
    <row r="353" ht="13.5" customHeight="1"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</row>
    <row r="354" ht="13.5" customHeight="1"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</row>
    <row r="355" ht="13.5" customHeight="1"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</row>
    <row r="356" ht="13.5" customHeight="1"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</row>
    <row r="357" ht="13.5" customHeight="1"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</row>
    <row r="358" ht="13.5" customHeight="1"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</row>
    <row r="359" ht="13.5" customHeight="1"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</row>
    <row r="360" ht="13.5" customHeight="1"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</row>
    <row r="361" ht="13.5" customHeight="1"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</row>
    <row r="362" ht="13.5" customHeight="1"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</row>
    <row r="363" ht="13.5" customHeight="1"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</row>
    <row r="364" ht="13.5" customHeight="1"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</row>
    <row r="365" ht="13.5" customHeight="1"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</row>
    <row r="366" ht="13.5" customHeight="1"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</row>
    <row r="367" ht="13.5" customHeight="1"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</row>
    <row r="368" ht="13.5" customHeight="1"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</row>
    <row r="369" ht="13.5" customHeight="1"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</row>
    <row r="370" ht="13.5" customHeight="1"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</row>
    <row r="371" ht="13.5" customHeight="1"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</row>
    <row r="372" ht="13.5" customHeight="1"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</row>
    <row r="373" ht="13.5" customHeight="1"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</row>
    <row r="374" ht="13.5" customHeight="1"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</row>
    <row r="375" ht="13.5" customHeight="1"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</row>
    <row r="376" ht="13.5" customHeight="1"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</row>
    <row r="377" ht="13.5" customHeight="1"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</row>
    <row r="378" ht="13.5" customHeight="1"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</row>
    <row r="379" ht="13.5" customHeight="1"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</row>
    <row r="380" ht="13.5" customHeight="1"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</row>
    <row r="381" ht="13.5" customHeight="1"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</row>
    <row r="382" ht="13.5" customHeight="1"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</row>
    <row r="383" ht="13.5" customHeight="1"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</row>
    <row r="384" ht="13.5" customHeight="1"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</row>
    <row r="385" ht="13.5" customHeight="1"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</row>
    <row r="386" ht="13.5" customHeight="1"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</row>
    <row r="387" ht="13.5" customHeight="1"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</row>
    <row r="388" ht="13.5" customHeight="1"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</row>
    <row r="389" ht="13.5" customHeight="1"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</row>
    <row r="390" ht="13.5" customHeight="1"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</row>
    <row r="391" ht="13.5" customHeight="1"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</row>
    <row r="392" ht="13.5" customHeight="1"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</row>
    <row r="393" ht="13.5" customHeight="1"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</row>
    <row r="394" ht="13.5" customHeight="1"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</row>
    <row r="395" ht="13.5" customHeight="1"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</row>
    <row r="396" ht="13.5" customHeight="1"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</row>
    <row r="397" ht="13.5" customHeight="1"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</row>
    <row r="398" ht="13.5" customHeight="1"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</row>
    <row r="399" ht="13.5" customHeight="1"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</row>
    <row r="400" ht="13.5" customHeight="1"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</row>
    <row r="401" ht="13.5" customHeight="1"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</row>
    <row r="402" ht="13.5" customHeight="1"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</row>
    <row r="403" ht="13.5" customHeight="1"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</row>
    <row r="404" ht="13.5" customHeight="1"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</row>
    <row r="405" ht="13.5" customHeight="1"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</row>
    <row r="406" ht="13.5" customHeight="1"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</row>
    <row r="407" ht="13.5" customHeight="1"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</row>
    <row r="408" ht="13.5" customHeight="1"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</row>
    <row r="409" ht="13.5" customHeight="1"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</row>
    <row r="410" ht="13.5" customHeight="1"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</row>
    <row r="411" ht="13.5" customHeight="1"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</row>
    <row r="412" ht="13.5" customHeight="1"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</row>
    <row r="413" ht="13.5" customHeight="1"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</row>
    <row r="414" ht="13.5" customHeight="1"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</row>
    <row r="415" ht="13.5" customHeight="1"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</row>
    <row r="416" ht="13.5" customHeight="1"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</row>
    <row r="417" ht="13.5" customHeight="1"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</row>
    <row r="418" ht="13.5" customHeight="1"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</row>
    <row r="419" ht="13.5" customHeight="1"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</row>
    <row r="420" ht="13.5" customHeight="1"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</row>
    <row r="421" ht="13.5" customHeight="1"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</row>
    <row r="422" ht="13.5" customHeight="1"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</row>
    <row r="423" ht="13.5" customHeight="1"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</row>
    <row r="424" ht="13.5" customHeight="1"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</row>
    <row r="425" ht="13.5" customHeight="1"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</row>
    <row r="426" ht="13.5" customHeight="1"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</row>
    <row r="427" ht="13.5" customHeight="1"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</row>
    <row r="428" ht="13.5" customHeight="1"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</row>
    <row r="429" ht="13.5" customHeight="1"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</row>
    <row r="430" ht="13.5" customHeight="1"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</row>
    <row r="431" ht="13.5" customHeight="1"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</row>
    <row r="432" ht="13.5" customHeight="1"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</row>
    <row r="433" ht="13.5" customHeight="1"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</row>
    <row r="434" ht="13.5" customHeight="1"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</row>
    <row r="435" ht="13.5" customHeight="1"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</row>
    <row r="436" ht="13.5" customHeight="1"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</row>
    <row r="437" ht="13.5" customHeight="1"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</row>
    <row r="438" ht="13.5" customHeight="1"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</row>
    <row r="439" ht="13.5" customHeight="1"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</row>
    <row r="440" ht="13.5" customHeight="1"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</row>
    <row r="441" ht="13.5" customHeight="1"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</row>
    <row r="442" ht="13.5" customHeight="1"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</row>
    <row r="443" ht="13.5" customHeight="1"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</row>
    <row r="444" ht="13.5" customHeight="1"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</row>
    <row r="445" ht="13.5" customHeight="1"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</row>
    <row r="446" ht="13.5" customHeight="1"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</row>
    <row r="447" ht="13.5" customHeight="1"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</row>
    <row r="448" ht="13.5" customHeight="1"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</row>
    <row r="449" ht="13.5" customHeight="1"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</row>
    <row r="450" ht="13.5" customHeight="1"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</row>
    <row r="451" ht="13.5" customHeight="1"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</row>
    <row r="452" ht="13.5" customHeight="1"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</row>
    <row r="453" ht="13.5" customHeight="1"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</row>
    <row r="454" ht="13.5" customHeight="1"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</row>
    <row r="455" ht="13.5" customHeight="1"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</row>
    <row r="456" ht="13.5" customHeight="1"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</row>
    <row r="457" ht="13.5" customHeight="1"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</row>
    <row r="458" ht="13.5" customHeight="1"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</row>
    <row r="459" ht="13.5" customHeight="1"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</row>
    <row r="460" ht="13.5" customHeight="1"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</row>
    <row r="461" ht="13.5" customHeight="1"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</row>
    <row r="462" ht="13.5" customHeight="1"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</row>
    <row r="463" ht="13.5" customHeight="1"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</row>
    <row r="464" ht="13.5" customHeight="1"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</row>
    <row r="465" ht="13.5" customHeight="1"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</row>
    <row r="466" ht="13.5" customHeight="1"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</row>
    <row r="467" ht="13.5" customHeight="1"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</row>
    <row r="468" ht="13.5" customHeight="1"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</row>
    <row r="469" ht="13.5" customHeight="1"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</row>
    <row r="470" ht="13.5" customHeight="1"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</row>
    <row r="471" ht="13.5" customHeight="1"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</row>
    <row r="472" ht="13.5" customHeight="1"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</row>
    <row r="473" ht="13.5" customHeight="1"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</row>
    <row r="474" ht="13.5" customHeight="1"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</row>
    <row r="475" ht="13.5" customHeight="1"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</row>
    <row r="476" ht="13.5" customHeight="1"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</row>
    <row r="477" ht="13.5" customHeight="1"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</row>
    <row r="478" ht="13.5" customHeight="1"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</row>
    <row r="479" ht="13.5" customHeight="1"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</row>
    <row r="480" ht="13.5" customHeight="1"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</row>
    <row r="481" ht="13.5" customHeight="1"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</row>
    <row r="482" ht="13.5" customHeight="1"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</row>
    <row r="483" ht="13.5" customHeight="1"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</row>
    <row r="484" ht="13.5" customHeight="1"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</row>
    <row r="485" ht="13.5" customHeight="1"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</row>
    <row r="486" ht="13.5" customHeight="1"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</row>
    <row r="487" ht="13.5" customHeight="1"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</row>
    <row r="488" ht="13.5" customHeight="1"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</row>
    <row r="489" ht="13.5" customHeight="1"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</row>
    <row r="490" ht="13.5" customHeight="1"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</row>
    <row r="491" ht="13.5" customHeight="1"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</row>
    <row r="492" ht="13.5" customHeight="1"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</row>
    <row r="493" ht="13.5" customHeight="1"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</row>
    <row r="494" ht="13.5" customHeight="1"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</row>
    <row r="495" ht="13.5" customHeight="1"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</row>
    <row r="496" ht="13.5" customHeight="1"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</row>
    <row r="497" ht="13.5" customHeight="1"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</row>
    <row r="498" ht="13.5" customHeight="1"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</row>
    <row r="499" ht="13.5" customHeight="1"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</row>
    <row r="500" ht="13.5" customHeight="1"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</row>
    <row r="501" ht="13.5" customHeight="1"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</row>
    <row r="502" ht="13.5" customHeight="1"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</row>
    <row r="503" ht="13.5" customHeight="1"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</row>
    <row r="504" ht="13.5" customHeight="1"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</row>
    <row r="505" ht="13.5" customHeight="1"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</row>
    <row r="506" ht="13.5" customHeight="1"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</row>
    <row r="507" ht="13.5" customHeight="1"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</row>
    <row r="508" ht="13.5" customHeight="1"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</row>
    <row r="509" ht="13.5" customHeight="1"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</row>
    <row r="510" ht="13.5" customHeight="1"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</row>
    <row r="511" ht="13.5" customHeight="1"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</row>
    <row r="512" ht="13.5" customHeight="1"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</row>
    <row r="513" ht="13.5" customHeight="1"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</row>
    <row r="514" ht="13.5" customHeight="1"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</row>
    <row r="515" ht="13.5" customHeight="1"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</row>
    <row r="516" ht="13.5" customHeight="1"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</row>
    <row r="517" ht="13.5" customHeight="1"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</row>
    <row r="518" ht="13.5" customHeight="1"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</row>
    <row r="519" ht="13.5" customHeight="1"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</row>
    <row r="520" ht="13.5" customHeight="1"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</row>
    <row r="521" ht="13.5" customHeight="1"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</row>
    <row r="522" ht="13.5" customHeight="1"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</row>
    <row r="523" ht="13.5" customHeight="1"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</row>
    <row r="524" ht="13.5" customHeight="1"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</row>
    <row r="525" ht="13.5" customHeight="1"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</row>
    <row r="526" ht="13.5" customHeight="1"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</row>
    <row r="527" ht="13.5" customHeight="1"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</row>
    <row r="528" ht="13.5" customHeight="1"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</row>
    <row r="529" ht="13.5" customHeight="1"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</row>
    <row r="530" ht="13.5" customHeight="1"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</row>
    <row r="531" ht="13.5" customHeight="1"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</row>
    <row r="532" ht="13.5" customHeight="1"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</row>
    <row r="533" ht="13.5" customHeight="1"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</row>
    <row r="534" ht="13.5" customHeight="1"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</row>
    <row r="535" ht="13.5" customHeight="1"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</row>
    <row r="536" ht="13.5" customHeight="1"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</row>
    <row r="537" ht="13.5" customHeight="1"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</row>
    <row r="538" ht="13.5" customHeight="1"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</row>
    <row r="539" ht="13.5" customHeight="1"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</row>
    <row r="540" ht="13.5" customHeight="1"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</row>
    <row r="541" ht="13.5" customHeight="1"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</row>
    <row r="542" ht="13.5" customHeight="1"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</row>
    <row r="543" ht="13.5" customHeight="1"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</row>
    <row r="544" ht="13.5" customHeight="1"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</row>
    <row r="545" ht="13.5" customHeight="1"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</row>
    <row r="546" ht="13.5" customHeight="1"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</row>
    <row r="547" ht="13.5" customHeight="1"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</row>
    <row r="548" ht="13.5" customHeight="1"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</row>
    <row r="549" ht="13.5" customHeight="1"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</row>
    <row r="550" ht="13.5" customHeight="1"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</row>
    <row r="551" ht="13.5" customHeight="1"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</row>
    <row r="552" ht="13.5" customHeight="1"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</row>
    <row r="553" ht="13.5" customHeight="1"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</row>
    <row r="554" ht="13.5" customHeight="1"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</row>
    <row r="555" ht="13.5" customHeight="1"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</row>
    <row r="556" ht="13.5" customHeight="1"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</row>
    <row r="557" ht="13.5" customHeight="1"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</row>
    <row r="558" ht="13.5" customHeight="1"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</row>
    <row r="559" ht="13.5" customHeight="1"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</row>
    <row r="560" ht="13.5" customHeight="1"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</row>
    <row r="561" ht="13.5" customHeight="1"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</row>
    <row r="562" ht="13.5" customHeight="1"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</row>
    <row r="563" ht="13.5" customHeight="1"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</row>
    <row r="564" ht="13.5" customHeight="1"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</row>
    <row r="565" ht="13.5" customHeight="1"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</row>
    <row r="566" ht="13.5" customHeight="1"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</row>
    <row r="567" ht="13.5" customHeight="1"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</row>
    <row r="568" ht="13.5" customHeight="1"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</row>
    <row r="569" ht="13.5" customHeight="1"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</row>
    <row r="570" ht="13.5" customHeight="1"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</row>
    <row r="571" ht="13.5" customHeight="1"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</row>
    <row r="572" ht="13.5" customHeight="1"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</row>
    <row r="573" ht="13.5" customHeight="1"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</row>
    <row r="574" ht="13.5" customHeight="1"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</row>
    <row r="575" ht="13.5" customHeight="1"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</row>
    <row r="576" ht="13.5" customHeight="1"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</row>
    <row r="577" ht="13.5" customHeight="1"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</row>
    <row r="578" ht="13.5" customHeight="1"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</row>
    <row r="579" ht="13.5" customHeight="1"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</row>
    <row r="580" ht="13.5" customHeight="1"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</row>
    <row r="581" ht="13.5" customHeight="1"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</row>
    <row r="582" ht="13.5" customHeight="1"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</row>
    <row r="583" ht="13.5" customHeight="1"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</row>
    <row r="584" ht="13.5" customHeight="1"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</row>
    <row r="585" ht="13.5" customHeight="1"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</row>
    <row r="586" ht="13.5" customHeight="1"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</row>
    <row r="587" ht="13.5" customHeight="1"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</row>
    <row r="588" ht="13.5" customHeight="1"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</row>
    <row r="589" ht="13.5" customHeight="1"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</row>
    <row r="590" ht="13.5" customHeight="1"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</row>
    <row r="591" ht="13.5" customHeight="1"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</row>
    <row r="592" ht="13.5" customHeight="1"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</row>
    <row r="593" ht="13.5" customHeight="1"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</row>
    <row r="594" ht="13.5" customHeight="1"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</row>
    <row r="595" ht="13.5" customHeight="1"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</row>
    <row r="596" ht="13.5" customHeight="1"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</row>
    <row r="597" ht="13.5" customHeight="1"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</row>
    <row r="598" ht="13.5" customHeight="1"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</row>
    <row r="599" ht="13.5" customHeight="1"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</row>
    <row r="600" ht="13.5" customHeight="1"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</row>
    <row r="601" ht="13.5" customHeight="1"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</row>
    <row r="602" ht="13.5" customHeight="1"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</row>
    <row r="603" ht="13.5" customHeight="1"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</row>
    <row r="604" ht="13.5" customHeight="1"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</row>
    <row r="605" ht="13.5" customHeight="1"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</row>
    <row r="606" ht="13.5" customHeight="1"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</row>
    <row r="607" ht="13.5" customHeight="1"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</row>
    <row r="608" ht="13.5" customHeight="1"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</row>
    <row r="609" ht="13.5" customHeight="1"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</row>
    <row r="610" ht="13.5" customHeight="1"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</row>
    <row r="611" ht="13.5" customHeight="1"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</row>
    <row r="612" ht="13.5" customHeight="1"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</row>
    <row r="613" ht="13.5" customHeight="1"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</row>
    <row r="614" ht="13.5" customHeight="1"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</row>
    <row r="615" ht="13.5" customHeight="1"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</row>
    <row r="616" ht="13.5" customHeight="1"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</row>
    <row r="617" ht="13.5" customHeight="1"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</row>
    <row r="618" ht="13.5" customHeight="1"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</row>
    <row r="619" ht="13.5" customHeight="1"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</row>
    <row r="620" ht="13.5" customHeight="1"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</row>
    <row r="621" ht="13.5" customHeight="1"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</row>
    <row r="622" ht="13.5" customHeight="1"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</row>
    <row r="623" ht="13.5" customHeight="1"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</row>
    <row r="624" ht="13.5" customHeight="1"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</row>
    <row r="625" ht="13.5" customHeight="1"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</row>
    <row r="626" ht="13.5" customHeight="1"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</row>
    <row r="627" ht="13.5" customHeight="1"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</row>
    <row r="628" ht="13.5" customHeight="1"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</row>
    <row r="629" ht="13.5" customHeight="1"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</row>
    <row r="630" ht="13.5" customHeight="1"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</row>
    <row r="631" ht="13.5" customHeight="1"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</row>
    <row r="632" ht="13.5" customHeight="1"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</row>
    <row r="633" ht="13.5" customHeight="1"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</row>
    <row r="634" ht="13.5" customHeight="1"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</row>
    <row r="635" ht="13.5" customHeight="1"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</row>
    <row r="636" ht="13.5" customHeight="1"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</row>
    <row r="637" ht="13.5" customHeight="1"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</row>
    <row r="638" ht="13.5" customHeight="1"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</row>
    <row r="639" ht="13.5" customHeight="1"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</row>
    <row r="640" ht="13.5" customHeight="1"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</row>
    <row r="641" ht="13.5" customHeight="1"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</row>
    <row r="642" ht="13.5" customHeight="1"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</row>
    <row r="643" ht="13.5" customHeight="1"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</row>
    <row r="644" ht="13.5" customHeight="1"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</row>
    <row r="645" ht="13.5" customHeight="1"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</row>
    <row r="646" ht="13.5" customHeight="1"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</row>
    <row r="647" ht="13.5" customHeight="1"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</row>
    <row r="648" ht="13.5" customHeight="1"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</row>
    <row r="649" ht="13.5" customHeight="1"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</row>
    <row r="650" ht="13.5" customHeight="1"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</row>
    <row r="651" ht="13.5" customHeight="1"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</row>
    <row r="652" ht="13.5" customHeight="1"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</row>
    <row r="653" ht="13.5" customHeight="1"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</row>
    <row r="654" ht="13.5" customHeight="1"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</row>
    <row r="655" ht="13.5" customHeight="1"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</row>
    <row r="656" ht="13.5" customHeight="1"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</row>
    <row r="657" ht="13.5" customHeight="1"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</row>
    <row r="658" ht="13.5" customHeight="1"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</row>
    <row r="659" ht="13.5" customHeight="1"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</row>
    <row r="660" ht="13.5" customHeight="1"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</row>
    <row r="661" ht="13.5" customHeight="1"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</row>
    <row r="662" ht="13.5" customHeight="1"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</row>
    <row r="663" ht="13.5" customHeight="1"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</row>
    <row r="664" ht="13.5" customHeight="1"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</row>
    <row r="665" ht="13.5" customHeight="1"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</row>
    <row r="666" ht="13.5" customHeight="1"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</row>
    <row r="667" ht="13.5" customHeight="1"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</row>
    <row r="668" ht="13.5" customHeight="1"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</row>
    <row r="669" ht="13.5" customHeight="1"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</row>
    <row r="670" ht="13.5" customHeight="1"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</row>
    <row r="671" ht="13.5" customHeight="1"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</row>
    <row r="672" ht="13.5" customHeight="1"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</row>
    <row r="673" ht="13.5" customHeight="1"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</row>
    <row r="674" ht="13.5" customHeight="1"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</row>
    <row r="675" ht="13.5" customHeight="1"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</row>
    <row r="676" ht="13.5" customHeight="1"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</row>
    <row r="677" ht="13.5" customHeight="1"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</row>
    <row r="678" ht="13.5" customHeight="1"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</row>
    <row r="679" ht="13.5" customHeight="1"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</row>
    <row r="680" ht="13.5" customHeight="1"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</row>
    <row r="681" ht="13.5" customHeight="1"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</row>
    <row r="682" ht="13.5" customHeight="1"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</row>
    <row r="683" ht="13.5" customHeight="1"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</row>
    <row r="684" ht="13.5" customHeight="1"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</row>
    <row r="685" ht="13.5" customHeight="1"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</row>
    <row r="686" ht="13.5" customHeight="1"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</row>
    <row r="687" ht="13.5" customHeight="1"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</row>
    <row r="688" ht="13.5" customHeight="1"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</row>
    <row r="689" ht="13.5" customHeight="1"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</row>
    <row r="690" ht="13.5" customHeight="1"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</row>
    <row r="691" ht="13.5" customHeight="1"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</row>
    <row r="692" ht="13.5" customHeight="1"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</row>
    <row r="693" ht="13.5" customHeight="1"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</row>
    <row r="694" ht="13.5" customHeight="1"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</row>
    <row r="695" ht="13.5" customHeight="1"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</row>
    <row r="696" ht="13.5" customHeight="1"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</row>
    <row r="697" ht="13.5" customHeight="1"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</row>
    <row r="698" ht="13.5" customHeight="1"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</row>
    <row r="699" ht="13.5" customHeight="1"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</row>
    <row r="700" ht="13.5" customHeight="1"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</row>
    <row r="701" ht="13.5" customHeight="1"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</row>
    <row r="702" ht="13.5" customHeight="1"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</row>
    <row r="703" ht="13.5" customHeight="1"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</row>
    <row r="704" ht="13.5" customHeight="1"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</row>
    <row r="705" ht="13.5" customHeight="1"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</row>
    <row r="706" ht="13.5" customHeight="1"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</row>
    <row r="707" ht="13.5" customHeight="1"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</row>
    <row r="708" ht="13.5" customHeight="1"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</row>
    <row r="709" ht="13.5" customHeight="1"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</row>
    <row r="710" ht="13.5" customHeight="1"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</row>
    <row r="711" ht="13.5" customHeight="1"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</row>
    <row r="712" ht="13.5" customHeight="1"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</row>
    <row r="713" ht="13.5" customHeight="1"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</row>
    <row r="714" ht="13.5" customHeight="1"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</row>
    <row r="715" ht="13.5" customHeight="1"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</row>
    <row r="716" ht="13.5" customHeight="1"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</row>
    <row r="717" ht="13.5" customHeight="1"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</row>
    <row r="718" ht="13.5" customHeight="1"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</row>
    <row r="719" ht="13.5" customHeight="1"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</row>
    <row r="720" ht="13.5" customHeight="1"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</row>
    <row r="721" ht="13.5" customHeight="1"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</row>
    <row r="722" ht="13.5" customHeight="1"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</row>
    <row r="723" ht="13.5" customHeight="1"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</row>
    <row r="724" ht="13.5" customHeight="1"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</row>
    <row r="725" ht="13.5" customHeight="1"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</row>
    <row r="726" ht="13.5" customHeight="1"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</row>
    <row r="727" ht="13.5" customHeight="1"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</row>
    <row r="728" ht="13.5" customHeight="1"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</row>
    <row r="729" ht="13.5" customHeight="1"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</row>
    <row r="730" ht="13.5" customHeight="1"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</row>
    <row r="731" ht="13.5" customHeight="1"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</row>
    <row r="732" ht="13.5" customHeight="1"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</row>
    <row r="733" ht="13.5" customHeight="1"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</row>
    <row r="734" ht="13.5" customHeight="1"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</row>
    <row r="735" ht="13.5" customHeight="1"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</row>
    <row r="736" ht="13.5" customHeight="1"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</row>
    <row r="737" ht="13.5" customHeight="1"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</row>
    <row r="738" ht="13.5" customHeight="1"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</row>
    <row r="739" ht="13.5" customHeight="1"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</row>
    <row r="740" ht="13.5" customHeight="1"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</row>
    <row r="741" ht="13.5" customHeight="1"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</row>
    <row r="742" ht="13.5" customHeight="1"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</row>
    <row r="743" ht="13.5" customHeight="1"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</row>
    <row r="744" ht="13.5" customHeight="1"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</row>
    <row r="745" ht="13.5" customHeight="1"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</row>
    <row r="746" ht="13.5" customHeight="1"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</row>
    <row r="747" ht="13.5" customHeight="1"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</row>
    <row r="748" ht="13.5" customHeight="1"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</row>
    <row r="749" ht="13.5" customHeight="1"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</row>
    <row r="750" ht="13.5" customHeight="1"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</row>
    <row r="751" ht="13.5" customHeight="1"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</row>
    <row r="752" ht="13.5" customHeight="1"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</row>
    <row r="753" ht="13.5" customHeight="1"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</row>
    <row r="754" ht="13.5" customHeight="1"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</row>
    <row r="755" ht="13.5" customHeight="1"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</row>
    <row r="756" ht="13.5" customHeight="1"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</row>
    <row r="757" ht="13.5" customHeight="1"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</row>
    <row r="758" ht="13.5" customHeight="1"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</row>
    <row r="759" ht="13.5" customHeight="1"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</row>
    <row r="760" ht="13.5" customHeight="1"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</row>
    <row r="761" ht="13.5" customHeight="1"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</row>
    <row r="762" ht="13.5" customHeight="1"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</row>
    <row r="763" ht="13.5" customHeight="1"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</row>
    <row r="764" ht="13.5" customHeight="1"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</row>
    <row r="765" ht="13.5" customHeight="1"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</row>
    <row r="766" ht="13.5" customHeight="1"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</row>
    <row r="767" ht="13.5" customHeight="1"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</row>
    <row r="768" ht="13.5" customHeight="1"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</row>
    <row r="769" ht="13.5" customHeight="1"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</row>
    <row r="770" ht="13.5" customHeight="1"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</row>
    <row r="771" ht="13.5" customHeight="1"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</row>
    <row r="772" ht="13.5" customHeight="1"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</row>
    <row r="773" ht="13.5" customHeight="1"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</row>
    <row r="774" ht="13.5" customHeight="1"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</row>
    <row r="775" ht="13.5" customHeight="1"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</row>
    <row r="776" ht="13.5" customHeight="1"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</row>
    <row r="777" ht="13.5" customHeight="1"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</row>
    <row r="778" ht="13.5" customHeight="1"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</row>
    <row r="779" ht="13.5" customHeight="1"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</row>
    <row r="780" ht="13.5" customHeight="1"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</row>
    <row r="781" ht="13.5" customHeight="1"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</row>
    <row r="782" ht="13.5" customHeight="1"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</row>
    <row r="783" ht="13.5" customHeight="1"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</row>
    <row r="784" ht="13.5" customHeight="1"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</row>
    <row r="785" ht="13.5" customHeight="1"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</row>
    <row r="786" ht="13.5" customHeight="1"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</row>
    <row r="787" ht="13.5" customHeight="1"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</row>
    <row r="788" ht="13.5" customHeight="1"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</row>
    <row r="789" ht="13.5" customHeight="1"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</row>
    <row r="790" ht="13.5" customHeight="1"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</row>
    <row r="791" ht="13.5" customHeight="1"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</row>
    <row r="792" ht="13.5" customHeight="1"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</row>
    <row r="793" ht="13.5" customHeight="1"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</row>
    <row r="794" ht="13.5" customHeight="1"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</row>
    <row r="795" ht="13.5" customHeight="1"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</row>
    <row r="796" ht="13.5" customHeight="1"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</row>
    <row r="797" ht="13.5" customHeight="1"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</row>
    <row r="798" ht="13.5" customHeight="1"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</row>
    <row r="799" ht="13.5" customHeight="1"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</row>
    <row r="800" ht="13.5" customHeight="1"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</row>
    <row r="801" ht="13.5" customHeight="1"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</row>
    <row r="802" ht="13.5" customHeight="1"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</row>
    <row r="803" ht="13.5" customHeight="1"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</row>
    <row r="804" ht="13.5" customHeight="1"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</row>
    <row r="805" ht="13.5" customHeight="1"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</row>
    <row r="806" ht="13.5" customHeight="1"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</row>
    <row r="807" ht="13.5" customHeight="1"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</row>
    <row r="808" ht="13.5" customHeight="1"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</row>
    <row r="809" ht="13.5" customHeight="1"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</row>
    <row r="810" ht="13.5" customHeight="1"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</row>
    <row r="811" ht="13.5" customHeight="1"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</row>
    <row r="812" ht="13.5" customHeight="1"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</row>
    <row r="813" ht="13.5" customHeight="1"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</row>
    <row r="814" ht="13.5" customHeight="1"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</row>
    <row r="815" ht="13.5" customHeight="1"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</row>
    <row r="816" ht="13.5" customHeight="1"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</row>
    <row r="817" ht="13.5" customHeight="1"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</row>
    <row r="818" ht="13.5" customHeight="1"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</row>
    <row r="819" ht="13.5" customHeight="1"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</row>
    <row r="820" ht="13.5" customHeight="1"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</row>
    <row r="821" ht="13.5" customHeight="1"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</row>
    <row r="822" ht="13.5" customHeight="1"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</row>
    <row r="823" ht="13.5" customHeight="1"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</row>
    <row r="824" ht="13.5" customHeight="1"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</row>
    <row r="825" ht="13.5" customHeight="1"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</row>
    <row r="826" ht="13.5" customHeight="1"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</row>
    <row r="827" ht="13.5" customHeight="1"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</row>
    <row r="828" ht="13.5" customHeight="1"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</row>
    <row r="829" ht="13.5" customHeight="1"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</row>
    <row r="830" ht="13.5" customHeight="1"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</row>
    <row r="831" ht="13.5" customHeight="1"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</row>
    <row r="832" ht="13.5" customHeight="1"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</row>
    <row r="833" ht="13.5" customHeight="1"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</row>
    <row r="834" ht="13.5" customHeight="1"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</row>
    <row r="835" ht="13.5" customHeight="1"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</row>
    <row r="836" ht="13.5" customHeight="1"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</row>
    <row r="837" ht="13.5" customHeight="1"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</row>
    <row r="838" ht="13.5" customHeight="1"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</row>
    <row r="839" ht="13.5" customHeight="1"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</row>
    <row r="840" ht="13.5" customHeight="1"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</row>
    <row r="841" ht="13.5" customHeight="1"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</row>
    <row r="842" ht="13.5" customHeight="1"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</row>
    <row r="843" ht="13.5" customHeight="1"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</row>
    <row r="844" ht="13.5" customHeight="1"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</row>
    <row r="845" ht="13.5" customHeight="1"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</row>
    <row r="846" ht="13.5" customHeight="1"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</row>
    <row r="847" ht="13.5" customHeight="1"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</row>
    <row r="848" ht="13.5" customHeight="1"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</row>
    <row r="849" ht="13.5" customHeight="1"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</row>
    <row r="850" ht="13.5" customHeight="1"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</row>
    <row r="851" ht="13.5" customHeight="1"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</row>
    <row r="852" ht="13.5" customHeight="1"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</row>
    <row r="853" ht="13.5" customHeight="1"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</row>
    <row r="854" ht="13.5" customHeight="1"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</row>
    <row r="855" ht="13.5" customHeight="1"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</row>
    <row r="856" ht="13.5" customHeight="1"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</row>
    <row r="857" ht="13.5" customHeight="1"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</row>
    <row r="858" ht="13.5" customHeight="1"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</row>
    <row r="859" ht="13.5" customHeight="1"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</row>
    <row r="860" ht="13.5" customHeight="1"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</row>
    <row r="861" ht="13.5" customHeight="1"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</row>
    <row r="862" ht="13.5" customHeight="1"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</row>
    <row r="863" ht="13.5" customHeight="1"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</row>
    <row r="864" ht="13.5" customHeight="1"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</row>
    <row r="865" ht="13.5" customHeight="1"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</row>
    <row r="866" ht="13.5" customHeight="1"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</row>
    <row r="867" ht="13.5" customHeight="1"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</row>
    <row r="868" ht="13.5" customHeight="1"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</row>
    <row r="869" ht="13.5" customHeight="1"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</row>
    <row r="870" ht="13.5" customHeight="1"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</row>
    <row r="871" ht="13.5" customHeight="1"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</row>
    <row r="872" ht="13.5" customHeight="1"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</row>
    <row r="873" ht="13.5" customHeight="1"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</row>
    <row r="874" ht="13.5" customHeight="1"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</row>
    <row r="875" ht="13.5" customHeight="1"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</row>
    <row r="876" ht="13.5" customHeight="1"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</row>
    <row r="877" ht="13.5" customHeight="1"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</row>
    <row r="878" ht="13.5" customHeight="1"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</row>
    <row r="879" ht="13.5" customHeight="1"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</row>
    <row r="880" ht="13.5" customHeight="1"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</row>
    <row r="881" ht="13.5" customHeight="1"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</row>
    <row r="882" ht="13.5" customHeight="1"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</row>
    <row r="883" ht="13.5" customHeight="1"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</row>
    <row r="884" ht="13.5" customHeight="1"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</row>
    <row r="885" ht="13.5" customHeight="1"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</row>
    <row r="886" ht="13.5" customHeight="1"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</row>
    <row r="887" ht="13.5" customHeight="1"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</row>
    <row r="888" ht="13.5" customHeight="1"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</row>
    <row r="889" ht="13.5" customHeight="1"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</row>
    <row r="890" ht="13.5" customHeight="1"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</row>
    <row r="891" ht="13.5" customHeight="1"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</row>
    <row r="892" ht="13.5" customHeight="1"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</row>
    <row r="893" ht="13.5" customHeight="1"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</row>
    <row r="894" ht="13.5" customHeight="1"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</row>
    <row r="895" ht="13.5" customHeight="1"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</row>
    <row r="896" ht="13.5" customHeight="1"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</row>
    <row r="897" ht="13.5" customHeight="1"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</row>
    <row r="898" ht="13.5" customHeight="1"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</row>
    <row r="899" ht="13.5" customHeight="1"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</row>
    <row r="900" ht="13.5" customHeight="1"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</row>
    <row r="901" ht="13.5" customHeight="1"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</row>
    <row r="902" ht="13.5" customHeight="1"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</row>
    <row r="903" ht="13.5" customHeight="1"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</row>
    <row r="904" ht="13.5" customHeight="1"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</row>
    <row r="905" ht="13.5" customHeight="1"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</row>
    <row r="906" ht="13.5" customHeight="1"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</row>
    <row r="907" ht="13.5" customHeight="1"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</row>
    <row r="908" ht="13.5" customHeight="1"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</row>
    <row r="909" ht="13.5" customHeight="1"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</row>
    <row r="910" ht="13.5" customHeight="1"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</row>
    <row r="911" ht="13.5" customHeight="1"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</row>
    <row r="912" ht="13.5" customHeight="1"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</row>
    <row r="913" ht="13.5" customHeight="1"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</row>
    <row r="914" ht="13.5" customHeight="1"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</row>
    <row r="915" ht="13.5" customHeight="1"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</row>
    <row r="916" ht="13.5" customHeight="1"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</row>
    <row r="917" ht="13.5" customHeight="1"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</row>
    <row r="918" ht="13.5" customHeight="1"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</row>
    <row r="919" ht="13.5" customHeight="1"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</row>
    <row r="920" ht="13.5" customHeight="1"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</row>
    <row r="921" ht="13.5" customHeight="1"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</row>
    <row r="922" ht="13.5" customHeight="1"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</row>
    <row r="923" ht="13.5" customHeight="1"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</row>
    <row r="924" ht="13.5" customHeight="1"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</row>
    <row r="925" ht="13.5" customHeight="1"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</row>
    <row r="926" ht="13.5" customHeight="1"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</row>
    <row r="927" ht="13.5" customHeight="1"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</row>
    <row r="928" ht="13.5" customHeight="1"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</row>
    <row r="929" ht="13.5" customHeight="1"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</row>
    <row r="930" ht="13.5" customHeight="1"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</row>
    <row r="931" ht="13.5" customHeight="1"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</row>
    <row r="932" ht="13.5" customHeight="1"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</row>
    <row r="933" ht="13.5" customHeight="1"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</row>
    <row r="934" ht="13.5" customHeight="1"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</row>
    <row r="935" ht="13.5" customHeight="1"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</row>
    <row r="936" ht="13.5" customHeight="1"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</row>
    <row r="937" ht="13.5" customHeight="1"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</row>
    <row r="938" ht="13.5" customHeight="1"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</row>
    <row r="939" ht="13.5" customHeight="1"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</row>
    <row r="940" ht="13.5" customHeight="1"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</row>
    <row r="941" ht="13.5" customHeight="1"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</row>
    <row r="942" ht="13.5" customHeight="1"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</row>
    <row r="943" ht="13.5" customHeight="1"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</row>
    <row r="944" ht="13.5" customHeight="1"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</row>
    <row r="945" ht="13.5" customHeight="1"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</row>
    <row r="946" ht="13.5" customHeight="1"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</row>
    <row r="947" ht="13.5" customHeight="1"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</row>
    <row r="948" ht="13.5" customHeight="1"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</row>
    <row r="949" ht="13.5" customHeight="1"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</row>
    <row r="950" ht="13.5" customHeight="1"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</row>
    <row r="951" ht="13.5" customHeight="1"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</row>
    <row r="952" ht="13.5" customHeight="1"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</row>
    <row r="953" ht="13.5" customHeight="1"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</row>
    <row r="954" ht="13.5" customHeight="1"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</row>
    <row r="955" ht="13.5" customHeight="1"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</row>
    <row r="956" ht="13.5" customHeight="1"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</row>
    <row r="957" ht="13.5" customHeight="1"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</row>
    <row r="958" ht="13.5" customHeight="1"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</row>
    <row r="959" ht="13.5" customHeight="1"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</row>
    <row r="960" ht="13.5" customHeight="1"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</row>
    <row r="961" ht="13.5" customHeight="1"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</row>
    <row r="962" ht="13.5" customHeight="1"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</row>
    <row r="963" ht="13.5" customHeight="1"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</row>
    <row r="964" ht="13.5" customHeight="1"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</row>
    <row r="965" ht="13.5" customHeight="1"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</row>
    <row r="966" ht="13.5" customHeight="1"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</row>
    <row r="967" ht="13.5" customHeight="1"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</row>
    <row r="968" ht="13.5" customHeight="1"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</row>
    <row r="969" ht="13.5" customHeight="1"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</row>
    <row r="970" ht="13.5" customHeight="1"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</row>
    <row r="971" ht="13.5" customHeight="1"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</row>
    <row r="972" ht="13.5" customHeight="1"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</row>
    <row r="973" ht="13.5" customHeight="1"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</row>
    <row r="974" ht="13.5" customHeight="1"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</row>
    <row r="975" ht="13.5" customHeight="1"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</row>
    <row r="976" ht="13.5" customHeight="1"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</row>
    <row r="977" ht="13.5" customHeight="1"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</row>
    <row r="978" ht="13.5" customHeight="1"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</row>
    <row r="979" ht="13.5" customHeight="1"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</row>
    <row r="980" ht="13.5" customHeight="1"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</row>
    <row r="981" ht="13.5" customHeight="1"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</row>
    <row r="982" ht="13.5" customHeight="1"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</row>
    <row r="983" ht="13.5" customHeight="1"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</row>
    <row r="984" ht="13.5" customHeight="1"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</row>
    <row r="985" ht="13.5" customHeight="1"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</row>
    <row r="986" ht="13.5" customHeight="1"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</row>
    <row r="987" ht="13.5" customHeight="1"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</row>
    <row r="988" ht="13.5" customHeight="1"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</row>
    <row r="989" ht="13.5" customHeight="1"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</row>
    <row r="990" ht="13.5" customHeight="1"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</row>
    <row r="991" ht="13.5" customHeight="1"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</row>
    <row r="992" ht="13.5" customHeight="1"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</row>
    <row r="993" ht="13.5" customHeight="1"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</row>
    <row r="994" ht="13.5" customHeight="1"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</row>
    <row r="995" ht="13.5" customHeight="1"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</row>
    <row r="996" ht="13.5" customHeight="1"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</row>
    <row r="997" ht="13.5" customHeight="1"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</row>
    <row r="998" ht="13.5" customHeight="1"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</row>
    <row r="999" ht="13.5" customHeight="1"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</row>
    <row r="1000" ht="13.5" customHeight="1"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</row>
  </sheetData>
  <mergeCells count="7">
    <mergeCell ref="Q1:R1"/>
    <mergeCell ref="A1:A2"/>
    <mergeCell ref="B1:B2"/>
    <mergeCell ref="J1:J2"/>
    <mergeCell ref="K1:L1"/>
    <mergeCell ref="M1:N1"/>
    <mergeCell ref="O1:P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9.75"/>
    <col customWidth="1" min="2" max="2" width="11.13"/>
    <col customWidth="1" min="3" max="28" width="8.63"/>
  </cols>
  <sheetData>
    <row r="1" ht="13.5" customHeight="1">
      <c r="A1" s="2" t="s">
        <v>1</v>
      </c>
      <c r="B1" s="4" t="s">
        <v>4</v>
      </c>
      <c r="C1" s="60" t="s">
        <v>62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20"/>
    </row>
    <row r="2" ht="14.25" customHeight="1">
      <c r="A2" s="23"/>
      <c r="B2" s="25"/>
      <c r="C2" s="66">
        <v>0.0</v>
      </c>
      <c r="D2" s="68">
        <v>100.0</v>
      </c>
      <c r="E2" s="68">
        <v>200.0</v>
      </c>
      <c r="F2" s="68">
        <v>300.0</v>
      </c>
      <c r="G2" s="68">
        <v>400.0</v>
      </c>
      <c r="H2" s="68">
        <v>500.0</v>
      </c>
      <c r="I2" s="68">
        <v>600.0</v>
      </c>
      <c r="J2" s="68">
        <v>700.0</v>
      </c>
      <c r="K2" s="68">
        <v>800.0</v>
      </c>
      <c r="L2" s="68">
        <v>900.0</v>
      </c>
      <c r="M2" s="68">
        <v>1000.0</v>
      </c>
      <c r="N2" s="68">
        <v>1100.0</v>
      </c>
      <c r="O2" s="68">
        <v>1200.0</v>
      </c>
      <c r="P2" s="68">
        <v>1300.0</v>
      </c>
      <c r="Q2" s="68">
        <v>1400.0</v>
      </c>
      <c r="R2" s="68">
        <v>1500.0</v>
      </c>
      <c r="S2" s="68">
        <v>1600.0</v>
      </c>
      <c r="T2" s="68">
        <v>1700.0</v>
      </c>
      <c r="U2" s="68">
        <v>1800.0</v>
      </c>
      <c r="V2" s="68">
        <v>1900.0</v>
      </c>
      <c r="W2" s="68">
        <v>2000.0</v>
      </c>
      <c r="X2" s="68">
        <v>2100.0</v>
      </c>
      <c r="Y2" s="68">
        <v>2200.0</v>
      </c>
      <c r="Z2" s="68">
        <v>2300.0</v>
      </c>
      <c r="AA2" s="68">
        <v>2400.0</v>
      </c>
      <c r="AB2" s="73">
        <v>2500.0</v>
      </c>
    </row>
    <row r="3" ht="13.5" customHeight="1">
      <c r="A3" s="43" t="str">
        <f>'電流表'!A3</f>
        <v>K1.8D1</v>
      </c>
      <c r="B3" s="76" t="str">
        <f>'電流表'!B3</f>
        <v>5C216SMIC</v>
      </c>
      <c r="C3" s="77">
        <v>8.543713568</v>
      </c>
      <c r="D3" s="52">
        <v>1853.172335711</v>
      </c>
      <c r="E3" s="52">
        <v>3632.412676181</v>
      </c>
      <c r="F3" s="52">
        <v>5399.29449507</v>
      </c>
      <c r="G3" s="52">
        <v>7217.006629735</v>
      </c>
      <c r="H3" s="52">
        <v>8949.200917079</v>
      </c>
      <c r="I3" s="52">
        <v>10437.72178917</v>
      </c>
      <c r="J3" s="52">
        <v>11568.646380885</v>
      </c>
      <c r="K3" s="52">
        <v>12493.095626127</v>
      </c>
      <c r="L3" s="52">
        <v>13231.266065671</v>
      </c>
      <c r="M3" s="52">
        <v>13783.557589638</v>
      </c>
      <c r="N3" s="52">
        <v>14240.070228187</v>
      </c>
      <c r="O3" s="52">
        <v>14643.964257296</v>
      </c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6"/>
    </row>
    <row r="4" ht="13.5" customHeight="1">
      <c r="A4" s="61" t="str">
        <f>'電流表'!A4</f>
        <v>K1.8Q1</v>
      </c>
      <c r="B4" s="80" t="str">
        <f>'電流表'!B4</f>
        <v>NQ312MIC</v>
      </c>
      <c r="C4" s="79">
        <v>1.200157934</v>
      </c>
      <c r="D4" s="69">
        <v>430.2629934</v>
      </c>
      <c r="E4" s="69">
        <v>862.0256041</v>
      </c>
      <c r="F4" s="69">
        <v>1292.581906</v>
      </c>
      <c r="G4" s="69">
        <v>1722.278736</v>
      </c>
      <c r="H4" s="69">
        <v>2148.407498</v>
      </c>
      <c r="I4" s="69">
        <v>2570.712312</v>
      </c>
      <c r="J4" s="69">
        <v>2943.313898</v>
      </c>
      <c r="K4" s="69">
        <v>3215.400932</v>
      </c>
      <c r="L4" s="69">
        <v>3432.64837</v>
      </c>
      <c r="M4" s="69">
        <v>3614.010146</v>
      </c>
      <c r="N4" s="69">
        <v>3766.337325</v>
      </c>
      <c r="O4" s="69">
        <v>3891.824661</v>
      </c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72"/>
    </row>
    <row r="5" ht="13.5" customHeight="1">
      <c r="A5" s="61" t="str">
        <f>'電流表'!A5</f>
        <v>K1.8Q2</v>
      </c>
      <c r="B5" s="80" t="str">
        <f>'電流表'!B5</f>
        <v>Q416MIC</v>
      </c>
      <c r="C5" s="79">
        <v>2.888435299</v>
      </c>
      <c r="D5" s="69">
        <v>289.695240211</v>
      </c>
      <c r="E5" s="69">
        <v>578.247411532</v>
      </c>
      <c r="F5" s="69">
        <v>869.927015497</v>
      </c>
      <c r="G5" s="69">
        <v>1161.202815591</v>
      </c>
      <c r="H5" s="69">
        <v>1450.984252163</v>
      </c>
      <c r="I5" s="69">
        <v>1739.039303698</v>
      </c>
      <c r="J5" s="69">
        <v>2029.042976257</v>
      </c>
      <c r="K5" s="69">
        <v>2318.913288373</v>
      </c>
      <c r="L5" s="69">
        <v>2611.053176816</v>
      </c>
      <c r="M5" s="69">
        <v>2899.726366755</v>
      </c>
      <c r="N5" s="69">
        <v>3181.438989952</v>
      </c>
      <c r="O5" s="69">
        <v>3433.211839652</v>
      </c>
      <c r="P5" s="69">
        <v>3660.56898671</v>
      </c>
      <c r="Q5" s="69">
        <v>3866.272792074</v>
      </c>
      <c r="R5" s="69">
        <v>4055.005056127</v>
      </c>
      <c r="S5" s="69">
        <v>4225.007510191</v>
      </c>
      <c r="T5" s="69">
        <v>4369.354940667</v>
      </c>
      <c r="U5" s="69">
        <v>4486.004392371</v>
      </c>
      <c r="V5" s="69">
        <v>4581.347479375</v>
      </c>
      <c r="W5" s="69">
        <v>4667.437016017</v>
      </c>
      <c r="X5" s="69">
        <v>4745.140490011</v>
      </c>
      <c r="Y5" s="69">
        <v>4819.920532804</v>
      </c>
      <c r="Z5" s="69">
        <v>4892.08622259</v>
      </c>
      <c r="AA5" s="69">
        <v>4960.213688957</v>
      </c>
      <c r="AB5" s="72">
        <v>5027.733826567</v>
      </c>
    </row>
    <row r="6" ht="13.5" customHeight="1">
      <c r="A6" s="61" t="str">
        <f>'電流表'!A6</f>
        <v>K1.8D2</v>
      </c>
      <c r="B6" s="80" t="str">
        <f>'電流表'!B6</f>
        <v>8D218SMIC</v>
      </c>
      <c r="C6" s="79">
        <v>17.032768899</v>
      </c>
      <c r="D6" s="69">
        <v>1273.334835178</v>
      </c>
      <c r="E6" s="69">
        <v>2530.771573457</v>
      </c>
      <c r="F6" s="69">
        <v>3782.336495183</v>
      </c>
      <c r="G6" s="69">
        <v>5031.945453104</v>
      </c>
      <c r="H6" s="69">
        <v>6287.390944819</v>
      </c>
      <c r="I6" s="69">
        <v>7539.051658853</v>
      </c>
      <c r="J6" s="69">
        <v>8792.373728696</v>
      </c>
      <c r="K6" s="69">
        <v>10028.584498974</v>
      </c>
      <c r="L6" s="69">
        <v>11276.013404329</v>
      </c>
      <c r="M6" s="69">
        <v>12490.80727886</v>
      </c>
      <c r="N6" s="69">
        <v>13647.712952301</v>
      </c>
      <c r="O6" s="69">
        <v>14710.858986556</v>
      </c>
      <c r="P6" s="69">
        <v>15692.490014542</v>
      </c>
      <c r="Q6" s="69">
        <v>16604.222130372</v>
      </c>
      <c r="R6" s="69">
        <v>17449.987812424</v>
      </c>
      <c r="S6" s="69">
        <v>18222.703325691</v>
      </c>
      <c r="T6" s="69">
        <v>18925.173430763</v>
      </c>
      <c r="U6" s="69">
        <v>19514.592163596</v>
      </c>
      <c r="V6" s="69">
        <v>20051.975227257</v>
      </c>
      <c r="W6" s="69">
        <v>20539.219548413</v>
      </c>
      <c r="X6" s="69">
        <v>20979.939141377</v>
      </c>
      <c r="Y6" s="69">
        <v>21400.103645866</v>
      </c>
      <c r="Z6" s="69">
        <v>21780.210733439</v>
      </c>
      <c r="AA6" s="69">
        <v>22143.372389692</v>
      </c>
      <c r="AB6" s="72">
        <v>22489.352602544</v>
      </c>
    </row>
    <row r="7" ht="13.5" customHeight="1">
      <c r="A7" s="61" t="str">
        <f>'電流表'!A7</f>
        <v>K1.8Q3</v>
      </c>
      <c r="B7" s="80" t="str">
        <f>'電流表'!B7</f>
        <v>Q410</v>
      </c>
      <c r="C7" s="79">
        <v>0.141106595</v>
      </c>
      <c r="D7" s="69">
        <v>299.959683295</v>
      </c>
      <c r="E7" s="69">
        <v>601.123930883</v>
      </c>
      <c r="F7" s="69">
        <v>905.858290795</v>
      </c>
      <c r="G7" s="69">
        <v>1207.398420228</v>
      </c>
      <c r="H7" s="69">
        <v>1511.369513309</v>
      </c>
      <c r="I7" s="69">
        <v>1814.587097795</v>
      </c>
      <c r="J7" s="69">
        <v>2117.994178637</v>
      </c>
      <c r="K7" s="69">
        <v>2421.652397488</v>
      </c>
      <c r="L7" s="69">
        <v>2723.851511981</v>
      </c>
      <c r="M7" s="69">
        <v>3028.009419392</v>
      </c>
      <c r="N7" s="69">
        <v>3330.954168261</v>
      </c>
      <c r="O7" s="69">
        <v>3635.174982935</v>
      </c>
      <c r="P7" s="69">
        <v>3939.010840836</v>
      </c>
      <c r="Q7" s="69">
        <v>4242.16369672</v>
      </c>
      <c r="R7" s="69">
        <v>4539.404940176</v>
      </c>
      <c r="S7" s="69">
        <v>4830.164504765</v>
      </c>
      <c r="T7" s="69">
        <v>5103.614815123</v>
      </c>
      <c r="U7" s="69">
        <v>5357.490237962</v>
      </c>
      <c r="V7" s="69">
        <v>5601.488693232</v>
      </c>
      <c r="W7" s="69">
        <v>5836.428184903</v>
      </c>
      <c r="X7" s="69">
        <v>6053.774693592</v>
      </c>
      <c r="Y7" s="69">
        <v>6263.89583368</v>
      </c>
      <c r="Z7" s="10"/>
      <c r="AA7" s="69"/>
      <c r="AB7" s="72"/>
    </row>
    <row r="8" ht="13.5" customHeight="1">
      <c r="A8" s="61" t="str">
        <f>'電流表'!A8</f>
        <v>K1.8O1</v>
      </c>
      <c r="B8" s="80" t="str">
        <f>'電流表'!B8</f>
        <v>O503</v>
      </c>
      <c r="C8" s="79">
        <v>0.25</v>
      </c>
      <c r="D8" s="69">
        <v>240.25</v>
      </c>
      <c r="E8" s="69">
        <v>459.75</v>
      </c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72"/>
    </row>
    <row r="9" ht="13.5" customHeight="1">
      <c r="A9" s="61" t="str">
        <f>'電流表'!A9</f>
        <v>K1.8Q4</v>
      </c>
      <c r="B9" s="80" t="str">
        <f>'電流表'!B9</f>
        <v>Q410</v>
      </c>
      <c r="C9" s="79">
        <v>1.016938208</v>
      </c>
      <c r="D9" s="69">
        <v>304.331544536</v>
      </c>
      <c r="E9" s="69">
        <v>601.624261514</v>
      </c>
      <c r="F9" s="69">
        <v>905.369077459</v>
      </c>
      <c r="G9" s="69">
        <v>1207.714731061</v>
      </c>
      <c r="H9" s="69">
        <v>1512.087962824</v>
      </c>
      <c r="I9" s="69">
        <v>1813.323659567</v>
      </c>
      <c r="J9" s="69">
        <v>2116.185740344</v>
      </c>
      <c r="K9" s="69">
        <v>2418.803380343</v>
      </c>
      <c r="L9" s="69">
        <v>2721.411191719</v>
      </c>
      <c r="M9" s="69">
        <v>3025.048859306</v>
      </c>
      <c r="N9" s="69">
        <v>3329.046504765</v>
      </c>
      <c r="O9" s="69">
        <v>3631.297800445</v>
      </c>
      <c r="P9" s="69">
        <v>3934.947863867</v>
      </c>
      <c r="Q9" s="69">
        <v>4238.075983905</v>
      </c>
      <c r="R9" s="69">
        <v>4535.391571737</v>
      </c>
      <c r="S9" s="69">
        <v>4823.847107156</v>
      </c>
      <c r="T9" s="69">
        <v>5094.807897738</v>
      </c>
      <c r="U9" s="69">
        <v>5353.402647267</v>
      </c>
      <c r="V9" s="69">
        <v>5597.141205434</v>
      </c>
      <c r="W9" s="69">
        <v>5826.2097328</v>
      </c>
      <c r="X9" s="69">
        <v>6045.68686362</v>
      </c>
      <c r="Y9" s="69">
        <v>6255.263275416</v>
      </c>
      <c r="Z9" s="69"/>
      <c r="AA9" s="69"/>
      <c r="AB9" s="72"/>
    </row>
    <row r="10" ht="13.5" customHeight="1">
      <c r="A10" s="61" t="str">
        <f>'電流表'!A10</f>
        <v>K1.8S1</v>
      </c>
      <c r="B10" s="80" t="str">
        <f>'電流表'!B10</f>
        <v>SX504</v>
      </c>
      <c r="C10" s="79">
        <v>-1.943507858</v>
      </c>
      <c r="D10" s="69">
        <v>175.9408254</v>
      </c>
      <c r="E10" s="69">
        <v>353.2536405</v>
      </c>
      <c r="F10" s="69">
        <v>529.2352299</v>
      </c>
      <c r="G10" s="69">
        <v>702.9784453</v>
      </c>
      <c r="H10" s="69">
        <v>870.6833263</v>
      </c>
      <c r="I10" s="69">
        <v>996.4058935</v>
      </c>
      <c r="J10" s="69">
        <v>1087.953854</v>
      </c>
      <c r="K10" s="69">
        <v>1157.903482</v>
      </c>
      <c r="L10" s="69">
        <v>1210.675496945</v>
      </c>
      <c r="M10" s="69">
        <v>1249.65822578</v>
      </c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72"/>
    </row>
    <row r="11" ht="13.5" customHeight="1">
      <c r="A11" s="61" t="str">
        <f>'電流表'!A11</f>
        <v>K1.8CM1</v>
      </c>
      <c r="B11" s="80" t="str">
        <f>'電流表'!B11</f>
        <v>4D604V</v>
      </c>
      <c r="C11" s="79">
        <v>11.0</v>
      </c>
      <c r="D11" s="69">
        <v>479.0</v>
      </c>
      <c r="E11" s="69">
        <v>949.0</v>
      </c>
      <c r="F11" s="69">
        <v>1414.0</v>
      </c>
      <c r="G11" s="69">
        <v>1870.0</v>
      </c>
      <c r="H11" s="69">
        <v>2256.0</v>
      </c>
      <c r="I11" s="69">
        <v>2593.0</v>
      </c>
      <c r="J11" s="69">
        <v>2912.0</v>
      </c>
      <c r="K11" s="69">
        <v>3211.0</v>
      </c>
      <c r="L11" s="69">
        <v>3489.0</v>
      </c>
      <c r="M11" s="69">
        <v>3761.0</v>
      </c>
      <c r="N11" s="69">
        <v>4026.0</v>
      </c>
      <c r="O11" s="69">
        <v>4290.0</v>
      </c>
      <c r="P11" s="69">
        <v>4551.0</v>
      </c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72"/>
    </row>
    <row r="12" ht="13.5" customHeight="1">
      <c r="A12" s="61" t="str">
        <f>'電流表'!A12</f>
        <v>K1.8CM2</v>
      </c>
      <c r="B12" s="80" t="str">
        <f>'電流表'!B12</f>
        <v>4D604V</v>
      </c>
      <c r="C12" s="79">
        <v>11.0</v>
      </c>
      <c r="D12" s="69">
        <v>479.0</v>
      </c>
      <c r="E12" s="69">
        <v>948.0</v>
      </c>
      <c r="F12" s="69">
        <v>1412.0</v>
      </c>
      <c r="G12" s="69">
        <v>1867.0</v>
      </c>
      <c r="H12" s="69">
        <v>2249.0</v>
      </c>
      <c r="I12" s="69">
        <v>2585.0</v>
      </c>
      <c r="J12" s="69">
        <v>2902.0</v>
      </c>
      <c r="K12" s="69">
        <v>3199.0</v>
      </c>
      <c r="L12" s="69">
        <v>3475.0</v>
      </c>
      <c r="M12" s="69">
        <v>3745.0</v>
      </c>
      <c r="N12" s="69">
        <v>4011.0</v>
      </c>
      <c r="O12" s="69">
        <v>4274.0</v>
      </c>
      <c r="P12" s="69">
        <v>4535.0</v>
      </c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72"/>
    </row>
    <row r="13" ht="13.5" customHeight="1">
      <c r="A13" s="61" t="str">
        <f>'電流表'!A13</f>
        <v>K1.8S2</v>
      </c>
      <c r="B13" s="80" t="str">
        <f>'電流表'!B13</f>
        <v>SX504</v>
      </c>
      <c r="C13" s="79">
        <v>2.460460796</v>
      </c>
      <c r="D13" s="81">
        <v>188.254877312</v>
      </c>
      <c r="E13" s="69">
        <v>371.939105192</v>
      </c>
      <c r="F13" s="69">
        <v>554.409919265</v>
      </c>
      <c r="G13" s="69">
        <v>734.381419231</v>
      </c>
      <c r="H13" s="69">
        <v>899.810253942</v>
      </c>
      <c r="I13" s="69">
        <v>1014.693410597</v>
      </c>
      <c r="J13" s="69">
        <v>1097.683902907</v>
      </c>
      <c r="K13" s="69">
        <v>1162.494333196</v>
      </c>
      <c r="L13" s="69">
        <v>1210.744248317</v>
      </c>
      <c r="M13" s="69">
        <v>1250.179708395</v>
      </c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72"/>
    </row>
    <row r="14" ht="13.5" customHeight="1">
      <c r="A14" s="61" t="str">
        <f>'電流表'!A14</f>
        <v>K1.8Q5</v>
      </c>
      <c r="B14" s="80" t="str">
        <f>'電流表'!B14</f>
        <v>NQ510</v>
      </c>
      <c r="C14" s="79">
        <v>3.251610625</v>
      </c>
      <c r="D14" s="69">
        <v>425.061858834</v>
      </c>
      <c r="E14" s="69">
        <v>849.003290744</v>
      </c>
      <c r="F14" s="69">
        <v>1271.078952616</v>
      </c>
      <c r="G14" s="69">
        <v>1693.034476096</v>
      </c>
      <c r="H14" s="69">
        <v>2117.659769025</v>
      </c>
      <c r="I14" s="69">
        <v>2540.904322186</v>
      </c>
      <c r="J14" s="69">
        <v>2960.510861073</v>
      </c>
      <c r="K14" s="69">
        <v>3379.785284901</v>
      </c>
      <c r="L14" s="69">
        <v>3795.764282657</v>
      </c>
      <c r="M14" s="69">
        <v>4205.510078776</v>
      </c>
      <c r="N14" s="69">
        <v>4593.177099526</v>
      </c>
      <c r="O14" s="69">
        <v>4945.783140483</v>
      </c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72"/>
    </row>
    <row r="15" ht="13.5" customHeight="1">
      <c r="A15" s="61" t="str">
        <f>'電流表'!A15</f>
        <v>K1.8Q6</v>
      </c>
      <c r="B15" s="80" t="str">
        <f>'電流表'!B15</f>
        <v>NQ610</v>
      </c>
      <c r="C15" s="79">
        <v>4.297368467</v>
      </c>
      <c r="D15" s="69">
        <v>433.480307911</v>
      </c>
      <c r="E15" s="69">
        <v>865.256250548</v>
      </c>
      <c r="F15" s="69">
        <v>1293.140323045</v>
      </c>
      <c r="G15" s="69">
        <v>1725.771371032</v>
      </c>
      <c r="H15" s="69">
        <v>2152.469246176</v>
      </c>
      <c r="I15" s="69">
        <v>2579.645541552</v>
      </c>
      <c r="J15" s="69">
        <v>3006.891374035</v>
      </c>
      <c r="K15" s="69">
        <v>3431.050022307</v>
      </c>
      <c r="L15" s="69">
        <v>3854.511281267</v>
      </c>
      <c r="M15" s="69">
        <v>4274.1556435</v>
      </c>
      <c r="N15" s="69">
        <v>4678.037367576</v>
      </c>
      <c r="O15" s="69">
        <v>5052.044744247</v>
      </c>
      <c r="P15" s="69">
        <v>5387.230894101</v>
      </c>
      <c r="Q15" s="69">
        <v>5697.166696279</v>
      </c>
      <c r="R15" s="69">
        <v>5983.649295663</v>
      </c>
      <c r="S15" s="69">
        <v>6248.760358876</v>
      </c>
      <c r="T15" s="69">
        <v>6490.223401757</v>
      </c>
      <c r="U15" s="69"/>
      <c r="V15" s="69"/>
      <c r="W15" s="69"/>
      <c r="X15" s="69"/>
      <c r="Y15" s="69"/>
      <c r="Z15" s="69"/>
      <c r="AA15" s="69"/>
      <c r="AB15" s="72"/>
    </row>
    <row r="16" ht="14.25" customHeight="1">
      <c r="A16" s="82" t="str">
        <f>'電流表'!A16</f>
        <v>K1.8D3</v>
      </c>
      <c r="B16" s="83" t="str">
        <f>'電流表'!B16</f>
        <v>6D330S</v>
      </c>
      <c r="C16" s="84">
        <v>6.210203923</v>
      </c>
      <c r="D16" s="85">
        <v>3392.147889</v>
      </c>
      <c r="E16" s="85">
        <v>6730.404057</v>
      </c>
      <c r="F16" s="85">
        <v>10063.05133</v>
      </c>
      <c r="G16" s="85">
        <v>13226.62985</v>
      </c>
      <c r="H16" s="85">
        <v>16010.55847</v>
      </c>
      <c r="I16" s="85">
        <v>18267.84224</v>
      </c>
      <c r="J16" s="85">
        <v>19835.08207</v>
      </c>
      <c r="K16" s="85">
        <v>20885.17732</v>
      </c>
      <c r="L16" s="85">
        <v>21736.11132</v>
      </c>
      <c r="M16" s="85">
        <v>22472.05939</v>
      </c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6"/>
    </row>
    <row r="17" ht="13.5" customHeight="1">
      <c r="A17" s="40" t="str">
        <f>'電流表'!A17</f>
        <v>K1.8Q7</v>
      </c>
      <c r="B17" s="88" t="str">
        <f>'電流表'!B17</f>
        <v>NQ408</v>
      </c>
      <c r="C17" s="59">
        <v>14.1727</v>
      </c>
      <c r="D17" s="51">
        <v>306.511</v>
      </c>
      <c r="E17" s="51">
        <v>596.978</v>
      </c>
      <c r="F17" s="51">
        <v>883.709</v>
      </c>
      <c r="G17" s="51">
        <v>1176.03</v>
      </c>
      <c r="H17" s="51">
        <v>1468.19</v>
      </c>
      <c r="I17" s="51">
        <v>1758.45</v>
      </c>
      <c r="J17" s="51">
        <v>2041.58</v>
      </c>
      <c r="K17" s="51">
        <v>2317.55</v>
      </c>
      <c r="L17" s="51">
        <v>2543.19</v>
      </c>
      <c r="M17" s="51">
        <v>2725.52</v>
      </c>
      <c r="N17" s="51">
        <v>2885.37</v>
      </c>
      <c r="O17" s="51">
        <v>3025.87</v>
      </c>
      <c r="P17" s="51">
        <v>3149.89</v>
      </c>
      <c r="Q17" s="51">
        <v>3257.44</v>
      </c>
      <c r="R17" s="51">
        <v>3351.09</v>
      </c>
      <c r="S17" s="51">
        <v>3430.05</v>
      </c>
      <c r="T17" s="51">
        <v>3497.89</v>
      </c>
      <c r="U17" s="51">
        <v>3558.29</v>
      </c>
      <c r="V17" s="51">
        <v>3614.83</v>
      </c>
      <c r="W17" s="51">
        <v>3667.83</v>
      </c>
      <c r="X17" s="51"/>
      <c r="Y17" s="51"/>
      <c r="Z17" s="51"/>
      <c r="AA17" s="51"/>
      <c r="AB17" s="64"/>
    </row>
    <row r="18" ht="13.5" customHeight="1">
      <c r="A18" s="61" t="str">
        <f>'電流表'!A18</f>
        <v>K1.8O2</v>
      </c>
      <c r="B18" s="80" t="str">
        <f>'電流表'!B18</f>
        <v>O603</v>
      </c>
      <c r="C18" s="79">
        <v>0.25</v>
      </c>
      <c r="D18" s="79">
        <v>111.0</v>
      </c>
      <c r="E18" s="79">
        <v>221.625</v>
      </c>
      <c r="F18" s="69">
        <v>331.875</v>
      </c>
      <c r="G18" s="69">
        <v>437.125</v>
      </c>
      <c r="H18" s="69">
        <v>514.75</v>
      </c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72"/>
    </row>
    <row r="19" ht="13.5" customHeight="1">
      <c r="A19" s="61" t="str">
        <f>'電流表'!A19</f>
        <v>K1.8S3</v>
      </c>
      <c r="B19" s="80" t="str">
        <f>'電流表'!B19</f>
        <v>SX604</v>
      </c>
      <c r="C19" s="79">
        <v>1.0</v>
      </c>
      <c r="D19" s="79">
        <v>170.0</v>
      </c>
      <c r="E19" s="79">
        <v>341.0</v>
      </c>
      <c r="F19" s="79">
        <v>510.0</v>
      </c>
      <c r="G19" s="79">
        <v>678.0</v>
      </c>
      <c r="H19" s="79">
        <v>844.0</v>
      </c>
      <c r="I19" s="69">
        <v>988.0</v>
      </c>
      <c r="J19" s="69">
        <v>1098.0</v>
      </c>
      <c r="K19" s="69">
        <v>1186.0</v>
      </c>
      <c r="L19" s="69">
        <v>1252.0</v>
      </c>
      <c r="M19" s="69">
        <v>1302.0</v>
      </c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72"/>
    </row>
    <row r="20" ht="13.5" customHeight="1">
      <c r="A20" s="61" t="str">
        <f>'電流表'!A20</f>
        <v>K1.8CM3</v>
      </c>
      <c r="B20" s="80" t="str">
        <f>'電流表'!B20</f>
        <v>4D604V</v>
      </c>
      <c r="C20" s="79">
        <v>11.0</v>
      </c>
      <c r="D20" s="69">
        <v>479.0</v>
      </c>
      <c r="E20" s="69">
        <v>949.0</v>
      </c>
      <c r="F20" s="69">
        <v>1414.0</v>
      </c>
      <c r="G20" s="69">
        <v>1870.0</v>
      </c>
      <c r="H20" s="69">
        <v>2256.0</v>
      </c>
      <c r="I20" s="69">
        <v>2593.0</v>
      </c>
      <c r="J20" s="69">
        <v>2912.0</v>
      </c>
      <c r="K20" s="69">
        <v>3211.0</v>
      </c>
      <c r="L20" s="69">
        <v>3489.0</v>
      </c>
      <c r="M20" s="69">
        <v>3761.0</v>
      </c>
      <c r="N20" s="69">
        <v>4026.0</v>
      </c>
      <c r="O20" s="69">
        <v>4290.0</v>
      </c>
      <c r="P20" s="69">
        <v>4551.0</v>
      </c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72"/>
    </row>
    <row r="21" ht="13.5" customHeight="1">
      <c r="A21" s="61" t="str">
        <f>'電流表'!A21</f>
        <v>K1.8CM4</v>
      </c>
      <c r="B21" s="80" t="str">
        <f>'電流表'!B21</f>
        <v>4D604V</v>
      </c>
      <c r="C21" s="79">
        <v>11.0</v>
      </c>
      <c r="D21" s="69">
        <v>479.0</v>
      </c>
      <c r="E21" s="69">
        <v>949.0</v>
      </c>
      <c r="F21" s="69">
        <v>1414.0</v>
      </c>
      <c r="G21" s="69">
        <v>1870.0</v>
      </c>
      <c r="H21" s="69">
        <v>2256.0</v>
      </c>
      <c r="I21" s="69">
        <v>2593.0</v>
      </c>
      <c r="J21" s="69">
        <v>2912.0</v>
      </c>
      <c r="K21" s="69">
        <v>3211.0</v>
      </c>
      <c r="L21" s="69">
        <v>3489.0</v>
      </c>
      <c r="M21" s="69">
        <v>3761.0</v>
      </c>
      <c r="N21" s="69">
        <v>4026.0</v>
      </c>
      <c r="O21" s="69">
        <v>4290.0</v>
      </c>
      <c r="P21" s="69">
        <v>4551.0</v>
      </c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72"/>
    </row>
    <row r="22" ht="13.5" customHeight="1">
      <c r="A22" s="61" t="str">
        <f>'電流表'!A22</f>
        <v>K1.8S4</v>
      </c>
      <c r="B22" s="80" t="str">
        <f>'電流表'!B22</f>
        <v>SX604</v>
      </c>
      <c r="C22" s="79">
        <v>1.0</v>
      </c>
      <c r="D22" s="69">
        <v>171.0</v>
      </c>
      <c r="E22" s="69">
        <v>344.0</v>
      </c>
      <c r="F22" s="69">
        <v>514.0</v>
      </c>
      <c r="G22" s="69">
        <v>683.0</v>
      </c>
      <c r="H22" s="69">
        <v>850.0</v>
      </c>
      <c r="I22" s="69">
        <v>995.0</v>
      </c>
      <c r="J22" s="69">
        <v>1105.0</v>
      </c>
      <c r="K22" s="69">
        <v>1194.0</v>
      </c>
      <c r="L22" s="69">
        <v>1260.0</v>
      </c>
      <c r="M22" s="69">
        <v>1311.0</v>
      </c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72"/>
    </row>
    <row r="23" ht="13.5" customHeight="1">
      <c r="A23" s="61" t="str">
        <f>'電流表'!A23</f>
        <v>K1.8Q8</v>
      </c>
      <c r="B23" s="80" t="str">
        <f>'電流表'!B23</f>
        <v>NQ512</v>
      </c>
      <c r="C23" s="79">
        <v>13.9014</v>
      </c>
      <c r="D23" s="69">
        <v>391.441</v>
      </c>
      <c r="E23" s="69">
        <v>758.432</v>
      </c>
      <c r="F23" s="69">
        <v>1132.68</v>
      </c>
      <c r="G23" s="69">
        <v>1502.06</v>
      </c>
      <c r="H23" s="69">
        <v>1879.73</v>
      </c>
      <c r="I23" s="69">
        <v>2250.36</v>
      </c>
      <c r="J23" s="69">
        <v>2628.87</v>
      </c>
      <c r="K23" s="69">
        <v>3005.28</v>
      </c>
      <c r="L23" s="69">
        <v>3384.21</v>
      </c>
      <c r="M23" s="69">
        <v>3761.88</v>
      </c>
      <c r="N23" s="69">
        <v>4111.37</v>
      </c>
      <c r="O23" s="69">
        <v>4429.99</v>
      </c>
      <c r="P23" s="69">
        <v>4711.11</v>
      </c>
      <c r="Q23" s="69">
        <v>4968.04</v>
      </c>
      <c r="R23" s="69">
        <v>5200.43</v>
      </c>
      <c r="S23" s="69">
        <v>5403.01</v>
      </c>
      <c r="T23" s="69">
        <v>5563.74</v>
      </c>
      <c r="U23" s="69">
        <v>5689.15</v>
      </c>
      <c r="V23" s="69">
        <v>5798.69</v>
      </c>
      <c r="W23" s="69">
        <v>5897.28</v>
      </c>
      <c r="X23" s="69"/>
      <c r="Y23" s="69"/>
      <c r="Z23" s="69"/>
      <c r="AA23" s="69"/>
      <c r="AB23" s="72"/>
    </row>
    <row r="24" ht="13.5" customHeight="1">
      <c r="A24" s="61" t="str">
        <f>'電流表'!A24</f>
        <v>K1.8O3</v>
      </c>
      <c r="B24" s="80" t="str">
        <f>'電流表'!B24</f>
        <v>O603</v>
      </c>
      <c r="C24" s="79">
        <v>0.25</v>
      </c>
      <c r="D24" s="69">
        <v>110.875</v>
      </c>
      <c r="E24" s="69">
        <v>221.5</v>
      </c>
      <c r="F24" s="69">
        <v>331.75</v>
      </c>
      <c r="G24" s="69">
        <v>436.875</v>
      </c>
      <c r="H24" s="69">
        <v>514.625</v>
      </c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72"/>
    </row>
    <row r="25" ht="13.5" customHeight="1">
      <c r="A25" s="61" t="str">
        <f>'電流表'!A25</f>
        <v>K1.8Q9</v>
      </c>
      <c r="B25" s="80" t="str">
        <f>'電流表'!B25</f>
        <v>NQ518</v>
      </c>
      <c r="C25" s="79">
        <v>19.3283</v>
      </c>
      <c r="D25" s="79">
        <v>390.281</v>
      </c>
      <c r="E25" s="79">
        <v>758.938</v>
      </c>
      <c r="F25" s="79">
        <v>1128.16</v>
      </c>
      <c r="G25" s="79">
        <v>1498.15</v>
      </c>
      <c r="H25" s="79">
        <v>1871.59</v>
      </c>
      <c r="I25" s="69">
        <v>2244.47</v>
      </c>
      <c r="J25" s="69">
        <v>2623.06</v>
      </c>
      <c r="K25" s="69">
        <v>2999.03</v>
      </c>
      <c r="L25" s="69">
        <v>3380.15</v>
      </c>
      <c r="M25" s="69">
        <v>3757.32</v>
      </c>
      <c r="N25" s="69">
        <v>4136.24</v>
      </c>
      <c r="O25" s="69">
        <v>4487.97</v>
      </c>
      <c r="P25" s="69">
        <v>4807.96</v>
      </c>
      <c r="Q25" s="69">
        <v>5100.3</v>
      </c>
      <c r="R25" s="69">
        <v>5369.43</v>
      </c>
      <c r="S25" s="69">
        <v>5614.89</v>
      </c>
      <c r="T25" s="69">
        <v>5830.65</v>
      </c>
      <c r="U25" s="69">
        <v>6006.42</v>
      </c>
      <c r="V25" s="69">
        <v>6145.78</v>
      </c>
      <c r="W25" s="69">
        <v>6266.69</v>
      </c>
      <c r="X25" s="69"/>
      <c r="Y25" s="69"/>
      <c r="Z25" s="69"/>
      <c r="AA25" s="69"/>
      <c r="AB25" s="72"/>
    </row>
    <row r="26" ht="13.5" customHeight="1">
      <c r="A26" s="61" t="str">
        <f>'電流表'!A26</f>
        <v>K1.8Q10</v>
      </c>
      <c r="B26" s="80" t="str">
        <f>'電流表'!B26</f>
        <v>NQ418</v>
      </c>
      <c r="C26" s="79">
        <v>16.8862</v>
      </c>
      <c r="D26" s="69">
        <v>381.894</v>
      </c>
      <c r="E26" s="69">
        <v>748.541</v>
      </c>
      <c r="F26" s="69">
        <v>1114.4</v>
      </c>
      <c r="G26" s="69">
        <v>1479.67</v>
      </c>
      <c r="H26" s="69">
        <v>1855.52</v>
      </c>
      <c r="I26" s="69">
        <v>2224.7</v>
      </c>
      <c r="J26" s="69">
        <v>2600.35</v>
      </c>
      <c r="K26" s="69">
        <v>2974.33</v>
      </c>
      <c r="L26" s="69">
        <v>3355.02</v>
      </c>
      <c r="M26" s="69">
        <v>3733.06</v>
      </c>
      <c r="N26" s="69">
        <v>4098.2</v>
      </c>
      <c r="O26" s="69">
        <v>4429.13</v>
      </c>
      <c r="P26" s="69">
        <v>4731.17</v>
      </c>
      <c r="Q26" s="69">
        <v>5008.03</v>
      </c>
      <c r="R26" s="69">
        <v>5260.21</v>
      </c>
      <c r="S26" s="69">
        <v>5486.14</v>
      </c>
      <c r="T26" s="69">
        <v>5675.14</v>
      </c>
      <c r="U26" s="69">
        <v>5826.84</v>
      </c>
      <c r="V26" s="69">
        <v>5957.01</v>
      </c>
      <c r="W26" s="69">
        <v>6071.68</v>
      </c>
      <c r="X26" s="69"/>
      <c r="Y26" s="69"/>
      <c r="Z26" s="69"/>
      <c r="AA26" s="69"/>
      <c r="AB26" s="72"/>
    </row>
    <row r="27" ht="13.5" customHeight="1">
      <c r="A27" s="61" t="str">
        <f>'電流表'!A27</f>
        <v>K1.8Q11</v>
      </c>
      <c r="B27" s="80" t="str">
        <f>'電流表'!B27</f>
        <v>NQ412</v>
      </c>
      <c r="C27" s="79">
        <v>13.0997</v>
      </c>
      <c r="D27" s="69">
        <v>377.541</v>
      </c>
      <c r="E27" s="69">
        <v>740.093</v>
      </c>
      <c r="F27" s="69">
        <v>1101.49</v>
      </c>
      <c r="G27" s="69">
        <v>1466.14</v>
      </c>
      <c r="H27" s="69">
        <v>1831.6</v>
      </c>
      <c r="I27" s="69">
        <v>2196.03</v>
      </c>
      <c r="J27" s="69">
        <v>2566.8</v>
      </c>
      <c r="K27" s="69">
        <v>2939.12</v>
      </c>
      <c r="L27" s="69">
        <v>3310.04</v>
      </c>
      <c r="M27" s="69">
        <v>3678.87</v>
      </c>
      <c r="N27" s="69">
        <v>4024.07</v>
      </c>
      <c r="O27" s="69">
        <v>4324.37</v>
      </c>
      <c r="P27" s="69">
        <v>4603.3</v>
      </c>
      <c r="Q27" s="69">
        <v>4850.66</v>
      </c>
      <c r="R27" s="69">
        <v>5073.97</v>
      </c>
      <c r="S27" s="69">
        <v>5264.77</v>
      </c>
      <c r="T27" s="69">
        <v>5414.69</v>
      </c>
      <c r="U27" s="69">
        <v>5538.9</v>
      </c>
      <c r="V27" s="69">
        <v>5649.56</v>
      </c>
      <c r="W27" s="69">
        <v>5748.04</v>
      </c>
      <c r="X27" s="69"/>
      <c r="Y27" s="69"/>
      <c r="Z27" s="69"/>
      <c r="AA27" s="69"/>
      <c r="AB27" s="72"/>
    </row>
    <row r="28" ht="13.5" customHeight="1">
      <c r="A28" s="61" t="str">
        <f>'電流表'!A28</f>
        <v>K1.8D4</v>
      </c>
      <c r="B28" s="80" t="str">
        <f>'電流表'!B28</f>
        <v>13D389S</v>
      </c>
      <c r="C28" s="79">
        <v>6.709269217</v>
      </c>
      <c r="D28" s="69">
        <v>1200.999059333</v>
      </c>
      <c r="E28" s="69">
        <v>2392.852245007</v>
      </c>
      <c r="F28" s="69">
        <v>3593.850963396</v>
      </c>
      <c r="G28" s="69">
        <v>4791.220126131</v>
      </c>
      <c r="H28" s="69">
        <v>5993.72845971</v>
      </c>
      <c r="I28" s="69">
        <v>7184.882753471</v>
      </c>
      <c r="J28" s="69">
        <v>8384.061723035</v>
      </c>
      <c r="K28" s="69">
        <v>9574.789673206</v>
      </c>
      <c r="L28" s="69">
        <v>10762.0</v>
      </c>
      <c r="M28" s="69">
        <v>11952.0</v>
      </c>
      <c r="N28" s="69">
        <v>13142.0</v>
      </c>
      <c r="O28" s="69">
        <v>14333.0</v>
      </c>
      <c r="P28" s="69">
        <v>15387.0</v>
      </c>
      <c r="Q28" s="69">
        <v>16441.0</v>
      </c>
      <c r="R28" s="69">
        <v>17496.0</v>
      </c>
      <c r="S28" s="69">
        <v>18550.0</v>
      </c>
      <c r="T28" s="69"/>
      <c r="U28" s="69"/>
      <c r="V28" s="69"/>
      <c r="W28" s="69"/>
      <c r="X28" s="69"/>
      <c r="Y28" s="69"/>
      <c r="Z28" s="69"/>
      <c r="AA28" s="69"/>
      <c r="AB28" s="72"/>
    </row>
    <row r="29" ht="13.5" customHeight="1">
      <c r="A29" s="61" t="str">
        <f>'電流表'!A29</f>
        <v>K1.8D4副</v>
      </c>
      <c r="B29" s="80" t="str">
        <f>'電流表'!B29</f>
        <v>13D389S副</v>
      </c>
      <c r="C29" s="79">
        <v>7.723467534</v>
      </c>
      <c r="D29" s="69">
        <v>422.009311403</v>
      </c>
      <c r="E29" s="69">
        <v>838.29494973</v>
      </c>
      <c r="F29" s="69">
        <v>1255.518968771</v>
      </c>
      <c r="G29" s="69">
        <v>1674.30556366</v>
      </c>
      <c r="H29" s="69">
        <v>2093.55452551</v>
      </c>
      <c r="I29" s="69">
        <v>2512.760581604</v>
      </c>
      <c r="J29" s="69">
        <v>2932.750854147</v>
      </c>
      <c r="K29" s="69">
        <v>3352.966715805</v>
      </c>
      <c r="L29" s="69">
        <v>3772.773555193</v>
      </c>
      <c r="M29" s="69">
        <v>4192.218573515</v>
      </c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72"/>
    </row>
    <row r="30" ht="13.5" customHeight="1">
      <c r="A30" s="61" t="str">
        <f>'電流表'!A30</f>
        <v>K1.8Q12</v>
      </c>
      <c r="B30" s="80" t="str">
        <f>'電流表'!B30</f>
        <v>NQ412</v>
      </c>
      <c r="C30" s="79">
        <v>14.4071</v>
      </c>
      <c r="D30" s="69">
        <v>381.45</v>
      </c>
      <c r="E30" s="69">
        <v>746.827</v>
      </c>
      <c r="F30" s="69">
        <v>1112.73</v>
      </c>
      <c r="G30" s="69">
        <v>1479.67</v>
      </c>
      <c r="H30" s="69">
        <v>1851.56</v>
      </c>
      <c r="I30" s="69">
        <v>2219.12</v>
      </c>
      <c r="J30" s="69">
        <v>2594.61</v>
      </c>
      <c r="K30" s="69">
        <v>2970.0</v>
      </c>
      <c r="L30" s="69">
        <v>3340.85</v>
      </c>
      <c r="M30" s="69">
        <v>3712.98</v>
      </c>
      <c r="N30" s="69">
        <v>4053.25</v>
      </c>
      <c r="O30" s="69">
        <v>4357.61</v>
      </c>
      <c r="P30" s="69">
        <v>4631.61</v>
      </c>
      <c r="Q30" s="69">
        <v>4878.34</v>
      </c>
      <c r="R30" s="69">
        <v>5097.35</v>
      </c>
      <c r="S30" s="69">
        <v>5281.74</v>
      </c>
      <c r="T30" s="69">
        <v>5426.13</v>
      </c>
      <c r="U30" s="69">
        <v>5549.1</v>
      </c>
      <c r="V30" s="69">
        <v>5657.06</v>
      </c>
      <c r="W30" s="69">
        <v>5754.43</v>
      </c>
      <c r="X30" s="69"/>
      <c r="Y30" s="69"/>
      <c r="Z30" s="69"/>
      <c r="AA30" s="69"/>
      <c r="AB30" s="72"/>
    </row>
    <row r="31" ht="14.25" customHeight="1">
      <c r="A31" s="89" t="str">
        <f>'電流表'!A31</f>
        <v>K1.8Q13</v>
      </c>
      <c r="B31" s="73" t="str">
        <f>'電流表'!B31</f>
        <v>NQ412</v>
      </c>
      <c r="C31" s="98">
        <v>16.6025</v>
      </c>
      <c r="D31" s="93">
        <v>379.354</v>
      </c>
      <c r="E31" s="93">
        <v>742.584</v>
      </c>
      <c r="F31" s="93">
        <v>1107.89</v>
      </c>
      <c r="G31" s="93">
        <v>1476.05</v>
      </c>
      <c r="H31" s="93">
        <v>1846.45</v>
      </c>
      <c r="I31" s="93">
        <v>2212.9</v>
      </c>
      <c r="J31" s="93">
        <v>2587.13</v>
      </c>
      <c r="K31" s="93">
        <v>2960.27</v>
      </c>
      <c r="L31" s="93">
        <v>3333.64</v>
      </c>
      <c r="M31" s="93">
        <v>3706.83</v>
      </c>
      <c r="N31" s="93">
        <v>4048.7</v>
      </c>
      <c r="O31" s="93">
        <v>4353.3</v>
      </c>
      <c r="P31" s="93">
        <v>4626.07</v>
      </c>
      <c r="Q31" s="93">
        <v>4877.73</v>
      </c>
      <c r="R31" s="93">
        <v>5098.33</v>
      </c>
      <c r="S31" s="93">
        <v>5282.35</v>
      </c>
      <c r="T31" s="93">
        <v>5427.85</v>
      </c>
      <c r="U31" s="93">
        <v>5549.23</v>
      </c>
      <c r="V31" s="93">
        <v>5658.78</v>
      </c>
      <c r="W31" s="93">
        <v>5757.51</v>
      </c>
      <c r="X31" s="93"/>
      <c r="Y31" s="93"/>
      <c r="Z31" s="93"/>
      <c r="AA31" s="93"/>
      <c r="AB31" s="103"/>
    </row>
    <row r="32" ht="13.5" customHeight="1">
      <c r="A32" s="40" t="str">
        <f>'電流表'!A32</f>
        <v>K1.8BRS3</v>
      </c>
      <c r="B32" s="88" t="str">
        <f>'電流表'!B32</f>
        <v>SX404</v>
      </c>
      <c r="C32" s="59">
        <v>1.0</v>
      </c>
      <c r="D32" s="51">
        <v>16.0</v>
      </c>
      <c r="E32" s="51">
        <v>32.0</v>
      </c>
      <c r="F32" s="51">
        <v>47.0</v>
      </c>
      <c r="G32" s="51">
        <v>62.5</v>
      </c>
      <c r="H32" s="51">
        <v>78.0</v>
      </c>
      <c r="I32" s="51">
        <v>93.5</v>
      </c>
      <c r="J32" s="51">
        <v>109.0</v>
      </c>
      <c r="K32" s="51">
        <v>125.0</v>
      </c>
      <c r="L32" s="51">
        <v>140.5</v>
      </c>
      <c r="M32" s="51">
        <v>156.0</v>
      </c>
      <c r="N32" s="51">
        <v>171.5</v>
      </c>
      <c r="O32" s="51">
        <v>187.0</v>
      </c>
      <c r="P32" s="51">
        <v>202.5</v>
      </c>
      <c r="Q32" s="51">
        <v>218.5</v>
      </c>
      <c r="R32" s="51">
        <v>234.0</v>
      </c>
      <c r="S32" s="51">
        <v>250.0</v>
      </c>
      <c r="T32" s="51">
        <v>265.5</v>
      </c>
      <c r="U32" s="51">
        <v>281.0</v>
      </c>
      <c r="V32" s="51">
        <v>288.5</v>
      </c>
      <c r="W32" s="51">
        <v>296.5</v>
      </c>
      <c r="X32" s="51">
        <v>312.5</v>
      </c>
      <c r="Y32" s="51"/>
      <c r="Z32" s="51"/>
      <c r="AA32" s="51"/>
      <c r="AB32" s="64"/>
    </row>
    <row r="33" ht="13.5" customHeight="1">
      <c r="A33" s="61" t="str">
        <f>'電流表'!A33</f>
        <v>K1.8BRQ7</v>
      </c>
      <c r="B33" s="80" t="str">
        <f>'電流表'!B33</f>
        <v>Q306</v>
      </c>
      <c r="C33" s="79">
        <v>3.75</v>
      </c>
      <c r="D33" s="69">
        <v>433.125</v>
      </c>
      <c r="E33" s="69">
        <v>868.125</v>
      </c>
      <c r="F33" s="69">
        <v>1301.25</v>
      </c>
      <c r="G33" s="69">
        <v>1734.375</v>
      </c>
      <c r="H33" s="69">
        <v>2169.375</v>
      </c>
      <c r="I33" s="69">
        <v>2602.5</v>
      </c>
      <c r="J33" s="69">
        <v>3030.0</v>
      </c>
      <c r="K33" s="69">
        <v>3457.5</v>
      </c>
      <c r="L33" s="69">
        <v>3873.75</v>
      </c>
      <c r="M33" s="69">
        <v>4267.5</v>
      </c>
      <c r="N33" s="69">
        <v>4620.0</v>
      </c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72"/>
    </row>
    <row r="34" ht="13.5" customHeight="1">
      <c r="A34" s="61" t="str">
        <f>'電流表'!A34</f>
        <v>K1.8BRD4</v>
      </c>
      <c r="B34" s="80" t="str">
        <f>'電流表'!B34</f>
        <v>8D440S</v>
      </c>
      <c r="C34" s="79">
        <v>797.7</v>
      </c>
      <c r="D34" s="69">
        <v>1432.113569</v>
      </c>
      <c r="E34" s="69">
        <v>2148.296304</v>
      </c>
      <c r="F34" s="69">
        <v>2933.758689</v>
      </c>
      <c r="G34" s="69">
        <v>3776.754464</v>
      </c>
      <c r="H34" s="69">
        <v>4666.280625</v>
      </c>
      <c r="I34" s="69">
        <v>5592.077424</v>
      </c>
      <c r="J34" s="69">
        <v>6544.628368999999</v>
      </c>
      <c r="K34" s="69">
        <v>7515.160223999999</v>
      </c>
      <c r="L34" s="69">
        <v>8495.643009</v>
      </c>
      <c r="M34" s="69">
        <v>9478.79</v>
      </c>
      <c r="N34" s="69">
        <v>10458.057728999998</v>
      </c>
      <c r="O34" s="69">
        <v>11427.645984</v>
      </c>
      <c r="P34" s="69">
        <v>12382.497809</v>
      </c>
      <c r="Q34" s="69">
        <v>13318.299504000004</v>
      </c>
      <c r="R34" s="69">
        <v>14231.480625</v>
      </c>
      <c r="S34" s="69">
        <v>15119.213984</v>
      </c>
      <c r="T34" s="69">
        <v>15979.415649000002</v>
      </c>
      <c r="U34" s="69">
        <v>16810.744944000002</v>
      </c>
      <c r="V34" s="69">
        <v>17612.604449</v>
      </c>
      <c r="W34" s="69">
        <v>18385.14</v>
      </c>
      <c r="X34" s="69">
        <v>19129.240689</v>
      </c>
      <c r="Y34" s="69">
        <v>19846.538864</v>
      </c>
      <c r="Z34" s="69">
        <v>20539.410129000004</v>
      </c>
      <c r="AA34" s="69">
        <v>21210.973344000005</v>
      </c>
      <c r="AB34" s="72">
        <v>21865.090625000004</v>
      </c>
    </row>
    <row r="35" ht="13.5" customHeight="1">
      <c r="A35" s="61" t="str">
        <f>'電流表'!A35</f>
        <v>K1.8BRQ8</v>
      </c>
      <c r="B35" s="80" t="str">
        <f>'電流表'!B35</f>
        <v>NQ408</v>
      </c>
      <c r="C35" s="79">
        <v>13.6424</v>
      </c>
      <c r="D35" s="69">
        <v>306.671</v>
      </c>
      <c r="E35" s="69">
        <v>597.385</v>
      </c>
      <c r="F35" s="69">
        <v>887.742</v>
      </c>
      <c r="G35" s="69">
        <v>1177.16</v>
      </c>
      <c r="H35" s="69">
        <v>1468.72</v>
      </c>
      <c r="I35" s="69">
        <v>1758.56</v>
      </c>
      <c r="J35" s="69">
        <v>2042.21</v>
      </c>
      <c r="K35" s="69">
        <v>2317.28</v>
      </c>
      <c r="L35" s="69">
        <v>2543.3</v>
      </c>
      <c r="M35" s="69">
        <v>2726.51</v>
      </c>
      <c r="N35" s="69">
        <v>2885.73</v>
      </c>
      <c r="O35" s="69">
        <v>3025.75</v>
      </c>
      <c r="P35" s="69">
        <v>3149.4</v>
      </c>
      <c r="Q35" s="69">
        <v>3257.59</v>
      </c>
      <c r="R35" s="69">
        <v>3350.19</v>
      </c>
      <c r="S35" s="69">
        <v>3428.63</v>
      </c>
      <c r="T35" s="69">
        <v>3495.81</v>
      </c>
      <c r="U35" s="69">
        <v>3555.94</v>
      </c>
      <c r="V35" s="69">
        <v>3612.46</v>
      </c>
      <c r="W35" s="69">
        <v>3665.07</v>
      </c>
      <c r="X35" s="69"/>
      <c r="Y35" s="69"/>
      <c r="Z35" s="69"/>
      <c r="AA35" s="69"/>
      <c r="AB35" s="72"/>
    </row>
    <row r="36" ht="14.25" customHeight="1">
      <c r="A36" s="89" t="str">
        <f>'電流表'!A36</f>
        <v>K1.8BRD5</v>
      </c>
      <c r="B36" s="73" t="str">
        <f>'電流表'!B36</f>
        <v>8D240S</v>
      </c>
      <c r="C36" s="98">
        <v>0.0</v>
      </c>
      <c r="D36" s="93"/>
      <c r="E36" s="93">
        <v>1990.0</v>
      </c>
      <c r="F36" s="93"/>
      <c r="G36" s="93">
        <v>3980.0</v>
      </c>
      <c r="H36" s="93"/>
      <c r="I36" s="93">
        <v>5970.0</v>
      </c>
      <c r="J36" s="93"/>
      <c r="K36" s="93">
        <v>7950.0</v>
      </c>
      <c r="L36" s="93"/>
      <c r="M36" s="93">
        <v>9940.0</v>
      </c>
      <c r="N36" s="93"/>
      <c r="O36" s="93">
        <v>11910.0</v>
      </c>
      <c r="P36" s="93"/>
      <c r="Q36" s="93">
        <v>13870.0</v>
      </c>
      <c r="R36" s="93">
        <v>14850.0</v>
      </c>
      <c r="S36" s="93">
        <v>15780.0</v>
      </c>
      <c r="T36" s="93">
        <v>16710.0</v>
      </c>
      <c r="U36" s="93">
        <v>17590.0</v>
      </c>
      <c r="V36" s="93">
        <v>18390.0</v>
      </c>
      <c r="W36" s="93">
        <v>19150.0</v>
      </c>
      <c r="X36" s="93">
        <v>19830.0</v>
      </c>
      <c r="Y36" s="93"/>
      <c r="Z36" s="93"/>
      <c r="AA36" s="93"/>
      <c r="AB36" s="103"/>
    </row>
    <row r="37" ht="13.5" customHeight="1">
      <c r="A37" s="61" t="str">
        <f>'電流表'!A37</f>
        <v>KLD1</v>
      </c>
      <c r="B37" s="80" t="str">
        <f>'電流表'!B37</f>
        <v>6D230</v>
      </c>
      <c r="C37" s="79">
        <v>62.707</v>
      </c>
      <c r="D37" s="69">
        <v>1019.96</v>
      </c>
      <c r="E37" s="69">
        <v>2056.59</v>
      </c>
      <c r="F37" s="69">
        <v>3089.82</v>
      </c>
      <c r="G37" s="69">
        <v>4128.24</v>
      </c>
      <c r="H37" s="69">
        <v>5182.97</v>
      </c>
      <c r="I37" s="69">
        <v>6246.05</v>
      </c>
      <c r="J37" s="69">
        <v>7314.78</v>
      </c>
      <c r="K37" s="69">
        <v>8370.76</v>
      </c>
      <c r="L37" s="69">
        <v>9432.91</v>
      </c>
      <c r="M37" s="69">
        <v>10495.6</v>
      </c>
      <c r="N37" s="69">
        <v>11547.5</v>
      </c>
      <c r="O37" s="69">
        <v>12595.7</v>
      </c>
      <c r="P37" s="69">
        <v>13600.5</v>
      </c>
      <c r="Q37" s="69">
        <v>14520.9</v>
      </c>
      <c r="R37" s="69">
        <v>15391.2</v>
      </c>
      <c r="S37" s="69">
        <v>16215.2</v>
      </c>
      <c r="T37" s="69">
        <v>16999.8</v>
      </c>
      <c r="U37" s="69">
        <v>17738.1</v>
      </c>
      <c r="V37" s="69">
        <v>18448.2</v>
      </c>
      <c r="W37" s="69">
        <v>19110.6</v>
      </c>
      <c r="X37" s="69">
        <v>19724.1</v>
      </c>
      <c r="Y37" s="69">
        <v>20258.0</v>
      </c>
      <c r="Z37" s="69">
        <v>20729.2</v>
      </c>
      <c r="AA37" s="69"/>
      <c r="AB37" s="72"/>
    </row>
    <row r="38" ht="14.25" customHeight="1">
      <c r="A38" s="89" t="str">
        <f>'電流表'!A38</f>
        <v>KURAMA</v>
      </c>
      <c r="B38" s="73" t="str">
        <f>'電流表'!B38</f>
        <v>20D1616</v>
      </c>
      <c r="C38" s="98">
        <v>0.0</v>
      </c>
      <c r="D38" s="93">
        <v>533.0</v>
      </c>
      <c r="E38" s="93">
        <v>1082.0</v>
      </c>
      <c r="F38" s="93">
        <v>1624.0</v>
      </c>
      <c r="G38" s="93">
        <v>2160.0</v>
      </c>
      <c r="H38" s="93">
        <v>2695.0</v>
      </c>
      <c r="I38" s="93">
        <v>3231.0</v>
      </c>
      <c r="J38" s="93">
        <v>3767.0</v>
      </c>
      <c r="K38" s="93">
        <v>4299.0</v>
      </c>
      <c r="L38" s="93">
        <v>4834.0</v>
      </c>
      <c r="M38" s="93">
        <v>5361.0</v>
      </c>
      <c r="N38" s="93">
        <v>5873.0</v>
      </c>
      <c r="O38" s="93">
        <v>6364.0</v>
      </c>
      <c r="P38" s="93">
        <v>6828.0</v>
      </c>
      <c r="Q38" s="93">
        <v>7275.0</v>
      </c>
      <c r="R38" s="93">
        <v>7697.0</v>
      </c>
      <c r="S38" s="93">
        <v>8109.0</v>
      </c>
      <c r="T38" s="93">
        <v>8507.0</v>
      </c>
      <c r="U38" s="93">
        <v>8381.0</v>
      </c>
      <c r="V38" s="93">
        <v>7245.0</v>
      </c>
      <c r="W38" s="93">
        <v>9591.0</v>
      </c>
      <c r="X38" s="93">
        <v>9927.0</v>
      </c>
      <c r="Y38" s="93">
        <v>10247.0</v>
      </c>
      <c r="Z38" s="93">
        <v>10561.0</v>
      </c>
      <c r="AA38" s="93"/>
      <c r="AB38" s="103"/>
    </row>
    <row r="39" ht="13.5" customHeight="1"/>
    <row r="40" ht="13.5" customHeight="1">
      <c r="C40" s="5" t="s">
        <v>94</v>
      </c>
    </row>
    <row r="41" ht="13.5" customHeight="1">
      <c r="C41" s="5" t="s">
        <v>95</v>
      </c>
    </row>
    <row r="42" ht="13.5" customHeight="1">
      <c r="C42" s="5" t="s">
        <v>96</v>
      </c>
    </row>
    <row r="43" ht="13.5" customHeight="1">
      <c r="C43" s="5" t="s">
        <v>97</v>
      </c>
    </row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">
    <mergeCell ref="C1:AB1"/>
    <mergeCell ref="A1:A2"/>
    <mergeCell ref="B1:B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1.13"/>
    <col customWidth="1" min="3" max="26" width="8.0"/>
  </cols>
  <sheetData>
    <row r="1" ht="13.5" customHeight="1">
      <c r="A1" s="2" t="s">
        <v>1</v>
      </c>
      <c r="B1" s="4" t="s">
        <v>4</v>
      </c>
      <c r="C1" s="2" t="s">
        <v>11</v>
      </c>
      <c r="D1" s="4" t="s">
        <v>13</v>
      </c>
    </row>
    <row r="2" ht="14.25" customHeight="1">
      <c r="A2" s="23"/>
      <c r="B2" s="25"/>
      <c r="C2" s="108" t="s">
        <v>42</v>
      </c>
      <c r="D2" s="109" t="s">
        <v>47</v>
      </c>
    </row>
    <row r="3" ht="13.5" customHeight="1">
      <c r="A3" s="43" t="str">
        <f>'電流表'!A3</f>
        <v>K1.8D1</v>
      </c>
      <c r="B3" s="76" t="str">
        <f>'電流表'!B3</f>
        <v>5C216SMIC</v>
      </c>
      <c r="C3" s="110">
        <v>1200.0</v>
      </c>
      <c r="D3" s="76">
        <v>94.3</v>
      </c>
    </row>
    <row r="4" ht="13.5" customHeight="1">
      <c r="A4" s="61" t="str">
        <f>'電流表'!A4</f>
        <v>K1.8Q1</v>
      </c>
      <c r="B4" s="80" t="str">
        <f>'電流表'!B4</f>
        <v>NQ312MIC</v>
      </c>
      <c r="C4" s="111">
        <v>1200.0</v>
      </c>
      <c r="D4" s="80">
        <v>69.79</v>
      </c>
    </row>
    <row r="5" ht="13.5" customHeight="1">
      <c r="A5" s="61" t="str">
        <f>'電流表'!A5</f>
        <v>K1.8Q2</v>
      </c>
      <c r="B5" s="80" t="str">
        <f>'電流表'!B5</f>
        <v>Q416MIC</v>
      </c>
      <c r="C5" s="111">
        <v>2300.0</v>
      </c>
      <c r="D5" s="80">
        <v>61.2</v>
      </c>
    </row>
    <row r="6" ht="13.5" customHeight="1">
      <c r="A6" s="61" t="str">
        <f>'電流表'!A6</f>
        <v>K1.8D2</v>
      </c>
      <c r="B6" s="80" t="str">
        <f>'電流表'!B6</f>
        <v>8D218SMIC</v>
      </c>
      <c r="C6" s="111">
        <v>2300.0</v>
      </c>
      <c r="D6" s="80">
        <v>151.5</v>
      </c>
    </row>
    <row r="7" ht="13.5" customHeight="1">
      <c r="A7" s="61" t="str">
        <f>'電流表'!A7</f>
        <v>K1.8Q3</v>
      </c>
      <c r="B7" s="80" t="str">
        <f>'電流表'!B7</f>
        <v>Q410</v>
      </c>
      <c r="C7" s="111">
        <v>2200.0</v>
      </c>
      <c r="D7" s="80">
        <v>104.4</v>
      </c>
    </row>
    <row r="8" ht="13.5" customHeight="1">
      <c r="A8" s="61" t="str">
        <f>'電流表'!A8</f>
        <v>K1.8O1</v>
      </c>
      <c r="B8" s="80" t="str">
        <f>'電流表'!B8</f>
        <v>O503</v>
      </c>
      <c r="C8" s="111">
        <v>250.0</v>
      </c>
      <c r="D8" s="80">
        <v>45.2</v>
      </c>
    </row>
    <row r="9" ht="13.5" customHeight="1">
      <c r="A9" s="61" t="str">
        <f>'電流表'!A9</f>
        <v>K1.8Q4</v>
      </c>
      <c r="B9" s="80" t="str">
        <f>'電流表'!B9</f>
        <v>Q410</v>
      </c>
      <c r="C9" s="111">
        <v>2200.0</v>
      </c>
      <c r="D9" s="80">
        <v>104.2</v>
      </c>
    </row>
    <row r="10" ht="13.5" customHeight="1">
      <c r="A10" s="61" t="str">
        <f>'電流表'!A10</f>
        <v>K1.8S1</v>
      </c>
      <c r="B10" s="80" t="str">
        <f>'電流表'!B10</f>
        <v>SX504</v>
      </c>
      <c r="C10" s="111">
        <v>1000.0</v>
      </c>
      <c r="D10" s="80">
        <v>30.2</v>
      </c>
    </row>
    <row r="11" ht="13.5" customHeight="1">
      <c r="A11" s="61" t="str">
        <f>'電流表'!A11</f>
        <v>K1.8CM1</v>
      </c>
      <c r="B11" s="80" t="str">
        <f>'電流表'!B11</f>
        <v>4D604V</v>
      </c>
      <c r="C11" s="111">
        <v>1210.0</v>
      </c>
      <c r="D11" s="80">
        <v>48.5</v>
      </c>
    </row>
    <row r="12" ht="13.5" customHeight="1">
      <c r="A12" s="61" t="str">
        <f>'電流表'!A12</f>
        <v>K1.8CM2</v>
      </c>
      <c r="B12" s="80" t="str">
        <f>'電流表'!B12</f>
        <v>4D604V</v>
      </c>
      <c r="C12" s="111">
        <v>1210.0</v>
      </c>
      <c r="D12" s="80">
        <v>48.4</v>
      </c>
    </row>
    <row r="13" ht="13.5" customHeight="1">
      <c r="A13" s="61" t="str">
        <f>'電流表'!A13</f>
        <v>K1.8S2</v>
      </c>
      <c r="B13" s="80" t="str">
        <f>'電流表'!B13</f>
        <v>SX504</v>
      </c>
      <c r="C13" s="111">
        <v>1000.0</v>
      </c>
      <c r="D13" s="80">
        <v>32.0</v>
      </c>
    </row>
    <row r="14" ht="13.5" customHeight="1">
      <c r="A14" s="61" t="str">
        <f>'電流表'!A14</f>
        <v>K1.8Q5</v>
      </c>
      <c r="B14" s="80" t="str">
        <f>'電流表'!B14</f>
        <v>NQ510</v>
      </c>
      <c r="C14" s="111">
        <v>1400.0</v>
      </c>
      <c r="D14" s="80">
        <v>77.1</v>
      </c>
    </row>
    <row r="15" ht="13.5" customHeight="1">
      <c r="A15" s="61" t="str">
        <f>'電流表'!A15</f>
        <v>K1.8Q6</v>
      </c>
      <c r="B15" s="80" t="str">
        <f>'電流表'!B15</f>
        <v>NQ610</v>
      </c>
      <c r="C15" s="111">
        <v>1700.0</v>
      </c>
      <c r="D15" s="80">
        <v>101.5</v>
      </c>
    </row>
    <row r="16" ht="14.25" customHeight="1">
      <c r="A16" s="82" t="str">
        <f>'電流表'!A16</f>
        <v>K1.8D3</v>
      </c>
      <c r="B16" s="83" t="str">
        <f>'電流表'!B16</f>
        <v>6D330S</v>
      </c>
      <c r="C16" s="112">
        <v>1000.0</v>
      </c>
      <c r="D16" s="83">
        <v>263.4</v>
      </c>
    </row>
    <row r="17" ht="13.5" customHeight="1">
      <c r="A17" s="40" t="str">
        <f>'電流表'!A17</f>
        <v>K1.8Q7</v>
      </c>
      <c r="B17" s="88" t="str">
        <f>'電流表'!B17</f>
        <v>NQ408</v>
      </c>
      <c r="C17" s="113">
        <v>2000.0</v>
      </c>
      <c r="D17" s="88">
        <v>28.5</v>
      </c>
    </row>
    <row r="18" ht="13.5" customHeight="1">
      <c r="A18" s="61" t="str">
        <f>'電流表'!A18</f>
        <v>K1.8O2</v>
      </c>
      <c r="B18" s="80" t="str">
        <f>'電流表'!B18</f>
        <v>O603</v>
      </c>
      <c r="C18" s="111">
        <v>500.0</v>
      </c>
      <c r="D18" s="80">
        <v>26.1</v>
      </c>
    </row>
    <row r="19" ht="13.5" customHeight="1">
      <c r="A19" s="61" t="str">
        <f>'電流表'!A19</f>
        <v>K1.8S3</v>
      </c>
      <c r="B19" s="80" t="str">
        <f>'電流表'!B19</f>
        <v>SX604</v>
      </c>
      <c r="C19" s="111">
        <v>900.0</v>
      </c>
      <c r="D19" s="80">
        <v>31.0</v>
      </c>
    </row>
    <row r="20" ht="13.5" customHeight="1">
      <c r="A20" s="61" t="str">
        <f>'電流表'!A20</f>
        <v>K1.8CM3</v>
      </c>
      <c r="B20" s="80" t="str">
        <f>'電流表'!B20</f>
        <v>4D604V</v>
      </c>
      <c r="C20" s="111">
        <v>1210.0</v>
      </c>
      <c r="D20" s="80">
        <v>46.8</v>
      </c>
    </row>
    <row r="21" ht="13.5" customHeight="1">
      <c r="A21" s="61" t="str">
        <f>'電流表'!A21</f>
        <v>K1.8CM4</v>
      </c>
      <c r="B21" s="80" t="str">
        <f>'電流表'!B21</f>
        <v>4D604V</v>
      </c>
      <c r="C21" s="111">
        <v>1210.0</v>
      </c>
      <c r="D21" s="80">
        <v>47.1</v>
      </c>
    </row>
    <row r="22" ht="13.5" customHeight="1">
      <c r="A22" s="61" t="str">
        <f>'電流表'!A22</f>
        <v>K1.8S4</v>
      </c>
      <c r="B22" s="80" t="str">
        <f>'電流表'!B22</f>
        <v>SX604</v>
      </c>
      <c r="C22" s="111">
        <v>900.0</v>
      </c>
      <c r="D22" s="80">
        <v>31.0</v>
      </c>
    </row>
    <row r="23" ht="13.5" customHeight="1">
      <c r="A23" s="61" t="str">
        <f>'電流表'!A23</f>
        <v>K1.8Q8</v>
      </c>
      <c r="B23" s="80" t="str">
        <f>'電流表'!B23</f>
        <v>NQ512</v>
      </c>
      <c r="C23" s="111">
        <v>2000.0</v>
      </c>
      <c r="D23" s="80">
        <v>69.6</v>
      </c>
    </row>
    <row r="24" ht="13.5" customHeight="1">
      <c r="A24" s="61" t="str">
        <f>'電流表'!A24</f>
        <v>K1.8O3</v>
      </c>
      <c r="B24" s="80" t="str">
        <f>'電流表'!B24</f>
        <v>O603</v>
      </c>
      <c r="C24" s="111">
        <v>500.0</v>
      </c>
      <c r="D24" s="80">
        <v>26.0</v>
      </c>
    </row>
    <row r="25" ht="13.5" customHeight="1">
      <c r="A25" s="61" t="str">
        <f>'電流表'!A25</f>
        <v>K1.8Q9</v>
      </c>
      <c r="B25" s="80" t="str">
        <f>'電流表'!B25</f>
        <v>NQ518</v>
      </c>
      <c r="C25" s="111">
        <v>2000.0</v>
      </c>
      <c r="D25" s="80">
        <v>104.0</v>
      </c>
    </row>
    <row r="26" ht="13.5" customHeight="1">
      <c r="A26" s="61" t="str">
        <f>'電流表'!A26</f>
        <v>K1.8Q10</v>
      </c>
      <c r="B26" s="80" t="str">
        <f>'電流表'!B26</f>
        <v>NQ418</v>
      </c>
      <c r="C26" s="111">
        <v>2000.0</v>
      </c>
      <c r="D26" s="80">
        <v>67.8</v>
      </c>
    </row>
    <row r="27" ht="13.5" customHeight="1">
      <c r="A27" s="61" t="str">
        <f>'電流表'!A27</f>
        <v>K1.8Q11</v>
      </c>
      <c r="B27" s="80" t="str">
        <f>'電流表'!B27</f>
        <v>NQ412</v>
      </c>
      <c r="C27" s="111">
        <v>2000.0</v>
      </c>
      <c r="D27" s="80">
        <v>54.2</v>
      </c>
    </row>
    <row r="28" ht="13.5" customHeight="1">
      <c r="A28" s="61" t="str">
        <f>'電流表'!A28</f>
        <v>K1.8D4</v>
      </c>
      <c r="B28" s="80" t="str">
        <f>'電流表'!B28</f>
        <v>13D389S</v>
      </c>
      <c r="C28" s="111">
        <v>8000.0</v>
      </c>
      <c r="D28" s="80">
        <v>224.0</v>
      </c>
    </row>
    <row r="29" ht="13.5" customHeight="1">
      <c r="A29" s="61" t="str">
        <f>'電流表'!A29</f>
        <v>K1.8D4副</v>
      </c>
      <c r="B29" s="80" t="str">
        <f>'電流表'!B29</f>
        <v>13D389S副</v>
      </c>
      <c r="C29" s="111">
        <v>1000.0</v>
      </c>
      <c r="D29" s="80">
        <v>204.6</v>
      </c>
    </row>
    <row r="30" ht="13.5" customHeight="1">
      <c r="A30" s="61" t="str">
        <f>'電流表'!A30</f>
        <v>K1.8Q12</v>
      </c>
      <c r="B30" s="80" t="str">
        <f>'電流表'!B30</f>
        <v>NQ412</v>
      </c>
      <c r="C30" s="111">
        <v>2000.0</v>
      </c>
      <c r="D30" s="80">
        <v>54.2</v>
      </c>
    </row>
    <row r="31" ht="14.25" customHeight="1">
      <c r="A31" s="89" t="str">
        <f>'電流表'!A31</f>
        <v>K1.8Q13</v>
      </c>
      <c r="B31" s="73" t="str">
        <f>'電流表'!B31</f>
        <v>NQ412</v>
      </c>
      <c r="C31" s="66">
        <v>2000.0</v>
      </c>
      <c r="D31" s="73">
        <v>54.2</v>
      </c>
    </row>
    <row r="32" ht="13.5" customHeight="1">
      <c r="A32" s="40" t="str">
        <f>'電流表'!A32</f>
        <v>K1.8BRS3</v>
      </c>
      <c r="B32" s="88" t="str">
        <f>'電流表'!B32</f>
        <v>SX404</v>
      </c>
      <c r="C32" s="113">
        <v>37.0</v>
      </c>
      <c r="D32" s="88">
        <v>15.35</v>
      </c>
    </row>
    <row r="33" ht="13.5" customHeight="1">
      <c r="A33" s="61" t="str">
        <f>'電流表'!A33</f>
        <v>K1.8BRQ7</v>
      </c>
      <c r="B33" s="80" t="str">
        <f>'電流表'!B33</f>
        <v>Q306</v>
      </c>
      <c r="C33" s="111">
        <v>1100.0</v>
      </c>
      <c r="D33" s="80">
        <v>46.4</v>
      </c>
    </row>
    <row r="34" ht="13.5" customHeight="1">
      <c r="A34" s="61" t="str">
        <f>'電流表'!A34</f>
        <v>K1.8BRD4</v>
      </c>
      <c r="B34" s="80" t="str">
        <f>'電流表'!B34</f>
        <v>8D440S</v>
      </c>
      <c r="C34" s="111">
        <v>2400.0</v>
      </c>
      <c r="D34" s="80">
        <v>181.2</v>
      </c>
    </row>
    <row r="35" ht="13.5" customHeight="1">
      <c r="A35" s="61" t="str">
        <f>'電流表'!A35</f>
        <v>K1.8BRQ8</v>
      </c>
      <c r="B35" s="80" t="str">
        <f>'電流表'!B35</f>
        <v>NQ408</v>
      </c>
      <c r="C35" s="111">
        <v>2000.0</v>
      </c>
      <c r="D35" s="80">
        <v>28.3</v>
      </c>
    </row>
    <row r="36" ht="14.25" customHeight="1">
      <c r="A36" s="89" t="str">
        <f>'電流表'!A36</f>
        <v>K1.8BRD5</v>
      </c>
      <c r="B36" s="73" t="str">
        <f>'電流表'!B36</f>
        <v>8D240S</v>
      </c>
      <c r="C36" s="66">
        <v>2100.0</v>
      </c>
      <c r="D36" s="73">
        <v>105.1</v>
      </c>
    </row>
    <row r="37" ht="13.5" customHeight="1">
      <c r="A37" s="111" t="str">
        <f>'電流表'!A37</f>
        <v>KLD1</v>
      </c>
      <c r="B37" s="80" t="str">
        <f>'電流表'!B37</f>
        <v>6D230</v>
      </c>
      <c r="C37" s="111">
        <v>2300.0</v>
      </c>
      <c r="D37" s="80">
        <v>117.8</v>
      </c>
    </row>
    <row r="38" ht="14.25" customHeight="1">
      <c r="A38" s="66" t="str">
        <f>'電流表'!A38</f>
        <v>KURAMA</v>
      </c>
      <c r="B38" s="73" t="str">
        <f>'電流表'!B38</f>
        <v>20D1616</v>
      </c>
      <c r="C38" s="66">
        <v>2320.0</v>
      </c>
      <c r="D38" s="73">
        <v>161.2</v>
      </c>
    </row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A2"/>
    <mergeCell ref="B1:B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9.75"/>
    <col customWidth="1" min="2" max="2" width="11.13"/>
    <col customWidth="1" min="3" max="15" width="5.63"/>
    <col customWidth="1" min="16" max="26" width="8.0"/>
  </cols>
  <sheetData>
    <row r="1" ht="13.5" customHeight="1">
      <c r="A1" s="2" t="s">
        <v>1</v>
      </c>
      <c r="B1" s="4" t="s">
        <v>4</v>
      </c>
      <c r="C1" s="114" t="s">
        <v>114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20"/>
    </row>
    <row r="2" ht="14.25" customHeight="1">
      <c r="A2" s="23"/>
      <c r="B2" s="25"/>
      <c r="C2" s="66">
        <v>1.0</v>
      </c>
      <c r="D2" s="68">
        <v>2.0</v>
      </c>
      <c r="E2" s="68">
        <v>3.0</v>
      </c>
      <c r="F2" s="68">
        <v>4.0</v>
      </c>
      <c r="G2" s="68">
        <v>5.0</v>
      </c>
      <c r="H2" s="68">
        <v>6.0</v>
      </c>
      <c r="I2" s="68">
        <v>7.0</v>
      </c>
      <c r="J2" s="68">
        <v>8.0</v>
      </c>
      <c r="K2" s="68">
        <v>9.0</v>
      </c>
      <c r="L2" s="68">
        <v>10.0</v>
      </c>
      <c r="M2" s="68">
        <v>11.0</v>
      </c>
      <c r="N2" s="68">
        <v>12.0</v>
      </c>
      <c r="O2" s="73">
        <v>13.0</v>
      </c>
    </row>
    <row r="3" ht="13.5" customHeight="1">
      <c r="A3" s="43" t="str">
        <f>'電流表'!A3</f>
        <v>K1.8D1</v>
      </c>
      <c r="B3" s="76" t="str">
        <f>'電流表'!B3</f>
        <v>5C216SMIC</v>
      </c>
      <c r="C3" s="110">
        <v>32.66274756926037</v>
      </c>
      <c r="D3" s="115">
        <v>48.53665635544266</v>
      </c>
      <c r="E3" s="115">
        <v>61.19182860656049</v>
      </c>
      <c r="F3" s="115">
        <v>72.12519415799035</v>
      </c>
      <c r="G3" s="115">
        <v>81.9339977397358</v>
      </c>
      <c r="H3" s="115">
        <v>90.93070785119582</v>
      </c>
      <c r="I3" s="115">
        <v>99.30380286437855</v>
      </c>
      <c r="J3" s="115">
        <v>107.17762662166726</v>
      </c>
      <c r="K3" s="115">
        <v>114.63946443190986</v>
      </c>
      <c r="L3" s="115">
        <v>121.75345272740705</v>
      </c>
      <c r="M3" s="115"/>
      <c r="N3" s="115">
        <v>75.0</v>
      </c>
      <c r="O3" s="76"/>
    </row>
    <row r="4" ht="13.5" customHeight="1">
      <c r="A4" s="61" t="str">
        <f>'電流表'!A4</f>
        <v>K1.8Q1</v>
      </c>
      <c r="B4" s="80" t="str">
        <f>'電流表'!B4</f>
        <v>NQ312MIC</v>
      </c>
      <c r="C4" s="111">
        <v>34.0</v>
      </c>
      <c r="D4" s="116">
        <v>51.0</v>
      </c>
      <c r="E4" s="116">
        <v>64.0</v>
      </c>
      <c r="F4" s="116">
        <v>76.0</v>
      </c>
      <c r="G4" s="116">
        <v>86.0</v>
      </c>
      <c r="H4" s="116">
        <v>96.0</v>
      </c>
      <c r="I4" s="116">
        <v>104.0</v>
      </c>
      <c r="J4" s="116">
        <v>113.0</v>
      </c>
      <c r="K4" s="116">
        <v>121.0</v>
      </c>
      <c r="L4" s="116">
        <v>128.0</v>
      </c>
      <c r="M4" s="116"/>
      <c r="N4" s="116"/>
      <c r="O4" s="80"/>
    </row>
    <row r="5" ht="13.5" customHeight="1">
      <c r="A5" s="61" t="str">
        <f>'電流表'!A5</f>
        <v>K1.8Q2</v>
      </c>
      <c r="B5" s="80" t="str">
        <f>'電流表'!B5</f>
        <v>Q416MIC</v>
      </c>
      <c r="C5" s="111">
        <v>8.0</v>
      </c>
      <c r="D5" s="116">
        <v>16.0</v>
      </c>
      <c r="E5" s="116">
        <v>21.0</v>
      </c>
      <c r="F5" s="116">
        <v>24.0</v>
      </c>
      <c r="G5" s="116">
        <v>27.0</v>
      </c>
      <c r="H5" s="116">
        <v>30.0</v>
      </c>
      <c r="I5" s="116">
        <v>33.0</v>
      </c>
      <c r="J5" s="116">
        <v>36.0</v>
      </c>
      <c r="K5" s="116">
        <v>39.0</v>
      </c>
      <c r="L5" s="116">
        <v>41.0</v>
      </c>
      <c r="M5" s="116">
        <v>43.0</v>
      </c>
      <c r="N5" s="116"/>
      <c r="O5" s="80"/>
    </row>
    <row r="6" ht="13.5" customHeight="1">
      <c r="A6" s="61" t="str">
        <f>'電流表'!A6</f>
        <v>K1.8D2</v>
      </c>
      <c r="B6" s="80" t="str">
        <f>'電流表'!B6</f>
        <v>8D218SMIC</v>
      </c>
      <c r="C6" s="111">
        <v>30.0</v>
      </c>
      <c r="D6" s="116">
        <v>48.0</v>
      </c>
      <c r="E6" s="116">
        <v>62.0</v>
      </c>
      <c r="F6" s="116">
        <v>74.0</v>
      </c>
      <c r="G6" s="116">
        <v>84.0</v>
      </c>
      <c r="H6" s="116">
        <v>94.0</v>
      </c>
      <c r="I6" s="116">
        <v>103.0</v>
      </c>
      <c r="J6" s="116">
        <v>111.0</v>
      </c>
      <c r="K6" s="116">
        <v>119.0</v>
      </c>
      <c r="L6" s="116">
        <v>125.0</v>
      </c>
      <c r="M6" s="116">
        <v>132.0</v>
      </c>
      <c r="N6" s="116"/>
      <c r="O6" s="80"/>
    </row>
    <row r="7" ht="13.5" customHeight="1">
      <c r="A7" s="61" t="str">
        <f>'電流表'!A7</f>
        <v>K1.8Q3</v>
      </c>
      <c r="B7" s="80" t="str">
        <f>'電流表'!B7</f>
        <v>Q410</v>
      </c>
      <c r="C7" s="111">
        <v>18.0</v>
      </c>
      <c r="D7" s="116">
        <v>33.0</v>
      </c>
      <c r="E7" s="116">
        <v>47.0</v>
      </c>
      <c r="F7" s="116">
        <v>57.0</v>
      </c>
      <c r="G7" s="116">
        <v>65.0</v>
      </c>
      <c r="H7" s="116">
        <v>73.0</v>
      </c>
      <c r="I7" s="116">
        <v>80.0</v>
      </c>
      <c r="J7" s="116">
        <v>86.0</v>
      </c>
      <c r="K7" s="116">
        <v>92.0</v>
      </c>
      <c r="L7" s="116">
        <v>98.0</v>
      </c>
      <c r="M7" s="116">
        <v>104.0</v>
      </c>
      <c r="N7" s="116"/>
      <c r="O7" s="80"/>
    </row>
    <row r="8" ht="13.5" customHeight="1">
      <c r="A8" s="61" t="str">
        <f>'電流表'!A8</f>
        <v>K1.8O1</v>
      </c>
      <c r="B8" s="80" t="str">
        <f>'電流表'!B8</f>
        <v>O503</v>
      </c>
      <c r="C8" s="111"/>
      <c r="D8" s="116"/>
      <c r="E8" s="116"/>
      <c r="F8" s="116"/>
      <c r="G8" s="116">
        <v>3.85</v>
      </c>
      <c r="H8" s="116"/>
      <c r="I8" s="116"/>
      <c r="J8" s="116"/>
      <c r="K8" s="116"/>
      <c r="L8" s="116">
        <v>5.4</v>
      </c>
      <c r="M8" s="116"/>
      <c r="N8" s="116"/>
      <c r="O8" s="80"/>
    </row>
    <row r="9" ht="13.5" customHeight="1">
      <c r="A9" s="61" t="str">
        <f>'電流表'!A9</f>
        <v>K1.8Q4</v>
      </c>
      <c r="B9" s="80" t="str">
        <f>'電流表'!B9</f>
        <v>Q410</v>
      </c>
      <c r="C9" s="111">
        <v>18.0</v>
      </c>
      <c r="D9" s="116">
        <v>37.0</v>
      </c>
      <c r="E9" s="116">
        <v>48.0</v>
      </c>
      <c r="F9" s="116">
        <v>57.0</v>
      </c>
      <c r="G9" s="116">
        <v>65.0</v>
      </c>
      <c r="H9" s="116">
        <v>73.0</v>
      </c>
      <c r="I9" s="116">
        <v>80.0</v>
      </c>
      <c r="J9" s="116">
        <v>87.0</v>
      </c>
      <c r="K9" s="116">
        <v>94.0</v>
      </c>
      <c r="L9" s="116">
        <v>100.0</v>
      </c>
      <c r="M9" s="116">
        <v>105.0</v>
      </c>
      <c r="N9" s="116"/>
      <c r="O9" s="80"/>
    </row>
    <row r="10" ht="13.5" customHeight="1">
      <c r="A10" s="61" t="str">
        <f>'電流表'!A10</f>
        <v>K1.8S1</v>
      </c>
      <c r="B10" s="80" t="str">
        <f>'電流表'!B10</f>
        <v>SX504</v>
      </c>
      <c r="C10" s="111"/>
      <c r="D10" s="116"/>
      <c r="E10" s="116"/>
      <c r="F10" s="116"/>
      <c r="G10" s="116">
        <v>12.0</v>
      </c>
      <c r="H10" s="116"/>
      <c r="I10" s="116"/>
      <c r="J10" s="116"/>
      <c r="K10" s="116"/>
      <c r="L10" s="116">
        <v>18.4</v>
      </c>
      <c r="M10" s="116"/>
      <c r="N10" s="116"/>
      <c r="O10" s="80"/>
    </row>
    <row r="11" ht="13.5" customHeight="1">
      <c r="A11" s="61" t="str">
        <f>'電流表'!A11</f>
        <v>K1.8CM1</v>
      </c>
      <c r="B11" s="80" t="str">
        <f>'電流表'!B11</f>
        <v>4D604V</v>
      </c>
      <c r="C11" s="111">
        <v>6.0</v>
      </c>
      <c r="D11" s="116">
        <v>10.0</v>
      </c>
      <c r="E11" s="116">
        <v>14.0</v>
      </c>
      <c r="F11" s="116">
        <v>17.0</v>
      </c>
      <c r="G11" s="116">
        <v>19.0</v>
      </c>
      <c r="H11" s="116">
        <v>22.0</v>
      </c>
      <c r="I11" s="116">
        <v>24.0</v>
      </c>
      <c r="J11" s="116">
        <v>26.0</v>
      </c>
      <c r="K11" s="116">
        <v>28.0</v>
      </c>
      <c r="L11" s="116">
        <v>30.0</v>
      </c>
      <c r="M11" s="116">
        <v>31.0</v>
      </c>
      <c r="N11" s="116">
        <v>33.0</v>
      </c>
      <c r="O11" s="80"/>
    </row>
    <row r="12" ht="13.5" customHeight="1">
      <c r="A12" s="61" t="str">
        <f>'電流表'!A12</f>
        <v>K1.8CM2</v>
      </c>
      <c r="B12" s="80" t="str">
        <f>'電流表'!B12</f>
        <v>4D604V</v>
      </c>
      <c r="C12" s="111">
        <v>7.0</v>
      </c>
      <c r="D12" s="116">
        <v>10.0</v>
      </c>
      <c r="E12" s="116">
        <v>14.0</v>
      </c>
      <c r="F12" s="116">
        <v>16.0</v>
      </c>
      <c r="G12" s="116">
        <v>20.0</v>
      </c>
      <c r="H12" s="116">
        <v>21.0</v>
      </c>
      <c r="I12" s="116">
        <v>24.0</v>
      </c>
      <c r="J12" s="116">
        <v>26.0</v>
      </c>
      <c r="K12" s="116">
        <v>28.0</v>
      </c>
      <c r="L12" s="116">
        <v>30.0</v>
      </c>
      <c r="M12" s="116">
        <v>32.0</v>
      </c>
      <c r="N12" s="116">
        <v>33.0</v>
      </c>
      <c r="O12" s="80">
        <v>37.0</v>
      </c>
    </row>
    <row r="13" ht="13.5" customHeight="1">
      <c r="A13" s="61" t="str">
        <f>'電流表'!A13</f>
        <v>K1.8S2</v>
      </c>
      <c r="B13" s="80" t="str">
        <f>'電流表'!B13</f>
        <v>SX504</v>
      </c>
      <c r="C13" s="111"/>
      <c r="D13" s="116">
        <v>1.0</v>
      </c>
      <c r="E13" s="116">
        <v>3.0</v>
      </c>
      <c r="F13" s="116">
        <v>5.0</v>
      </c>
      <c r="G13" s="116">
        <v>7.0</v>
      </c>
      <c r="H13" s="116">
        <v>9.0</v>
      </c>
      <c r="I13" s="116">
        <v>11.0</v>
      </c>
      <c r="J13" s="116">
        <v>13.0</v>
      </c>
      <c r="K13" s="116">
        <v>14.0</v>
      </c>
      <c r="L13" s="116">
        <v>15.0</v>
      </c>
      <c r="M13" s="116">
        <v>16.0</v>
      </c>
      <c r="N13" s="116"/>
      <c r="O13" s="80"/>
    </row>
    <row r="14" ht="13.5" customHeight="1">
      <c r="A14" s="61" t="str">
        <f>'電流表'!A14</f>
        <v>K1.8Q5</v>
      </c>
      <c r="B14" s="80" t="str">
        <f>'電流表'!B14</f>
        <v>NQ510</v>
      </c>
      <c r="C14" s="111">
        <v>18.0</v>
      </c>
      <c r="D14" s="116">
        <v>32.0</v>
      </c>
      <c r="E14" s="116">
        <v>42.0</v>
      </c>
      <c r="F14" s="116">
        <v>52.0</v>
      </c>
      <c r="G14" s="116">
        <v>61.0</v>
      </c>
      <c r="H14" s="116">
        <v>69.0</v>
      </c>
      <c r="I14" s="116">
        <v>75.0</v>
      </c>
      <c r="J14" s="116">
        <v>81.0</v>
      </c>
      <c r="K14" s="116">
        <v>87.0</v>
      </c>
      <c r="L14" s="116">
        <v>92.0</v>
      </c>
      <c r="M14" s="116"/>
      <c r="N14" s="116"/>
      <c r="O14" s="80"/>
    </row>
    <row r="15" ht="13.5" customHeight="1">
      <c r="A15" s="61" t="str">
        <f>'電流表'!A15</f>
        <v>K1.8Q6</v>
      </c>
      <c r="B15" s="80" t="str">
        <f>'電流表'!B15</f>
        <v>NQ610</v>
      </c>
      <c r="C15" s="111">
        <v>21.0</v>
      </c>
      <c r="D15" s="116">
        <v>40.0</v>
      </c>
      <c r="E15" s="116">
        <v>52.0</v>
      </c>
      <c r="F15" s="116">
        <v>61.0</v>
      </c>
      <c r="G15" s="116">
        <v>69.0</v>
      </c>
      <c r="H15" s="116">
        <v>76.0</v>
      </c>
      <c r="I15" s="116">
        <v>83.0</v>
      </c>
      <c r="J15" s="116">
        <v>90.0</v>
      </c>
      <c r="K15" s="116">
        <v>97.0</v>
      </c>
      <c r="L15" s="116">
        <v>103.0</v>
      </c>
      <c r="M15" s="116">
        <v>108.0</v>
      </c>
      <c r="N15" s="116"/>
      <c r="O15" s="80"/>
    </row>
    <row r="16" ht="14.25" customHeight="1">
      <c r="A16" s="82" t="str">
        <f>'電流表'!A16</f>
        <v>K1.8D3</v>
      </c>
      <c r="B16" s="83" t="str">
        <f>'電流表'!B16</f>
        <v>6D330S</v>
      </c>
      <c r="C16" s="112">
        <v>24.0</v>
      </c>
      <c r="D16" s="119">
        <v>38.0</v>
      </c>
      <c r="E16" s="119">
        <v>50.0</v>
      </c>
      <c r="F16" s="119">
        <v>59.0</v>
      </c>
      <c r="G16" s="119">
        <v>68.0</v>
      </c>
      <c r="H16" s="119">
        <v>77.0</v>
      </c>
      <c r="I16" s="119">
        <v>84.0</v>
      </c>
      <c r="J16" s="119">
        <v>91.0</v>
      </c>
      <c r="K16" s="119">
        <v>97.0</v>
      </c>
      <c r="L16" s="119">
        <v>103.0</v>
      </c>
      <c r="M16" s="119">
        <v>108.0</v>
      </c>
      <c r="N16" s="119"/>
      <c r="O16" s="83"/>
    </row>
    <row r="17" ht="13.5" customHeight="1">
      <c r="A17" s="40" t="str">
        <f>'電流表'!A17</f>
        <v>K1.8Q7</v>
      </c>
      <c r="B17" s="88" t="str">
        <f>'電流表'!B17</f>
        <v>NQ408</v>
      </c>
      <c r="C17" s="113">
        <v>28.0</v>
      </c>
      <c r="D17" s="120">
        <v>33.0</v>
      </c>
      <c r="E17" s="120">
        <v>40.0</v>
      </c>
      <c r="F17" s="120">
        <v>48.0</v>
      </c>
      <c r="G17" s="120">
        <v>54.0</v>
      </c>
      <c r="H17" s="120">
        <v>59.0</v>
      </c>
      <c r="I17" s="120">
        <v>64.0</v>
      </c>
      <c r="J17" s="120">
        <v>68.0</v>
      </c>
      <c r="K17" s="120">
        <v>72.0</v>
      </c>
      <c r="L17" s="120">
        <v>75.0</v>
      </c>
      <c r="M17" s="120">
        <v>83.0</v>
      </c>
      <c r="N17" s="120"/>
      <c r="O17" s="88"/>
    </row>
    <row r="18" ht="13.5" customHeight="1">
      <c r="A18" s="61" t="str">
        <f>'電流表'!A18</f>
        <v>K1.8O2</v>
      </c>
      <c r="B18" s="80" t="str">
        <f>'電流表'!B18</f>
        <v>O603</v>
      </c>
      <c r="C18" s="111"/>
      <c r="D18" s="116"/>
      <c r="E18" s="116"/>
      <c r="F18" s="116"/>
      <c r="G18" s="116">
        <v>6.95</v>
      </c>
      <c r="H18" s="116"/>
      <c r="I18" s="116"/>
      <c r="J18" s="116"/>
      <c r="K18" s="116"/>
      <c r="L18" s="116">
        <v>10.5</v>
      </c>
      <c r="M18" s="116"/>
      <c r="N18" s="116"/>
      <c r="O18" s="80"/>
    </row>
    <row r="19" ht="13.5" customHeight="1">
      <c r="A19" s="61" t="str">
        <f>'電流表'!A19</f>
        <v>K1.8S3</v>
      </c>
      <c r="B19" s="80" t="str">
        <f>'電流表'!B19</f>
        <v>SX604</v>
      </c>
      <c r="C19" s="111"/>
      <c r="D19" s="116"/>
      <c r="E19" s="116"/>
      <c r="F19" s="116"/>
      <c r="G19" s="116">
        <v>13.4</v>
      </c>
      <c r="H19" s="116"/>
      <c r="I19" s="116"/>
      <c r="J19" s="116"/>
      <c r="K19" s="116"/>
      <c r="L19" s="116">
        <v>19.6</v>
      </c>
      <c r="M19" s="116"/>
      <c r="N19" s="116"/>
      <c r="O19" s="80"/>
    </row>
    <row r="20" ht="13.5" customHeight="1">
      <c r="A20" s="61" t="str">
        <f>'電流表'!A20</f>
        <v>K1.8CM3</v>
      </c>
      <c r="B20" s="80" t="str">
        <f>'電流表'!B20</f>
        <v>4D604V</v>
      </c>
      <c r="C20" s="111">
        <v>8.9</v>
      </c>
      <c r="D20" s="116">
        <v>13.8</v>
      </c>
      <c r="E20" s="116">
        <v>17.0</v>
      </c>
      <c r="F20" s="116">
        <v>19.9</v>
      </c>
      <c r="G20" s="116">
        <v>22.5</v>
      </c>
      <c r="H20" s="116">
        <v>24.9</v>
      </c>
      <c r="I20" s="116">
        <v>27.0</v>
      </c>
      <c r="J20" s="116">
        <v>29.0</v>
      </c>
      <c r="K20" s="116">
        <v>30.8</v>
      </c>
      <c r="L20" s="116">
        <v>32.8</v>
      </c>
      <c r="M20" s="116"/>
      <c r="N20" s="116">
        <v>36.4</v>
      </c>
      <c r="O20" s="80"/>
    </row>
    <row r="21" ht="13.5" customHeight="1">
      <c r="A21" s="61" t="str">
        <f>'電流表'!A21</f>
        <v>K1.8CM4</v>
      </c>
      <c r="B21" s="80" t="str">
        <f>'電流表'!B21</f>
        <v>4D604V</v>
      </c>
      <c r="C21" s="111">
        <v>9.4</v>
      </c>
      <c r="D21" s="116">
        <v>13.9</v>
      </c>
      <c r="E21" s="116">
        <v>17.2</v>
      </c>
      <c r="F21" s="116">
        <v>20.3</v>
      </c>
      <c r="G21" s="116">
        <v>22.9</v>
      </c>
      <c r="H21" s="116">
        <v>25.3</v>
      </c>
      <c r="I21" s="116">
        <v>27.8</v>
      </c>
      <c r="J21" s="116">
        <v>30.1</v>
      </c>
      <c r="K21" s="116">
        <v>31.6</v>
      </c>
      <c r="L21" s="116">
        <v>33.6</v>
      </c>
      <c r="M21" s="116"/>
      <c r="N21" s="116">
        <v>37.2</v>
      </c>
      <c r="O21" s="80"/>
    </row>
    <row r="22" ht="13.5" customHeight="1">
      <c r="A22" s="61" t="str">
        <f>'電流表'!A22</f>
        <v>K1.8S4</v>
      </c>
      <c r="B22" s="80" t="str">
        <f>'電流表'!B22</f>
        <v>SX604</v>
      </c>
      <c r="C22" s="111"/>
      <c r="D22" s="116"/>
      <c r="E22" s="116"/>
      <c r="F22" s="116"/>
      <c r="G22" s="116">
        <v>13.5</v>
      </c>
      <c r="H22" s="116"/>
      <c r="I22" s="116"/>
      <c r="J22" s="116"/>
      <c r="K22" s="116"/>
      <c r="L22" s="116">
        <v>19.6</v>
      </c>
      <c r="M22" s="116"/>
      <c r="N22" s="116"/>
      <c r="O22" s="80"/>
    </row>
    <row r="23" ht="13.5" customHeight="1">
      <c r="A23" s="61" t="str">
        <f>'電流表'!A23</f>
        <v>K1.8Q8</v>
      </c>
      <c r="B23" s="80" t="str">
        <f>'電流表'!B23</f>
        <v>NQ512</v>
      </c>
      <c r="C23" s="111"/>
      <c r="D23" s="116"/>
      <c r="E23" s="116"/>
      <c r="F23" s="116"/>
      <c r="G23" s="116">
        <v>84.0</v>
      </c>
      <c r="H23" s="116"/>
      <c r="I23" s="116"/>
      <c r="J23" s="116"/>
      <c r="K23" s="116"/>
      <c r="L23" s="116">
        <v>158.0</v>
      </c>
      <c r="M23" s="116"/>
      <c r="N23" s="116"/>
      <c r="O23" s="80"/>
    </row>
    <row r="24" ht="13.5" customHeight="1">
      <c r="A24" s="61" t="str">
        <f>'電流表'!A24</f>
        <v>K1.8O3</v>
      </c>
      <c r="B24" s="80" t="str">
        <f>'電流表'!B24</f>
        <v>O603</v>
      </c>
      <c r="C24" s="111"/>
      <c r="D24" s="116"/>
      <c r="E24" s="116"/>
      <c r="F24" s="116"/>
      <c r="G24" s="116">
        <v>7.0</v>
      </c>
      <c r="H24" s="116"/>
      <c r="I24" s="116"/>
      <c r="J24" s="116"/>
      <c r="K24" s="116"/>
      <c r="L24" s="116">
        <v>10.5</v>
      </c>
      <c r="M24" s="116"/>
      <c r="N24" s="116"/>
      <c r="O24" s="80"/>
    </row>
    <row r="25" ht="13.5" customHeight="1">
      <c r="A25" s="61" t="str">
        <f>'電流表'!A25</f>
        <v>K1.8Q9</v>
      </c>
      <c r="B25" s="80" t="str">
        <f>'電流表'!B25</f>
        <v>NQ518</v>
      </c>
      <c r="C25" s="111">
        <v>20.0</v>
      </c>
      <c r="D25" s="116">
        <v>41.0</v>
      </c>
      <c r="E25" s="116">
        <v>54.0</v>
      </c>
      <c r="F25" s="116">
        <v>69.0</v>
      </c>
      <c r="G25" s="116">
        <v>82.0</v>
      </c>
      <c r="H25" s="116">
        <v>93.0</v>
      </c>
      <c r="I25" s="116">
        <v>103.0</v>
      </c>
      <c r="J25" s="116">
        <v>113.0</v>
      </c>
      <c r="K25" s="116">
        <v>120.0</v>
      </c>
      <c r="L25" s="116">
        <v>128.0</v>
      </c>
      <c r="M25" s="116">
        <v>136.0</v>
      </c>
      <c r="N25" s="116">
        <v>142.0</v>
      </c>
      <c r="O25" s="80">
        <v>149.0</v>
      </c>
    </row>
    <row r="26" ht="13.5" customHeight="1">
      <c r="A26" s="61" t="str">
        <f>'電流表'!A26</f>
        <v>K1.8Q10</v>
      </c>
      <c r="B26" s="80" t="str">
        <f>'電流表'!B26</f>
        <v>NQ418</v>
      </c>
      <c r="C26" s="111">
        <v>58.0</v>
      </c>
      <c r="D26" s="116">
        <v>76.0</v>
      </c>
      <c r="E26" s="116">
        <v>92.0</v>
      </c>
      <c r="F26" s="116">
        <v>106.0</v>
      </c>
      <c r="G26" s="116">
        <v>118.0</v>
      </c>
      <c r="H26" s="116">
        <v>129.0</v>
      </c>
      <c r="I26" s="116">
        <v>134.0</v>
      </c>
      <c r="J26" s="116">
        <v>144.0</v>
      </c>
      <c r="K26" s="116">
        <v>154.0</v>
      </c>
      <c r="L26" s="116">
        <v>162.0</v>
      </c>
      <c r="M26" s="116">
        <v>170.0</v>
      </c>
      <c r="N26" s="116">
        <v>178.0</v>
      </c>
      <c r="O26" s="80"/>
    </row>
    <row r="27" ht="13.5" customHeight="1">
      <c r="A27" s="61" t="str">
        <f>'電流表'!A27</f>
        <v>K1.8Q11</v>
      </c>
      <c r="B27" s="80" t="str">
        <f>'電流表'!B27</f>
        <v>NQ412</v>
      </c>
      <c r="C27" s="111">
        <v>16.0</v>
      </c>
      <c r="D27" s="116">
        <v>22.0</v>
      </c>
      <c r="E27" s="116">
        <v>29.0</v>
      </c>
      <c r="F27" s="116">
        <v>36.0</v>
      </c>
      <c r="G27" s="116">
        <v>42.0</v>
      </c>
      <c r="H27" s="116">
        <v>46.0</v>
      </c>
      <c r="I27" s="116">
        <v>51.0</v>
      </c>
      <c r="J27" s="116">
        <v>55.0</v>
      </c>
      <c r="K27" s="116">
        <v>58.0</v>
      </c>
      <c r="L27" s="116">
        <v>63.0</v>
      </c>
      <c r="M27" s="116">
        <v>66.0</v>
      </c>
      <c r="N27" s="116">
        <v>69.0</v>
      </c>
      <c r="O27" s="80">
        <v>73.0</v>
      </c>
    </row>
    <row r="28" ht="13.5" customHeight="1">
      <c r="A28" s="61" t="str">
        <f>'電流表'!A28</f>
        <v>K1.8D4</v>
      </c>
      <c r="B28" s="80" t="str">
        <f>'電流表'!B28</f>
        <v>13D389S</v>
      </c>
      <c r="C28" s="111">
        <v>141.0</v>
      </c>
      <c r="D28" s="116">
        <v>231.0</v>
      </c>
      <c r="E28" s="116">
        <v>293.0</v>
      </c>
      <c r="F28" s="116">
        <v>344.0</v>
      </c>
      <c r="G28" s="116">
        <v>389.0</v>
      </c>
      <c r="H28" s="116">
        <v>433.0</v>
      </c>
      <c r="I28" s="116">
        <v>469.0</v>
      </c>
      <c r="J28" s="116">
        <v>502.0</v>
      </c>
      <c r="K28" s="116">
        <v>530.0</v>
      </c>
      <c r="L28" s="116">
        <v>557.0</v>
      </c>
      <c r="M28" s="116"/>
      <c r="N28" s="116"/>
      <c r="O28" s="80"/>
    </row>
    <row r="29" ht="13.5" customHeight="1">
      <c r="A29" s="61" t="str">
        <f>'電流表'!A29</f>
        <v>K1.8D4副</v>
      </c>
      <c r="B29" s="80" t="str">
        <f>'電流表'!B29</f>
        <v>13D389S副</v>
      </c>
      <c r="C29" s="111">
        <v>26.0</v>
      </c>
      <c r="D29" s="116">
        <v>42.0</v>
      </c>
      <c r="E29" s="116">
        <v>56.0</v>
      </c>
      <c r="F29" s="116">
        <v>67.0</v>
      </c>
      <c r="G29" s="116">
        <v>77.0</v>
      </c>
      <c r="H29" s="116">
        <v>86.0</v>
      </c>
      <c r="I29" s="116">
        <v>94.0</v>
      </c>
      <c r="J29" s="116">
        <v>101.0</v>
      </c>
      <c r="K29" s="116">
        <v>109.0</v>
      </c>
      <c r="L29" s="116">
        <v>117.0</v>
      </c>
      <c r="M29" s="116"/>
      <c r="N29" s="116"/>
      <c r="O29" s="80"/>
    </row>
    <row r="30" ht="13.5" customHeight="1">
      <c r="A30" s="61" t="str">
        <f>'電流表'!A30</f>
        <v>K1.8Q12</v>
      </c>
      <c r="B30" s="80" t="str">
        <f>'電流表'!B30</f>
        <v>NQ412</v>
      </c>
      <c r="C30" s="111">
        <v>16.0</v>
      </c>
      <c r="D30" s="116">
        <v>22.0</v>
      </c>
      <c r="E30" s="116">
        <v>29.0</v>
      </c>
      <c r="F30" s="116">
        <v>36.0</v>
      </c>
      <c r="G30" s="116">
        <v>42.0</v>
      </c>
      <c r="H30" s="116">
        <v>46.0</v>
      </c>
      <c r="I30" s="116">
        <v>51.0</v>
      </c>
      <c r="J30" s="116">
        <v>55.0</v>
      </c>
      <c r="K30" s="116">
        <v>58.0</v>
      </c>
      <c r="L30" s="116">
        <v>63.0</v>
      </c>
      <c r="M30" s="116">
        <v>66.0</v>
      </c>
      <c r="N30" s="116">
        <v>69.0</v>
      </c>
      <c r="O30" s="80">
        <v>73.0</v>
      </c>
    </row>
    <row r="31" ht="14.25" customHeight="1">
      <c r="A31" s="89" t="str">
        <f>'電流表'!A31</f>
        <v>K1.8Q13</v>
      </c>
      <c r="B31" s="73" t="str">
        <f>'電流表'!B31</f>
        <v>NQ412</v>
      </c>
      <c r="C31" s="66">
        <v>14.0</v>
      </c>
      <c r="D31" s="68">
        <v>23.0</v>
      </c>
      <c r="E31" s="68">
        <v>30.0</v>
      </c>
      <c r="F31" s="68">
        <v>37.0</v>
      </c>
      <c r="G31" s="68">
        <v>42.0</v>
      </c>
      <c r="H31" s="68">
        <v>47.0</v>
      </c>
      <c r="I31" s="68">
        <v>52.0</v>
      </c>
      <c r="J31" s="68">
        <v>56.0</v>
      </c>
      <c r="K31" s="68">
        <v>60.0</v>
      </c>
      <c r="L31" s="68">
        <v>64.0</v>
      </c>
      <c r="M31" s="68">
        <v>67.0</v>
      </c>
      <c r="N31" s="68">
        <v>71.0</v>
      </c>
      <c r="O31" s="73">
        <v>74.0</v>
      </c>
    </row>
    <row r="32" ht="13.5" customHeight="1">
      <c r="A32" s="40" t="str">
        <f>'電流表'!A32</f>
        <v>K1.8BRS3</v>
      </c>
      <c r="B32" s="88" t="str">
        <f>'電流表'!B32</f>
        <v>SX404</v>
      </c>
      <c r="C32" s="113">
        <v>0.0</v>
      </c>
      <c r="D32" s="120">
        <v>0.0</v>
      </c>
      <c r="E32" s="120">
        <v>0.0</v>
      </c>
      <c r="F32" s="120">
        <v>0.0</v>
      </c>
      <c r="G32" s="120">
        <v>0.0</v>
      </c>
      <c r="H32" s="120">
        <v>0.0</v>
      </c>
      <c r="I32" s="120">
        <v>0.0</v>
      </c>
      <c r="J32" s="120">
        <v>0.0</v>
      </c>
      <c r="K32" s="120">
        <v>0.0</v>
      </c>
      <c r="L32" s="120">
        <v>0.0</v>
      </c>
      <c r="M32" s="120">
        <v>0.0</v>
      </c>
      <c r="N32" s="120">
        <v>0.0</v>
      </c>
      <c r="O32" s="88">
        <v>0.0</v>
      </c>
    </row>
    <row r="33" ht="13.5" customHeight="1">
      <c r="A33" s="61" t="str">
        <f>'電流表'!A33</f>
        <v>K1.8BRQ7</v>
      </c>
      <c r="B33" s="80" t="str">
        <f>'電流表'!B33</f>
        <v>Q306</v>
      </c>
      <c r="C33" s="111"/>
      <c r="D33" s="116"/>
      <c r="E33" s="116"/>
      <c r="F33" s="116"/>
      <c r="G33" s="116">
        <v>29.4</v>
      </c>
      <c r="H33" s="116"/>
      <c r="I33" s="116"/>
      <c r="J33" s="116"/>
      <c r="K33" s="116"/>
      <c r="L33" s="116">
        <v>42.1</v>
      </c>
      <c r="M33" s="116"/>
      <c r="N33" s="116"/>
      <c r="O33" s="80"/>
    </row>
    <row r="34" ht="13.5" customHeight="1">
      <c r="A34" s="61" t="str">
        <f>'電流表'!A34</f>
        <v>K1.8BRD4</v>
      </c>
      <c r="B34" s="80" t="str">
        <f>'電流表'!B34</f>
        <v>8D440S</v>
      </c>
      <c r="C34" s="111"/>
      <c r="D34" s="116"/>
      <c r="E34" s="116"/>
      <c r="F34" s="116"/>
      <c r="G34" s="116"/>
      <c r="H34" s="116"/>
      <c r="I34" s="116"/>
      <c r="J34" s="116"/>
      <c r="K34" s="116"/>
      <c r="L34" s="116">
        <v>180.0</v>
      </c>
      <c r="M34" s="116"/>
      <c r="N34" s="116"/>
      <c r="O34" s="80"/>
    </row>
    <row r="35" ht="13.5" customHeight="1">
      <c r="A35" s="61" t="str">
        <f>'電流表'!A35</f>
        <v>K1.8BRQ8</v>
      </c>
      <c r="B35" s="80" t="str">
        <f>'電流表'!B35</f>
        <v>NQ408</v>
      </c>
      <c r="C35" s="111">
        <v>27.0</v>
      </c>
      <c r="D35" s="116">
        <v>36.0</v>
      </c>
      <c r="E35" s="116">
        <v>43.0</v>
      </c>
      <c r="F35" s="116">
        <v>49.0</v>
      </c>
      <c r="G35" s="116">
        <v>56.0</v>
      </c>
      <c r="H35" s="116">
        <v>63.0</v>
      </c>
      <c r="I35" s="116">
        <v>67.0</v>
      </c>
      <c r="J35" s="116">
        <v>72.0</v>
      </c>
      <c r="K35" s="116">
        <v>77.0</v>
      </c>
      <c r="L35" s="116">
        <v>81.0</v>
      </c>
      <c r="M35" s="116"/>
      <c r="N35" s="116"/>
      <c r="O35" s="80"/>
    </row>
    <row r="36" ht="14.25" customHeight="1">
      <c r="A36" s="89" t="str">
        <f>'電流表'!A36</f>
        <v>K1.8BRD5</v>
      </c>
      <c r="B36" s="73" t="str">
        <f>'電流表'!B36</f>
        <v>8D240S</v>
      </c>
      <c r="C36" s="66">
        <v>34.0</v>
      </c>
      <c r="D36" s="68">
        <v>50.0</v>
      </c>
      <c r="E36" s="68">
        <v>60.0</v>
      </c>
      <c r="F36" s="68">
        <v>70.0</v>
      </c>
      <c r="G36" s="68">
        <v>80.0</v>
      </c>
      <c r="H36" s="68">
        <v>90.0</v>
      </c>
      <c r="I36" s="68">
        <v>98.0</v>
      </c>
      <c r="J36" s="68">
        <v>106.0</v>
      </c>
      <c r="K36" s="68">
        <v>114.0</v>
      </c>
      <c r="L36" s="68">
        <v>118.0</v>
      </c>
      <c r="M36" s="68"/>
      <c r="N36" s="68"/>
      <c r="O36" s="73"/>
    </row>
    <row r="37" ht="13.5" customHeight="1">
      <c r="A37" s="61" t="str">
        <f>'電流表'!A37</f>
        <v>KLD1</v>
      </c>
      <c r="B37" s="80" t="str">
        <f>'電流表'!B37</f>
        <v>6D230</v>
      </c>
      <c r="C37" s="111">
        <v>54.0</v>
      </c>
      <c r="D37" s="116">
        <v>76.0</v>
      </c>
      <c r="E37" s="116">
        <v>92.0</v>
      </c>
      <c r="F37" s="116">
        <v>107.0</v>
      </c>
      <c r="G37" s="116">
        <v>120.0</v>
      </c>
      <c r="H37" s="116">
        <v>132.0</v>
      </c>
      <c r="I37" s="116">
        <v>143.0</v>
      </c>
      <c r="J37" s="116">
        <v>155.0</v>
      </c>
      <c r="K37" s="116">
        <v>165.0</v>
      </c>
      <c r="L37" s="116">
        <v>173.0</v>
      </c>
      <c r="M37" s="116"/>
      <c r="N37" s="116"/>
      <c r="O37" s="80"/>
    </row>
    <row r="38" ht="14.25" customHeight="1">
      <c r="A38" s="89" t="str">
        <f>'電流表'!A38</f>
        <v>KURAMA</v>
      </c>
      <c r="B38" s="73" t="str">
        <f>'電流表'!B38</f>
        <v>20D1616</v>
      </c>
      <c r="C38" s="66"/>
      <c r="D38" s="68"/>
      <c r="E38" s="68"/>
      <c r="F38" s="68"/>
      <c r="G38" s="68">
        <v>173.9</v>
      </c>
      <c r="H38" s="68"/>
      <c r="I38" s="68"/>
      <c r="J38" s="68"/>
      <c r="K38" s="68"/>
      <c r="L38" s="68">
        <v>240.0</v>
      </c>
      <c r="M38" s="68"/>
      <c r="N38" s="68"/>
      <c r="O38" s="73"/>
    </row>
    <row r="39" ht="13.5" customHeight="1"/>
    <row r="40" ht="13.5" customHeight="1">
      <c r="C40" s="5" t="s">
        <v>128</v>
      </c>
    </row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">
    <mergeCell ref="A1:A2"/>
    <mergeCell ref="B1:B2"/>
    <mergeCell ref="C1:O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38"/>
    <col customWidth="1" min="3" max="3" width="11.25"/>
    <col customWidth="1" min="4" max="26" width="8.0"/>
  </cols>
  <sheetData>
    <row r="1" ht="13.5" customHeight="1">
      <c r="A1" s="129" t="s">
        <v>57</v>
      </c>
      <c r="B1" s="130" t="s">
        <v>58</v>
      </c>
    </row>
    <row r="2" ht="13.5" customHeight="1">
      <c r="A2" s="5" t="s">
        <v>129</v>
      </c>
    </row>
    <row r="3" ht="13.5" customHeight="1">
      <c r="A3" s="5" t="s">
        <v>130</v>
      </c>
    </row>
    <row r="4" ht="13.5" customHeight="1"/>
    <row r="5" ht="13.5" customHeight="1">
      <c r="A5" s="5" t="s">
        <v>131</v>
      </c>
      <c r="B5" s="5" t="s">
        <v>9</v>
      </c>
      <c r="C5" s="5" t="s">
        <v>9</v>
      </c>
      <c r="D5" s="131" t="s">
        <v>132</v>
      </c>
      <c r="E5" s="5" t="s">
        <v>133</v>
      </c>
      <c r="F5" s="5" t="s">
        <v>134</v>
      </c>
    </row>
    <row r="6" ht="13.5" customHeight="1">
      <c r="A6" s="132">
        <v>0.0</v>
      </c>
      <c r="B6" s="131">
        <v>0.0085</v>
      </c>
      <c r="C6" s="131">
        <f t="shared" ref="C6:C18" si="1">B6</f>
        <v>0.0085</v>
      </c>
      <c r="D6" s="131">
        <f t="shared" ref="D6:D18" si="2">$B$22+$B$23*$A6+$B$24*$A6^2+$B$25*$A6^3</f>
        <v>-0.1131525836</v>
      </c>
      <c r="E6" s="131">
        <f t="shared" ref="E6:E18" si="3">$D6-$C6</f>
        <v>-0.1216525836</v>
      </c>
      <c r="F6" s="133">
        <f t="shared" ref="F6:F18" si="4">$E6^2</f>
        <v>0.0147993511</v>
      </c>
    </row>
    <row r="7" ht="13.5" customHeight="1">
      <c r="A7" s="132">
        <v>1.0</v>
      </c>
      <c r="B7" s="131">
        <v>1.8532</v>
      </c>
      <c r="C7" s="131">
        <f t="shared" si="1"/>
        <v>1.8532</v>
      </c>
      <c r="D7" s="131">
        <f t="shared" si="2"/>
        <v>1.870072753</v>
      </c>
      <c r="E7" s="131">
        <f t="shared" si="3"/>
        <v>0.01687275319</v>
      </c>
      <c r="F7" s="133">
        <f t="shared" si="4"/>
        <v>0.0002846898002</v>
      </c>
    </row>
    <row r="8" ht="13.5" customHeight="1">
      <c r="A8" s="132">
        <v>2.0</v>
      </c>
      <c r="B8" s="131">
        <v>3.6324</v>
      </c>
      <c r="C8" s="131">
        <f t="shared" si="1"/>
        <v>3.6324</v>
      </c>
      <c r="D8" s="131">
        <f t="shared" si="2"/>
        <v>3.77195854</v>
      </c>
      <c r="E8" s="131">
        <f t="shared" si="3"/>
        <v>0.1395585403</v>
      </c>
      <c r="F8" s="133">
        <f t="shared" si="4"/>
        <v>0.01947658616</v>
      </c>
    </row>
    <row r="9" ht="13.5" customHeight="1">
      <c r="A9" s="132">
        <v>3.0</v>
      </c>
      <c r="B9" s="131">
        <v>5.3993</v>
      </c>
      <c r="C9" s="131">
        <f t="shared" si="1"/>
        <v>5.3993</v>
      </c>
      <c r="D9" s="131">
        <f t="shared" si="2"/>
        <v>5.57502191</v>
      </c>
      <c r="E9" s="131">
        <f t="shared" si="3"/>
        <v>0.1757219096</v>
      </c>
      <c r="F9" s="133">
        <f t="shared" si="4"/>
        <v>0.03087818951</v>
      </c>
    </row>
    <row r="10" ht="13.5" customHeight="1">
      <c r="A10" s="132">
        <v>4.0</v>
      </c>
      <c r="B10" s="131">
        <v>7.217</v>
      </c>
      <c r="C10" s="131">
        <f t="shared" si="1"/>
        <v>7.217</v>
      </c>
      <c r="D10" s="131">
        <f t="shared" si="2"/>
        <v>7.261779993</v>
      </c>
      <c r="E10" s="131">
        <f t="shared" si="3"/>
        <v>0.04477999318</v>
      </c>
      <c r="F10" s="133">
        <f t="shared" si="4"/>
        <v>0.002005247789</v>
      </c>
    </row>
    <row r="11" ht="13.5" customHeight="1">
      <c r="A11" s="132">
        <v>5.0</v>
      </c>
      <c r="B11" s="131">
        <v>8.9492</v>
      </c>
      <c r="C11" s="131">
        <f t="shared" si="1"/>
        <v>8.9492</v>
      </c>
      <c r="D11" s="131">
        <f t="shared" si="2"/>
        <v>8.814749923</v>
      </c>
      <c r="E11" s="131">
        <f t="shared" si="3"/>
        <v>-0.134450077</v>
      </c>
      <c r="F11" s="133">
        <f t="shared" si="4"/>
        <v>0.01807682321</v>
      </c>
    </row>
    <row r="12" ht="13.5" customHeight="1">
      <c r="A12" s="132">
        <v>6.0</v>
      </c>
      <c r="B12" s="131">
        <v>10.4377</v>
      </c>
      <c r="C12" s="131">
        <f t="shared" si="1"/>
        <v>10.4377</v>
      </c>
      <c r="D12" s="131">
        <f t="shared" si="2"/>
        <v>10.21644883</v>
      </c>
      <c r="E12" s="131">
        <f t="shared" si="3"/>
        <v>-0.221251169</v>
      </c>
      <c r="F12" s="133">
        <f t="shared" si="4"/>
        <v>0.04895207979</v>
      </c>
    </row>
    <row r="13" ht="13.5" customHeight="1">
      <c r="A13" s="132">
        <v>7.0</v>
      </c>
      <c r="B13" s="131">
        <v>11.5686</v>
      </c>
      <c r="C13" s="131">
        <f t="shared" si="1"/>
        <v>11.5686</v>
      </c>
      <c r="D13" s="131">
        <f t="shared" si="2"/>
        <v>11.44939385</v>
      </c>
      <c r="E13" s="131">
        <f t="shared" si="3"/>
        <v>-0.1192061508</v>
      </c>
      <c r="F13" s="133">
        <f t="shared" si="4"/>
        <v>0.01421010639</v>
      </c>
    </row>
    <row r="14" ht="13.5" customHeight="1">
      <c r="A14" s="132">
        <v>8.0</v>
      </c>
      <c r="B14" s="131">
        <v>12.4931</v>
      </c>
      <c r="C14" s="131">
        <f t="shared" si="1"/>
        <v>12.4931</v>
      </c>
      <c r="D14" s="131">
        <f t="shared" si="2"/>
        <v>12.49610211</v>
      </c>
      <c r="E14" s="131">
        <f t="shared" si="3"/>
        <v>0.00300210961</v>
      </c>
      <c r="F14" s="133">
        <f t="shared" si="4"/>
        <v>0.000009012662108</v>
      </c>
    </row>
    <row r="15" ht="13.5" customHeight="1">
      <c r="A15" s="132">
        <v>9.0</v>
      </c>
      <c r="B15" s="131">
        <v>13.2313</v>
      </c>
      <c r="C15" s="131">
        <f t="shared" si="1"/>
        <v>13.2313</v>
      </c>
      <c r="D15" s="131">
        <f t="shared" si="2"/>
        <v>13.33909074</v>
      </c>
      <c r="E15" s="131">
        <f t="shared" si="3"/>
        <v>0.1077907442</v>
      </c>
      <c r="F15" s="133">
        <f t="shared" si="4"/>
        <v>0.01161884453</v>
      </c>
    </row>
    <row r="16" ht="13.5" customHeight="1">
      <c r="A16" s="132">
        <v>10.0</v>
      </c>
      <c r="B16" s="131">
        <v>13.7836</v>
      </c>
      <c r="C16" s="131">
        <f t="shared" si="1"/>
        <v>13.7836</v>
      </c>
      <c r="D16" s="131">
        <f t="shared" si="2"/>
        <v>13.96087688</v>
      </c>
      <c r="E16" s="131">
        <f t="shared" si="3"/>
        <v>0.1772768849</v>
      </c>
      <c r="F16" s="133">
        <f t="shared" si="4"/>
        <v>0.03142709392</v>
      </c>
    </row>
    <row r="17" ht="13.5" customHeight="1">
      <c r="A17" s="132">
        <v>11.0</v>
      </c>
      <c r="B17" s="131">
        <v>14.2401</v>
      </c>
      <c r="C17" s="131">
        <f t="shared" si="1"/>
        <v>14.2401</v>
      </c>
      <c r="D17" s="131">
        <f t="shared" si="2"/>
        <v>14.34397766</v>
      </c>
      <c r="E17" s="131">
        <f t="shared" si="3"/>
        <v>0.1038776638</v>
      </c>
      <c r="F17" s="133">
        <f t="shared" si="4"/>
        <v>0.01079056903</v>
      </c>
    </row>
    <row r="18" ht="13.5" customHeight="1">
      <c r="A18" s="132">
        <v>12.0</v>
      </c>
      <c r="B18" s="131">
        <v>14.644</v>
      </c>
      <c r="C18" s="131">
        <f t="shared" si="1"/>
        <v>14.644</v>
      </c>
      <c r="D18" s="131">
        <f t="shared" si="2"/>
        <v>14.47091021</v>
      </c>
      <c r="E18" s="131">
        <f t="shared" si="3"/>
        <v>-0.1730897872</v>
      </c>
      <c r="F18" s="133">
        <f t="shared" si="4"/>
        <v>0.02996007444</v>
      </c>
    </row>
    <row r="19" ht="13.5" customHeight="1">
      <c r="A19" s="132"/>
      <c r="F19" s="133">
        <f>SUM(F6:F18)</f>
        <v>0.2324886683</v>
      </c>
    </row>
    <row r="20" ht="13.5" customHeight="1">
      <c r="A20" s="132"/>
    </row>
    <row r="21" ht="13.5" customHeight="1">
      <c r="A21" s="5" t="s">
        <v>135</v>
      </c>
    </row>
    <row r="22" ht="13.5" customHeight="1">
      <c r="A22" s="5" t="s">
        <v>136</v>
      </c>
      <c r="B22" s="134">
        <v>-0.1131525836219599</v>
      </c>
    </row>
    <row r="23" ht="13.5" customHeight="1">
      <c r="A23" s="5" t="s">
        <v>137</v>
      </c>
      <c r="B23" s="134">
        <v>2.018067489006369</v>
      </c>
    </row>
    <row r="24" ht="13.5" customHeight="1">
      <c r="A24" s="5" t="s">
        <v>138</v>
      </c>
      <c r="B24" s="134">
        <v>-0.03192834085906812</v>
      </c>
    </row>
    <row r="25" ht="13.5" customHeight="1">
      <c r="A25" s="5" t="s">
        <v>139</v>
      </c>
      <c r="B25" s="134">
        <v>-0.002913811335623207</v>
      </c>
    </row>
    <row r="26" ht="13.5" customHeight="1"/>
    <row r="27" ht="13.5" customHeight="1"/>
    <row r="28" ht="13.5" customHeight="1">
      <c r="A28" s="5" t="s">
        <v>131</v>
      </c>
      <c r="B28" s="5" t="s">
        <v>9</v>
      </c>
      <c r="C28" s="5" t="s">
        <v>140</v>
      </c>
      <c r="D28" s="131" t="s">
        <v>132</v>
      </c>
      <c r="E28" s="5" t="s">
        <v>133</v>
      </c>
      <c r="F28" s="5" t="s">
        <v>134</v>
      </c>
    </row>
    <row r="29" ht="13.5" customHeight="1">
      <c r="A29" s="132">
        <v>0.0</v>
      </c>
      <c r="B29" s="131">
        <v>0.0085</v>
      </c>
      <c r="C29" s="131">
        <f t="shared" ref="C29:C41" si="5">B29</f>
        <v>0.0085</v>
      </c>
      <c r="D29" s="131">
        <f t="shared" ref="D29:D41" si="6">$B$45+$B$46*$C29+$B$47*$C29^2+$B$48*$C29^3</f>
        <v>-0.1713418848</v>
      </c>
      <c r="E29" s="131">
        <f t="shared" ref="E29:E41" si="7">$D29-$A29</f>
        <v>-0.1713418848</v>
      </c>
      <c r="F29" s="133">
        <f t="shared" ref="F29:F41" si="8">$E29^2</f>
        <v>0.02935804149</v>
      </c>
    </row>
    <row r="30" ht="13.5" customHeight="1">
      <c r="A30" s="132">
        <v>1.0</v>
      </c>
      <c r="B30" s="131">
        <v>1.8532</v>
      </c>
      <c r="C30" s="131">
        <f t="shared" si="5"/>
        <v>1.8532</v>
      </c>
      <c r="D30" s="131">
        <f t="shared" si="6"/>
        <v>1.213511356</v>
      </c>
      <c r="E30" s="131">
        <f t="shared" si="7"/>
        <v>0.213511356</v>
      </c>
      <c r="F30" s="133">
        <f t="shared" si="8"/>
        <v>0.04558709916</v>
      </c>
    </row>
    <row r="31" ht="13.5" customHeight="1">
      <c r="A31" s="132">
        <v>2.0</v>
      </c>
      <c r="B31" s="131">
        <v>3.6324</v>
      </c>
      <c r="C31" s="131">
        <f t="shared" si="5"/>
        <v>3.6324</v>
      </c>
      <c r="D31" s="131">
        <f t="shared" si="6"/>
        <v>2.176954673</v>
      </c>
      <c r="E31" s="131">
        <f t="shared" si="7"/>
        <v>0.176954673</v>
      </c>
      <c r="F31" s="133">
        <f t="shared" si="8"/>
        <v>0.03131295629</v>
      </c>
    </row>
    <row r="32" ht="13.5" customHeight="1">
      <c r="A32" s="132">
        <v>3.0</v>
      </c>
      <c r="B32" s="131">
        <v>5.3993</v>
      </c>
      <c r="C32" s="131">
        <f t="shared" si="5"/>
        <v>5.3993</v>
      </c>
      <c r="D32" s="131">
        <f t="shared" si="6"/>
        <v>2.963427663</v>
      </c>
      <c r="E32" s="131">
        <f t="shared" si="7"/>
        <v>-0.03657233716</v>
      </c>
      <c r="F32" s="133">
        <f t="shared" si="8"/>
        <v>0.001337535845</v>
      </c>
    </row>
    <row r="33" ht="13.5" customHeight="1">
      <c r="A33" s="132">
        <v>4.0</v>
      </c>
      <c r="B33" s="131">
        <v>7.217</v>
      </c>
      <c r="C33" s="131">
        <f t="shared" si="5"/>
        <v>7.217</v>
      </c>
      <c r="D33" s="131">
        <f t="shared" si="6"/>
        <v>3.793466697</v>
      </c>
      <c r="E33" s="131">
        <f t="shared" si="7"/>
        <v>-0.2065333025</v>
      </c>
      <c r="F33" s="133">
        <f t="shared" si="8"/>
        <v>0.04265600504</v>
      </c>
    </row>
    <row r="34" ht="13.5" customHeight="1">
      <c r="A34" s="132">
        <v>5.0</v>
      </c>
      <c r="B34" s="131">
        <v>8.9492</v>
      </c>
      <c r="C34" s="131">
        <f t="shared" si="5"/>
        <v>8.9492</v>
      </c>
      <c r="D34" s="131">
        <f t="shared" si="6"/>
        <v>4.789519556</v>
      </c>
      <c r="E34" s="131">
        <f t="shared" si="7"/>
        <v>-0.2104804436</v>
      </c>
      <c r="F34" s="133">
        <f t="shared" si="8"/>
        <v>0.04430201714</v>
      </c>
    </row>
    <row r="35" ht="13.5" customHeight="1">
      <c r="A35" s="132">
        <v>6.0</v>
      </c>
      <c r="B35" s="131">
        <v>10.4377</v>
      </c>
      <c r="C35" s="131">
        <f t="shared" si="5"/>
        <v>10.4377</v>
      </c>
      <c r="D35" s="131">
        <f t="shared" si="6"/>
        <v>5.942192741</v>
      </c>
      <c r="E35" s="131">
        <f t="shared" si="7"/>
        <v>-0.05780725894</v>
      </c>
      <c r="F35" s="133">
        <f t="shared" si="8"/>
        <v>0.003341679186</v>
      </c>
    </row>
    <row r="36" ht="13.5" customHeight="1">
      <c r="A36" s="132">
        <v>7.0</v>
      </c>
      <c r="B36" s="131">
        <v>11.5686</v>
      </c>
      <c r="C36" s="131">
        <f t="shared" si="5"/>
        <v>11.5686</v>
      </c>
      <c r="D36" s="131">
        <f t="shared" si="6"/>
        <v>7.074366785</v>
      </c>
      <c r="E36" s="131">
        <f t="shared" si="7"/>
        <v>0.07436678487</v>
      </c>
      <c r="F36" s="133">
        <f t="shared" si="8"/>
        <v>0.005530418692</v>
      </c>
    </row>
    <row r="37" ht="13.5" customHeight="1">
      <c r="A37" s="132">
        <v>8.0</v>
      </c>
      <c r="B37" s="131">
        <v>12.4931</v>
      </c>
      <c r="C37" s="131">
        <f t="shared" si="5"/>
        <v>12.4931</v>
      </c>
      <c r="D37" s="131">
        <f t="shared" si="6"/>
        <v>8.202559004</v>
      </c>
      <c r="E37" s="131">
        <f t="shared" si="7"/>
        <v>0.202559004</v>
      </c>
      <c r="F37" s="133">
        <f t="shared" si="8"/>
        <v>0.04103015012</v>
      </c>
    </row>
    <row r="38" ht="13.5" customHeight="1">
      <c r="A38" s="132">
        <v>9.0</v>
      </c>
      <c r="B38" s="131">
        <v>13.2313</v>
      </c>
      <c r="C38" s="131">
        <f t="shared" si="5"/>
        <v>13.2313</v>
      </c>
      <c r="D38" s="131">
        <f t="shared" si="6"/>
        <v>9.253734349</v>
      </c>
      <c r="E38" s="131">
        <f t="shared" si="7"/>
        <v>0.2537343487</v>
      </c>
      <c r="F38" s="133">
        <f t="shared" si="8"/>
        <v>0.06438111973</v>
      </c>
    </row>
    <row r="39" ht="13.5" customHeight="1">
      <c r="A39" s="132">
        <v>10.0</v>
      </c>
      <c r="B39" s="131">
        <v>13.7836</v>
      </c>
      <c r="C39" s="131">
        <f t="shared" si="5"/>
        <v>13.7836</v>
      </c>
      <c r="D39" s="131">
        <f t="shared" si="6"/>
        <v>10.13643573</v>
      </c>
      <c r="E39" s="131">
        <f t="shared" si="7"/>
        <v>0.1364357293</v>
      </c>
      <c r="F39" s="133">
        <f t="shared" si="8"/>
        <v>0.01861470822</v>
      </c>
    </row>
    <row r="40" ht="13.5" customHeight="1">
      <c r="A40" s="132">
        <v>11.0</v>
      </c>
      <c r="B40" s="131">
        <v>14.2401</v>
      </c>
      <c r="C40" s="131">
        <f t="shared" si="5"/>
        <v>14.2401</v>
      </c>
      <c r="D40" s="131">
        <f t="shared" si="6"/>
        <v>10.93277022</v>
      </c>
      <c r="E40" s="131">
        <f t="shared" si="7"/>
        <v>-0.06722978046</v>
      </c>
      <c r="F40" s="133">
        <f t="shared" si="8"/>
        <v>0.00451984338</v>
      </c>
    </row>
    <row r="41" ht="13.5" customHeight="1">
      <c r="A41" s="132">
        <v>12.0</v>
      </c>
      <c r="B41" s="131">
        <v>14.644</v>
      </c>
      <c r="C41" s="131">
        <f t="shared" si="5"/>
        <v>14.644</v>
      </c>
      <c r="D41" s="131">
        <f t="shared" si="6"/>
        <v>11.69049555</v>
      </c>
      <c r="E41" s="131">
        <f t="shared" si="7"/>
        <v>-0.3095044536</v>
      </c>
      <c r="F41" s="133">
        <f t="shared" si="8"/>
        <v>0.09579300681</v>
      </c>
    </row>
    <row r="42" ht="13.5" customHeight="1">
      <c r="D42" s="131"/>
      <c r="F42" s="131">
        <f>SUM(F29:F41)</f>
        <v>0.4277645811</v>
      </c>
    </row>
    <row r="43" ht="13.5" customHeight="1">
      <c r="D43" s="131"/>
    </row>
    <row r="44" ht="13.5" customHeight="1">
      <c r="A44" s="5" t="s">
        <v>135</v>
      </c>
      <c r="D44" s="131"/>
    </row>
    <row r="45" ht="13.5" customHeight="1">
      <c r="A45" s="5" t="s">
        <v>136</v>
      </c>
      <c r="B45" s="134">
        <v>-0.17895668378044385</v>
      </c>
      <c r="D45" s="131"/>
    </row>
    <row r="46" ht="14.25" customHeight="1">
      <c r="A46" s="5" t="s">
        <v>137</v>
      </c>
      <c r="B46" s="134">
        <v>0.8966136749586482</v>
      </c>
      <c r="D46" s="131"/>
    </row>
    <row r="47" ht="14.25" customHeight="1">
      <c r="A47" s="5" t="s">
        <v>138</v>
      </c>
      <c r="B47" s="134">
        <v>-0.08886846842165878</v>
      </c>
      <c r="D47" s="131"/>
      <c r="H47" s="5" t="s">
        <v>141</v>
      </c>
      <c r="J47" s="135">
        <v>708.0</v>
      </c>
    </row>
    <row r="48" ht="13.5" customHeight="1">
      <c r="A48" s="5" t="s">
        <v>139</v>
      </c>
      <c r="B48" s="134">
        <v>0.00566718652751037</v>
      </c>
      <c r="D48" s="131"/>
      <c r="H48" s="5" t="s">
        <v>142</v>
      </c>
      <c r="J48" s="131">
        <f>$B$22+$B$23*J47/100+$B$24*J47^2*0.0001+$B$25*J47^3*0.000001</f>
        <v>11.54021564</v>
      </c>
    </row>
    <row r="49" ht="14.25" customHeight="1">
      <c r="D49" s="131"/>
    </row>
    <row r="50" ht="14.25" customHeight="1">
      <c r="D50" s="131"/>
      <c r="H50" s="5" t="s">
        <v>143</v>
      </c>
      <c r="J50" s="136">
        <v>11.84605</v>
      </c>
    </row>
    <row r="51" ht="13.5" customHeight="1">
      <c r="D51" s="131"/>
      <c r="H51" s="5" t="s">
        <v>144</v>
      </c>
      <c r="J51" s="81">
        <f>$B$45*100+$B$46*J50*100+$B$47*J50^2*100+$B$48*J50^3*100</f>
        <v>739.2368103</v>
      </c>
    </row>
    <row r="52" ht="13.5" customHeight="1">
      <c r="D52" s="131"/>
    </row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0"/>
    <col customWidth="1" min="3" max="3" width="11.25"/>
    <col customWidth="1" min="4" max="4" width="9.0"/>
    <col customWidth="1" min="5" max="9" width="8.0"/>
    <col customWidth="1" min="10" max="10" width="9.88"/>
    <col customWidth="1" min="11" max="26" width="8.0"/>
  </cols>
  <sheetData>
    <row r="1" ht="13.5" customHeight="1">
      <c r="A1" s="129" t="s">
        <v>63</v>
      </c>
      <c r="B1" s="130" t="s">
        <v>64</v>
      </c>
      <c r="D1" s="131"/>
    </row>
    <row r="2" ht="13.5" customHeight="1">
      <c r="A2" s="5" t="s">
        <v>145</v>
      </c>
      <c r="D2" s="131"/>
    </row>
    <row r="3" ht="13.5" customHeight="1">
      <c r="A3" s="5" t="s">
        <v>146</v>
      </c>
      <c r="C3" s="5" t="s">
        <v>147</v>
      </c>
      <c r="D3" s="131"/>
    </row>
    <row r="4" ht="13.5" customHeight="1">
      <c r="D4" s="131"/>
    </row>
    <row r="5" ht="13.5" customHeight="1">
      <c r="A5" s="5" t="s">
        <v>131</v>
      </c>
      <c r="B5" s="5" t="s">
        <v>9</v>
      </c>
      <c r="C5" s="5" t="s">
        <v>140</v>
      </c>
      <c r="D5" s="131" t="s">
        <v>132</v>
      </c>
      <c r="E5" s="5" t="s">
        <v>133</v>
      </c>
      <c r="F5" s="5" t="s">
        <v>134</v>
      </c>
    </row>
    <row r="6" ht="13.5" customHeight="1">
      <c r="A6" s="132">
        <v>0.0</v>
      </c>
      <c r="B6" s="131">
        <v>0.0012</v>
      </c>
      <c r="C6" s="131">
        <f t="shared" ref="C6:C18" si="1">B6*2</f>
        <v>0.0024</v>
      </c>
      <c r="D6" s="131">
        <f t="shared" ref="D6:D18" si="2">$B$22+$B$23*$A6+$B$24*$A6^2+$B$25*$A6^3</f>
        <v>-0.02353542473</v>
      </c>
      <c r="E6" s="131">
        <f t="shared" ref="E6:E18" si="3">$D6-$C6</f>
        <v>-0.02593542473</v>
      </c>
      <c r="F6" s="133">
        <f t="shared" ref="F6:F18" si="4">$E6^2</f>
        <v>0.000672646256</v>
      </c>
    </row>
    <row r="7" ht="13.5" customHeight="1">
      <c r="A7" s="132">
        <v>1.0</v>
      </c>
      <c r="B7" s="131">
        <v>0.4303</v>
      </c>
      <c r="C7" s="131">
        <f t="shared" si="1"/>
        <v>0.8606</v>
      </c>
      <c r="D7" s="131">
        <f t="shared" si="2"/>
        <v>0.8554681732</v>
      </c>
      <c r="E7" s="131">
        <f t="shared" si="3"/>
        <v>-0.005131826824</v>
      </c>
      <c r="F7" s="133">
        <f t="shared" si="4"/>
        <v>0.00002633564655</v>
      </c>
    </row>
    <row r="8" ht="13.5" customHeight="1">
      <c r="A8" s="132">
        <v>2.0</v>
      </c>
      <c r="B8" s="131">
        <v>0.862</v>
      </c>
      <c r="C8" s="131">
        <f t="shared" si="1"/>
        <v>1.724</v>
      </c>
      <c r="D8" s="131">
        <f t="shared" si="2"/>
        <v>1.743989134</v>
      </c>
      <c r="E8" s="131">
        <f t="shared" si="3"/>
        <v>0.019989134</v>
      </c>
      <c r="F8" s="133">
        <f t="shared" si="4"/>
        <v>0.0003995654779</v>
      </c>
    </row>
    <row r="9" ht="13.5" customHeight="1">
      <c r="A9" s="132">
        <v>3.0</v>
      </c>
      <c r="B9" s="131">
        <v>1.2926</v>
      </c>
      <c r="C9" s="131">
        <f t="shared" si="1"/>
        <v>2.5852</v>
      </c>
      <c r="D9" s="131">
        <f t="shared" si="2"/>
        <v>2.626365545</v>
      </c>
      <c r="E9" s="131">
        <f t="shared" si="3"/>
        <v>0.04116554457</v>
      </c>
      <c r="F9" s="133">
        <f t="shared" si="4"/>
        <v>0.00169460206</v>
      </c>
    </row>
    <row r="10" ht="13.5" customHeight="1">
      <c r="A10" s="132">
        <v>4.0</v>
      </c>
      <c r="B10" s="131">
        <v>1.7223</v>
      </c>
      <c r="C10" s="131">
        <f t="shared" si="1"/>
        <v>3.4446</v>
      </c>
      <c r="D10" s="131">
        <f t="shared" si="2"/>
        <v>3.486935492</v>
      </c>
      <c r="E10" s="131">
        <f t="shared" si="3"/>
        <v>0.04233549176</v>
      </c>
      <c r="F10" s="133">
        <f t="shared" si="4"/>
        <v>0.001792293863</v>
      </c>
    </row>
    <row r="11" ht="13.5" customHeight="1">
      <c r="A11" s="132">
        <v>5.0</v>
      </c>
      <c r="B11" s="131">
        <v>2.1484</v>
      </c>
      <c r="C11" s="131">
        <f t="shared" si="1"/>
        <v>4.2968</v>
      </c>
      <c r="D11" s="131">
        <f t="shared" si="2"/>
        <v>4.310037062</v>
      </c>
      <c r="E11" s="131">
        <f t="shared" si="3"/>
        <v>0.01323706241</v>
      </c>
      <c r="F11" s="133">
        <f t="shared" si="4"/>
        <v>0.0001752198212</v>
      </c>
    </row>
    <row r="12" ht="13.5" customHeight="1">
      <c r="A12" s="132">
        <v>6.0</v>
      </c>
      <c r="B12" s="131">
        <v>2.5707</v>
      </c>
      <c r="C12" s="131">
        <f t="shared" si="1"/>
        <v>5.1414</v>
      </c>
      <c r="D12" s="131">
        <f t="shared" si="2"/>
        <v>5.080008343</v>
      </c>
      <c r="E12" s="131">
        <f t="shared" si="3"/>
        <v>-0.06139165664</v>
      </c>
      <c r="F12" s="133">
        <f t="shared" si="4"/>
        <v>0.003768935504</v>
      </c>
    </row>
    <row r="13" ht="13.5" customHeight="1">
      <c r="A13" s="132">
        <v>7.0</v>
      </c>
      <c r="B13" s="131">
        <v>2.9433</v>
      </c>
      <c r="C13" s="131">
        <f t="shared" si="1"/>
        <v>5.8866</v>
      </c>
      <c r="D13" s="131">
        <f t="shared" si="2"/>
        <v>5.781187421</v>
      </c>
      <c r="E13" s="131">
        <f t="shared" si="3"/>
        <v>-0.1054125785</v>
      </c>
      <c r="F13" s="133">
        <f t="shared" si="4"/>
        <v>0.01111181171</v>
      </c>
    </row>
    <row r="14" ht="13.5" customHeight="1">
      <c r="A14" s="132">
        <v>8.0</v>
      </c>
      <c r="B14" s="131">
        <v>3.2154</v>
      </c>
      <c r="C14" s="131">
        <f t="shared" si="1"/>
        <v>6.4308</v>
      </c>
      <c r="D14" s="131">
        <f t="shared" si="2"/>
        <v>6.397912384</v>
      </c>
      <c r="E14" s="131">
        <f t="shared" si="3"/>
        <v>-0.0328876164</v>
      </c>
      <c r="F14" s="133">
        <f t="shared" si="4"/>
        <v>0.001081595313</v>
      </c>
    </row>
    <row r="15" ht="13.5" customHeight="1">
      <c r="A15" s="132">
        <v>9.0</v>
      </c>
      <c r="B15" s="131">
        <v>3.4326</v>
      </c>
      <c r="C15" s="131">
        <f t="shared" si="1"/>
        <v>6.8652</v>
      </c>
      <c r="D15" s="131">
        <f t="shared" si="2"/>
        <v>6.914521317</v>
      </c>
      <c r="E15" s="131">
        <f t="shared" si="3"/>
        <v>0.04932131657</v>
      </c>
      <c r="F15" s="133">
        <f t="shared" si="4"/>
        <v>0.002432592268</v>
      </c>
    </row>
    <row r="16" ht="13.5" customHeight="1">
      <c r="A16" s="132">
        <v>10.0</v>
      </c>
      <c r="B16" s="131">
        <v>3.614</v>
      </c>
      <c r="C16" s="131">
        <f t="shared" si="1"/>
        <v>7.228</v>
      </c>
      <c r="D16" s="131">
        <f t="shared" si="2"/>
        <v>7.315352307</v>
      </c>
      <c r="E16" s="131">
        <f t="shared" si="3"/>
        <v>0.08735230725</v>
      </c>
      <c r="F16" s="133">
        <f t="shared" si="4"/>
        <v>0.007630425581</v>
      </c>
    </row>
    <row r="17" ht="13.5" customHeight="1">
      <c r="A17" s="132">
        <v>11.0</v>
      </c>
      <c r="B17" s="131">
        <v>3.7663</v>
      </c>
      <c r="C17" s="131">
        <f t="shared" si="1"/>
        <v>7.5326</v>
      </c>
      <c r="D17" s="131">
        <f t="shared" si="2"/>
        <v>7.584743442</v>
      </c>
      <c r="E17" s="131">
        <f t="shared" si="3"/>
        <v>0.05214344248</v>
      </c>
      <c r="F17" s="133">
        <f t="shared" si="4"/>
        <v>0.002718938594</v>
      </c>
    </row>
    <row r="18" ht="13.5" customHeight="1">
      <c r="A18" s="132">
        <v>12.0</v>
      </c>
      <c r="B18" s="131">
        <v>3.8918</v>
      </c>
      <c r="C18" s="131">
        <f t="shared" si="1"/>
        <v>7.7836</v>
      </c>
      <c r="D18" s="131">
        <f t="shared" si="2"/>
        <v>7.707032809</v>
      </c>
      <c r="E18" s="131">
        <f t="shared" si="3"/>
        <v>-0.07656719088</v>
      </c>
      <c r="F18" s="133">
        <f t="shared" si="4"/>
        <v>0.00586253472</v>
      </c>
    </row>
    <row r="19" ht="13.5" customHeight="1">
      <c r="D19" s="131"/>
      <c r="E19" s="131"/>
      <c r="F19" s="131">
        <f>SUM(F6:F18)</f>
        <v>0.03936749682</v>
      </c>
    </row>
    <row r="20" ht="13.5" customHeight="1">
      <c r="D20" s="131"/>
      <c r="E20" s="131"/>
      <c r="F20" s="131"/>
    </row>
    <row r="21" ht="13.5" customHeight="1">
      <c r="A21" s="5" t="s">
        <v>135</v>
      </c>
      <c r="D21" s="131"/>
    </row>
    <row r="22" ht="13.5" customHeight="1">
      <c r="A22" s="5" t="s">
        <v>136</v>
      </c>
      <c r="B22" s="134">
        <v>-0.023535424732344393</v>
      </c>
      <c r="D22" s="131"/>
    </row>
    <row r="23" ht="13.5" customHeight="1">
      <c r="A23" s="5" t="s">
        <v>137</v>
      </c>
      <c r="B23" s="134">
        <v>0.869024278735947</v>
      </c>
      <c r="D23" s="131"/>
    </row>
    <row r="24" ht="13.5" customHeight="1">
      <c r="A24" s="5" t="s">
        <v>138</v>
      </c>
      <c r="B24" s="134">
        <v>0.01258963803080397</v>
      </c>
      <c r="D24" s="131"/>
    </row>
    <row r="25" ht="13.5" customHeight="1">
      <c r="A25" s="5" t="s">
        <v>139</v>
      </c>
      <c r="B25" s="134">
        <v>-0.0026103188584598726</v>
      </c>
      <c r="D25" s="131"/>
    </row>
    <row r="26" ht="13.5" customHeight="1">
      <c r="B26" s="134"/>
      <c r="D26" s="131"/>
    </row>
    <row r="27" ht="13.5" customHeight="1">
      <c r="D27" s="131"/>
    </row>
    <row r="28" ht="13.5" customHeight="1">
      <c r="A28" s="5" t="s">
        <v>131</v>
      </c>
      <c r="B28" s="5" t="s">
        <v>9</v>
      </c>
      <c r="C28" s="5" t="s">
        <v>140</v>
      </c>
      <c r="D28" s="131" t="s">
        <v>132</v>
      </c>
      <c r="E28" s="5" t="s">
        <v>133</v>
      </c>
      <c r="F28" s="5" t="s">
        <v>134</v>
      </c>
    </row>
    <row r="29" ht="13.5" customHeight="1">
      <c r="A29" s="132">
        <v>0.0</v>
      </c>
      <c r="B29" s="131">
        <v>0.0012</v>
      </c>
      <c r="C29" s="131">
        <f t="shared" ref="C29:C41" si="5">B29*2</f>
        <v>0.0024</v>
      </c>
      <c r="D29" s="131">
        <f t="shared" ref="D29:D41" si="6">$B$45+$B$46*$C29+$B$47*$C29^2+$B$48*$C29^3</f>
        <v>-0.1500003938</v>
      </c>
      <c r="E29" s="131">
        <f t="shared" ref="E29:E41" si="7">$D29-$A29</f>
        <v>-0.1500003938</v>
      </c>
      <c r="F29" s="133">
        <f t="shared" ref="F29:F41" si="8">$E29^2</f>
        <v>0.02250011813</v>
      </c>
    </row>
    <row r="30" ht="13.5" customHeight="1">
      <c r="A30" s="132">
        <v>1.0</v>
      </c>
      <c r="B30" s="131">
        <v>0.4303</v>
      </c>
      <c r="C30" s="131">
        <f t="shared" si="5"/>
        <v>0.8606</v>
      </c>
      <c r="D30" s="131">
        <f t="shared" si="6"/>
        <v>1.143997744</v>
      </c>
      <c r="E30" s="131">
        <f t="shared" si="7"/>
        <v>0.1439977439</v>
      </c>
      <c r="F30" s="133">
        <f t="shared" si="8"/>
        <v>0.02073535025</v>
      </c>
    </row>
    <row r="31" ht="13.5" customHeight="1">
      <c r="A31" s="132">
        <v>2.0</v>
      </c>
      <c r="B31" s="131">
        <v>0.862</v>
      </c>
      <c r="C31" s="131">
        <f t="shared" si="5"/>
        <v>1.724</v>
      </c>
      <c r="D31" s="131">
        <f t="shared" si="6"/>
        <v>2.171431456</v>
      </c>
      <c r="E31" s="131">
        <f t="shared" si="7"/>
        <v>0.1714314562</v>
      </c>
      <c r="F31" s="133">
        <f t="shared" si="8"/>
        <v>0.02938874418</v>
      </c>
    </row>
    <row r="32" ht="13.5" customHeight="1">
      <c r="A32" s="132">
        <v>3.0</v>
      </c>
      <c r="B32" s="131">
        <v>1.2926</v>
      </c>
      <c r="C32" s="131">
        <f t="shared" si="5"/>
        <v>2.5852</v>
      </c>
      <c r="D32" s="131">
        <f t="shared" si="6"/>
        <v>3.041102028</v>
      </c>
      <c r="E32" s="131">
        <f t="shared" si="7"/>
        <v>0.04110202803</v>
      </c>
      <c r="F32" s="133">
        <f t="shared" si="8"/>
        <v>0.001689376708</v>
      </c>
    </row>
    <row r="33" ht="13.5" customHeight="1">
      <c r="A33" s="132">
        <v>4.0</v>
      </c>
      <c r="B33" s="131">
        <v>1.7223</v>
      </c>
      <c r="C33" s="131">
        <f t="shared" si="5"/>
        <v>3.4446</v>
      </c>
      <c r="D33" s="131">
        <f t="shared" si="6"/>
        <v>3.873061414</v>
      </c>
      <c r="E33" s="131">
        <f t="shared" si="7"/>
        <v>-0.1269385859</v>
      </c>
      <c r="F33" s="133">
        <f t="shared" si="8"/>
        <v>0.01611340459</v>
      </c>
    </row>
    <row r="34" ht="13.5" customHeight="1">
      <c r="A34" s="132">
        <v>5.0</v>
      </c>
      <c r="B34" s="131">
        <v>2.1484</v>
      </c>
      <c r="C34" s="131">
        <f t="shared" si="5"/>
        <v>4.2968</v>
      </c>
      <c r="D34" s="131">
        <f t="shared" si="6"/>
        <v>4.779097128</v>
      </c>
      <c r="E34" s="131">
        <f t="shared" si="7"/>
        <v>-0.2209028722</v>
      </c>
      <c r="F34" s="133">
        <f t="shared" si="8"/>
        <v>0.04879807893</v>
      </c>
    </row>
    <row r="35" ht="13.5" customHeight="1">
      <c r="A35" s="132">
        <v>6.0</v>
      </c>
      <c r="B35" s="131">
        <v>2.5707</v>
      </c>
      <c r="C35" s="131">
        <f t="shared" si="5"/>
        <v>5.1414</v>
      </c>
      <c r="D35" s="131">
        <f t="shared" si="6"/>
        <v>5.870360114</v>
      </c>
      <c r="E35" s="131">
        <f t="shared" si="7"/>
        <v>-0.1296398864</v>
      </c>
      <c r="F35" s="133">
        <f t="shared" si="8"/>
        <v>0.01680650015</v>
      </c>
    </row>
    <row r="36" ht="13.5" customHeight="1">
      <c r="A36" s="132">
        <v>7.0</v>
      </c>
      <c r="B36" s="131">
        <v>2.9433</v>
      </c>
      <c r="C36" s="131">
        <f t="shared" si="5"/>
        <v>5.8866</v>
      </c>
      <c r="D36" s="131">
        <f t="shared" si="6"/>
        <v>7.082771906</v>
      </c>
      <c r="E36" s="131">
        <f t="shared" si="7"/>
        <v>0.08277190551</v>
      </c>
      <c r="F36" s="133">
        <f t="shared" si="8"/>
        <v>0.006851188341</v>
      </c>
    </row>
    <row r="37" ht="13.5" customHeight="1">
      <c r="A37" s="132">
        <v>8.0</v>
      </c>
      <c r="B37" s="131">
        <v>3.2154</v>
      </c>
      <c r="C37" s="131">
        <f t="shared" si="5"/>
        <v>6.4308</v>
      </c>
      <c r="D37" s="131">
        <f t="shared" si="6"/>
        <v>8.162452605</v>
      </c>
      <c r="E37" s="131">
        <f t="shared" si="7"/>
        <v>0.162452605</v>
      </c>
      <c r="F37" s="133">
        <f t="shared" si="8"/>
        <v>0.02639084888</v>
      </c>
    </row>
    <row r="38" ht="13.5" customHeight="1">
      <c r="A38" s="132">
        <v>9.0</v>
      </c>
      <c r="B38" s="131">
        <v>3.4326</v>
      </c>
      <c r="C38" s="131">
        <f t="shared" si="5"/>
        <v>6.8652</v>
      </c>
      <c r="D38" s="131">
        <f t="shared" si="6"/>
        <v>9.164737233</v>
      </c>
      <c r="E38" s="131">
        <f t="shared" si="7"/>
        <v>0.1647372331</v>
      </c>
      <c r="F38" s="133">
        <f t="shared" si="8"/>
        <v>0.02713835598</v>
      </c>
    </row>
    <row r="39" ht="13.5" customHeight="1">
      <c r="A39" s="132">
        <v>10.0</v>
      </c>
      <c r="B39" s="131">
        <v>3.614</v>
      </c>
      <c r="C39" s="131">
        <f t="shared" si="5"/>
        <v>7.228</v>
      </c>
      <c r="D39" s="131">
        <f t="shared" si="6"/>
        <v>10.10941246</v>
      </c>
      <c r="E39" s="131">
        <f t="shared" si="7"/>
        <v>0.1094124615</v>
      </c>
      <c r="F39" s="133">
        <f t="shared" si="8"/>
        <v>0.01197108674</v>
      </c>
    </row>
    <row r="40" ht="13.5" customHeight="1">
      <c r="A40" s="132">
        <v>11.0</v>
      </c>
      <c r="B40" s="131">
        <v>3.7663</v>
      </c>
      <c r="C40" s="131">
        <f t="shared" si="5"/>
        <v>7.5326</v>
      </c>
      <c r="D40" s="131">
        <f t="shared" si="6"/>
        <v>10.9851189</v>
      </c>
      <c r="E40" s="131">
        <f t="shared" si="7"/>
        <v>-0.01488109783</v>
      </c>
      <c r="F40" s="133">
        <f t="shared" si="8"/>
        <v>0.0002214470726</v>
      </c>
    </row>
    <row r="41" ht="13.5" customHeight="1">
      <c r="A41" s="132">
        <v>12.0</v>
      </c>
      <c r="B41" s="131">
        <v>3.8918</v>
      </c>
      <c r="C41" s="131">
        <f t="shared" si="5"/>
        <v>7.7836</v>
      </c>
      <c r="D41" s="131">
        <f t="shared" si="6"/>
        <v>11.7673489</v>
      </c>
      <c r="E41" s="131">
        <f t="shared" si="7"/>
        <v>-0.2326510996</v>
      </c>
      <c r="F41" s="133">
        <f t="shared" si="8"/>
        <v>0.05412653416</v>
      </c>
    </row>
    <row r="42" ht="13.5" customHeight="1">
      <c r="D42" s="131"/>
      <c r="F42" s="131">
        <f>SUM(F29:F41)</f>
        <v>0.2827310341</v>
      </c>
    </row>
    <row r="43" ht="13.5" customHeight="1">
      <c r="D43" s="131"/>
    </row>
    <row r="44" ht="13.5" customHeight="1">
      <c r="A44" s="5" t="s">
        <v>135</v>
      </c>
      <c r="D44" s="131"/>
    </row>
    <row r="45" ht="13.5" customHeight="1">
      <c r="A45" s="5" t="s">
        <v>136</v>
      </c>
      <c r="B45" s="134">
        <v>-0.1541109168476473</v>
      </c>
      <c r="D45" s="131"/>
    </row>
    <row r="46" ht="14.25" customHeight="1">
      <c r="A46" s="5" t="s">
        <v>137</v>
      </c>
      <c r="B46" s="134">
        <v>1.7133534892514095</v>
      </c>
      <c r="D46" s="131"/>
    </row>
    <row r="47" ht="14.25" customHeight="1">
      <c r="A47" s="5" t="s">
        <v>138</v>
      </c>
      <c r="B47" s="134">
        <v>-0.264884970380674</v>
      </c>
      <c r="D47" s="131"/>
      <c r="H47" s="5" t="s">
        <v>141</v>
      </c>
      <c r="J47" s="135">
        <v>648.0</v>
      </c>
    </row>
    <row r="48" ht="13.5" customHeight="1">
      <c r="A48" s="5" t="s">
        <v>139</v>
      </c>
      <c r="B48" s="134">
        <v>0.031031368891356933</v>
      </c>
      <c r="D48" s="131"/>
      <c r="H48" s="5" t="s">
        <v>142</v>
      </c>
      <c r="J48" s="131">
        <f>$B$22+$B$23*J47/100+$B$24*J47^2*0.0001+$B$25*J47^3*0.000001</f>
        <v>5.42612384</v>
      </c>
    </row>
    <row r="49" ht="14.25" customHeight="1">
      <c r="D49" s="131"/>
    </row>
    <row r="50" ht="14.25" customHeight="1">
      <c r="D50" s="131"/>
      <c r="H50" s="5" t="s">
        <v>143</v>
      </c>
      <c r="J50" s="136">
        <v>5.5</v>
      </c>
    </row>
    <row r="51" ht="13.5" customHeight="1">
      <c r="D51" s="131"/>
      <c r="H51" s="5" t="s">
        <v>144</v>
      </c>
      <c r="J51" s="81">
        <f>$B$45*100+$B$46*J50*100+$B$47*J50^2*100+$B$48*J50^3*100</f>
        <v>641.9406919</v>
      </c>
    </row>
    <row r="52" ht="13.5" customHeight="1">
      <c r="D52" s="131"/>
    </row>
    <row r="53" ht="13.5" customHeight="1">
      <c r="D53" s="131"/>
    </row>
    <row r="54" ht="13.5" customHeight="1">
      <c r="D54" s="131"/>
    </row>
    <row r="55" ht="13.5" customHeight="1">
      <c r="D55" s="131"/>
    </row>
    <row r="56" ht="13.5" customHeight="1">
      <c r="D56" s="131"/>
    </row>
    <row r="57" ht="13.5" customHeight="1">
      <c r="D57" s="131"/>
    </row>
    <row r="58" ht="13.5" customHeight="1">
      <c r="D58" s="131"/>
    </row>
    <row r="59" ht="13.5" customHeight="1">
      <c r="D59" s="131"/>
    </row>
    <row r="60" ht="13.5" customHeight="1">
      <c r="D60" s="131"/>
    </row>
    <row r="61" ht="13.5" customHeight="1">
      <c r="D61" s="131"/>
    </row>
    <row r="62" ht="13.5" customHeight="1">
      <c r="D62" s="131"/>
    </row>
    <row r="63" ht="13.5" customHeight="1">
      <c r="D63" s="131"/>
    </row>
    <row r="64" ht="13.5" customHeight="1">
      <c r="D64" s="131"/>
    </row>
    <row r="65" ht="13.5" customHeight="1">
      <c r="D65" s="131"/>
    </row>
    <row r="66" ht="13.5" customHeight="1">
      <c r="D66" s="131"/>
    </row>
    <row r="67" ht="13.5" customHeight="1">
      <c r="D67" s="131"/>
    </row>
    <row r="68" ht="13.5" customHeight="1">
      <c r="D68" s="131"/>
    </row>
    <row r="69" ht="13.5" customHeight="1">
      <c r="D69" s="131"/>
    </row>
    <row r="70" ht="13.5" customHeight="1">
      <c r="D70" s="131"/>
    </row>
    <row r="71" ht="13.5" customHeight="1">
      <c r="D71" s="131"/>
    </row>
    <row r="72" ht="13.5" customHeight="1">
      <c r="D72" s="131"/>
    </row>
    <row r="73" ht="13.5" customHeight="1">
      <c r="D73" s="131"/>
    </row>
    <row r="74" ht="13.5" customHeight="1">
      <c r="D74" s="131"/>
    </row>
    <row r="75" ht="13.5" customHeight="1">
      <c r="D75" s="131"/>
    </row>
    <row r="76" ht="13.5" customHeight="1">
      <c r="D76" s="131"/>
    </row>
    <row r="77" ht="13.5" customHeight="1">
      <c r="D77" s="131"/>
    </row>
    <row r="78" ht="13.5" customHeight="1">
      <c r="D78" s="131"/>
    </row>
    <row r="79" ht="13.5" customHeight="1">
      <c r="D79" s="131"/>
    </row>
    <row r="80" ht="13.5" customHeight="1">
      <c r="D80" s="131"/>
    </row>
    <row r="81" ht="13.5" customHeight="1">
      <c r="D81" s="131"/>
    </row>
    <row r="82" ht="13.5" customHeight="1">
      <c r="D82" s="131"/>
    </row>
    <row r="83" ht="13.5" customHeight="1">
      <c r="D83" s="131"/>
    </row>
    <row r="84" ht="13.5" customHeight="1">
      <c r="D84" s="131"/>
    </row>
    <row r="85" ht="13.5" customHeight="1">
      <c r="D85" s="131"/>
    </row>
    <row r="86" ht="13.5" customHeight="1">
      <c r="D86" s="131"/>
    </row>
    <row r="87" ht="13.5" customHeight="1">
      <c r="D87" s="131"/>
    </row>
    <row r="88" ht="13.5" customHeight="1">
      <c r="D88" s="131"/>
    </row>
    <row r="89" ht="13.5" customHeight="1">
      <c r="D89" s="131"/>
    </row>
    <row r="90" ht="13.5" customHeight="1">
      <c r="D90" s="131"/>
    </row>
    <row r="91" ht="13.5" customHeight="1">
      <c r="D91" s="131"/>
    </row>
    <row r="92" ht="13.5" customHeight="1">
      <c r="D92" s="131"/>
    </row>
    <row r="93" ht="13.5" customHeight="1">
      <c r="D93" s="131"/>
    </row>
    <row r="94" ht="13.5" customHeight="1">
      <c r="D94" s="131"/>
    </row>
    <row r="95" ht="13.5" customHeight="1">
      <c r="D95" s="131"/>
    </row>
    <row r="96" ht="13.5" customHeight="1">
      <c r="D96" s="131"/>
    </row>
    <row r="97" ht="13.5" customHeight="1">
      <c r="D97" s="131"/>
    </row>
    <row r="98" ht="13.5" customHeight="1">
      <c r="D98" s="131"/>
    </row>
    <row r="99" ht="13.5" customHeight="1">
      <c r="D99" s="131"/>
    </row>
    <row r="100" ht="13.5" customHeight="1">
      <c r="D100" s="131"/>
    </row>
    <row r="101" ht="13.5" customHeight="1">
      <c r="D101" s="131"/>
    </row>
    <row r="102" ht="13.5" customHeight="1">
      <c r="D102" s="131"/>
    </row>
    <row r="103" ht="13.5" customHeight="1">
      <c r="D103" s="131"/>
    </row>
    <row r="104" ht="13.5" customHeight="1">
      <c r="D104" s="131"/>
    </row>
    <row r="105" ht="13.5" customHeight="1">
      <c r="D105" s="131"/>
    </row>
    <row r="106" ht="13.5" customHeight="1">
      <c r="D106" s="131"/>
    </row>
    <row r="107" ht="13.5" customHeight="1">
      <c r="D107" s="131"/>
    </row>
    <row r="108" ht="13.5" customHeight="1">
      <c r="D108" s="131"/>
    </row>
    <row r="109" ht="13.5" customHeight="1">
      <c r="D109" s="131"/>
    </row>
    <row r="110" ht="13.5" customHeight="1">
      <c r="D110" s="131"/>
    </row>
    <row r="111" ht="13.5" customHeight="1">
      <c r="D111" s="131"/>
    </row>
    <row r="112" ht="13.5" customHeight="1">
      <c r="D112" s="131"/>
    </row>
    <row r="113" ht="13.5" customHeight="1">
      <c r="D113" s="131"/>
    </row>
    <row r="114" ht="13.5" customHeight="1">
      <c r="D114" s="131"/>
    </row>
    <row r="115" ht="13.5" customHeight="1">
      <c r="D115" s="131"/>
    </row>
    <row r="116" ht="13.5" customHeight="1">
      <c r="D116" s="131"/>
    </row>
    <row r="117" ht="13.5" customHeight="1">
      <c r="D117" s="131"/>
    </row>
    <row r="118" ht="13.5" customHeight="1">
      <c r="D118" s="131"/>
    </row>
    <row r="119" ht="13.5" customHeight="1">
      <c r="D119" s="131"/>
    </row>
    <row r="120" ht="13.5" customHeight="1">
      <c r="D120" s="131"/>
    </row>
    <row r="121" ht="13.5" customHeight="1">
      <c r="D121" s="131"/>
    </row>
    <row r="122" ht="13.5" customHeight="1">
      <c r="D122" s="131"/>
    </row>
    <row r="123" ht="13.5" customHeight="1">
      <c r="D123" s="131"/>
    </row>
    <row r="124" ht="13.5" customHeight="1">
      <c r="D124" s="131"/>
    </row>
    <row r="125" ht="13.5" customHeight="1">
      <c r="D125" s="131"/>
    </row>
    <row r="126" ht="13.5" customHeight="1">
      <c r="D126" s="131"/>
    </row>
    <row r="127" ht="13.5" customHeight="1">
      <c r="D127" s="131"/>
    </row>
    <row r="128" ht="13.5" customHeight="1">
      <c r="D128" s="131"/>
    </row>
    <row r="129" ht="13.5" customHeight="1">
      <c r="D129" s="131"/>
    </row>
    <row r="130" ht="13.5" customHeight="1">
      <c r="D130" s="131"/>
    </row>
    <row r="131" ht="13.5" customHeight="1">
      <c r="D131" s="131"/>
    </row>
    <row r="132" ht="13.5" customHeight="1">
      <c r="D132" s="131"/>
    </row>
    <row r="133" ht="13.5" customHeight="1">
      <c r="D133" s="131"/>
    </row>
    <row r="134" ht="13.5" customHeight="1">
      <c r="D134" s="131"/>
    </row>
    <row r="135" ht="13.5" customHeight="1">
      <c r="D135" s="131"/>
    </row>
    <row r="136" ht="13.5" customHeight="1">
      <c r="D136" s="131"/>
    </row>
    <row r="137" ht="13.5" customHeight="1">
      <c r="D137" s="131"/>
    </row>
    <row r="138" ht="13.5" customHeight="1">
      <c r="D138" s="131"/>
    </row>
    <row r="139" ht="13.5" customHeight="1">
      <c r="D139" s="131"/>
    </row>
    <row r="140" ht="13.5" customHeight="1">
      <c r="D140" s="131"/>
    </row>
    <row r="141" ht="13.5" customHeight="1">
      <c r="D141" s="131"/>
    </row>
    <row r="142" ht="13.5" customHeight="1">
      <c r="D142" s="131"/>
    </row>
    <row r="143" ht="13.5" customHeight="1">
      <c r="D143" s="131"/>
    </row>
    <row r="144" ht="13.5" customHeight="1">
      <c r="D144" s="131"/>
    </row>
    <row r="145" ht="13.5" customHeight="1">
      <c r="D145" s="131"/>
    </row>
    <row r="146" ht="13.5" customHeight="1">
      <c r="D146" s="131"/>
    </row>
    <row r="147" ht="13.5" customHeight="1">
      <c r="D147" s="131"/>
    </row>
    <row r="148" ht="13.5" customHeight="1">
      <c r="D148" s="131"/>
    </row>
    <row r="149" ht="13.5" customHeight="1">
      <c r="D149" s="131"/>
    </row>
    <row r="150" ht="13.5" customHeight="1">
      <c r="D150" s="131"/>
    </row>
    <row r="151" ht="13.5" customHeight="1">
      <c r="D151" s="131"/>
    </row>
    <row r="152" ht="13.5" customHeight="1">
      <c r="D152" s="131"/>
    </row>
    <row r="153" ht="13.5" customHeight="1">
      <c r="D153" s="131"/>
    </row>
    <row r="154" ht="13.5" customHeight="1">
      <c r="D154" s="131"/>
    </row>
    <row r="155" ht="13.5" customHeight="1">
      <c r="D155" s="131"/>
    </row>
    <row r="156" ht="13.5" customHeight="1">
      <c r="D156" s="131"/>
    </row>
    <row r="157" ht="13.5" customHeight="1">
      <c r="D157" s="131"/>
    </row>
    <row r="158" ht="13.5" customHeight="1">
      <c r="D158" s="131"/>
    </row>
    <row r="159" ht="13.5" customHeight="1">
      <c r="D159" s="131"/>
    </row>
    <row r="160" ht="13.5" customHeight="1">
      <c r="D160" s="131"/>
    </row>
    <row r="161" ht="13.5" customHeight="1">
      <c r="D161" s="131"/>
    </row>
    <row r="162" ht="13.5" customHeight="1">
      <c r="D162" s="131"/>
    </row>
    <row r="163" ht="13.5" customHeight="1">
      <c r="D163" s="131"/>
    </row>
    <row r="164" ht="13.5" customHeight="1">
      <c r="D164" s="131"/>
    </row>
    <row r="165" ht="13.5" customHeight="1">
      <c r="D165" s="131"/>
    </row>
    <row r="166" ht="13.5" customHeight="1">
      <c r="D166" s="131"/>
    </row>
    <row r="167" ht="13.5" customHeight="1">
      <c r="D167" s="131"/>
    </row>
    <row r="168" ht="13.5" customHeight="1">
      <c r="D168" s="131"/>
    </row>
    <row r="169" ht="13.5" customHeight="1">
      <c r="D169" s="131"/>
    </row>
    <row r="170" ht="13.5" customHeight="1">
      <c r="D170" s="131"/>
    </row>
    <row r="171" ht="13.5" customHeight="1">
      <c r="D171" s="131"/>
    </row>
    <row r="172" ht="13.5" customHeight="1">
      <c r="D172" s="131"/>
    </row>
    <row r="173" ht="13.5" customHeight="1">
      <c r="D173" s="131"/>
    </row>
    <row r="174" ht="13.5" customHeight="1">
      <c r="D174" s="131"/>
    </row>
    <row r="175" ht="13.5" customHeight="1">
      <c r="D175" s="131"/>
    </row>
    <row r="176" ht="13.5" customHeight="1">
      <c r="D176" s="131"/>
    </row>
    <row r="177" ht="13.5" customHeight="1">
      <c r="D177" s="131"/>
    </row>
    <row r="178" ht="13.5" customHeight="1">
      <c r="D178" s="131"/>
    </row>
    <row r="179" ht="13.5" customHeight="1">
      <c r="D179" s="131"/>
    </row>
    <row r="180" ht="13.5" customHeight="1">
      <c r="D180" s="131"/>
    </row>
    <row r="181" ht="13.5" customHeight="1">
      <c r="D181" s="131"/>
    </row>
    <row r="182" ht="13.5" customHeight="1">
      <c r="D182" s="131"/>
    </row>
    <row r="183" ht="13.5" customHeight="1">
      <c r="D183" s="131"/>
    </row>
    <row r="184" ht="13.5" customHeight="1">
      <c r="D184" s="131"/>
    </row>
    <row r="185" ht="13.5" customHeight="1">
      <c r="D185" s="131"/>
    </row>
    <row r="186" ht="13.5" customHeight="1">
      <c r="D186" s="131"/>
    </row>
    <row r="187" ht="13.5" customHeight="1">
      <c r="D187" s="131"/>
    </row>
    <row r="188" ht="13.5" customHeight="1">
      <c r="D188" s="131"/>
    </row>
    <row r="189" ht="13.5" customHeight="1">
      <c r="D189" s="131"/>
    </row>
    <row r="190" ht="13.5" customHeight="1">
      <c r="D190" s="131"/>
    </row>
    <row r="191" ht="13.5" customHeight="1">
      <c r="D191" s="131"/>
    </row>
    <row r="192" ht="13.5" customHeight="1">
      <c r="D192" s="131"/>
    </row>
    <row r="193" ht="13.5" customHeight="1">
      <c r="D193" s="131"/>
    </row>
    <row r="194" ht="13.5" customHeight="1">
      <c r="D194" s="131"/>
    </row>
    <row r="195" ht="13.5" customHeight="1">
      <c r="D195" s="131"/>
    </row>
    <row r="196" ht="13.5" customHeight="1">
      <c r="D196" s="131"/>
    </row>
    <row r="197" ht="13.5" customHeight="1">
      <c r="D197" s="131"/>
    </row>
    <row r="198" ht="13.5" customHeight="1">
      <c r="D198" s="131"/>
    </row>
    <row r="199" ht="13.5" customHeight="1">
      <c r="D199" s="131"/>
    </row>
    <row r="200" ht="13.5" customHeight="1">
      <c r="D200" s="131"/>
    </row>
    <row r="201" ht="13.5" customHeight="1">
      <c r="D201" s="131"/>
    </row>
    <row r="202" ht="13.5" customHeight="1">
      <c r="D202" s="131"/>
    </row>
    <row r="203" ht="13.5" customHeight="1">
      <c r="D203" s="131"/>
    </row>
    <row r="204" ht="13.5" customHeight="1">
      <c r="D204" s="131"/>
    </row>
    <row r="205" ht="13.5" customHeight="1">
      <c r="D205" s="131"/>
    </row>
    <row r="206" ht="13.5" customHeight="1">
      <c r="D206" s="131"/>
    </row>
    <row r="207" ht="13.5" customHeight="1">
      <c r="D207" s="131"/>
    </row>
    <row r="208" ht="13.5" customHeight="1">
      <c r="D208" s="131"/>
    </row>
    <row r="209" ht="13.5" customHeight="1">
      <c r="D209" s="131"/>
    </row>
    <row r="210" ht="13.5" customHeight="1">
      <c r="D210" s="131"/>
    </row>
    <row r="211" ht="13.5" customHeight="1">
      <c r="D211" s="131"/>
    </row>
    <row r="212" ht="13.5" customHeight="1">
      <c r="D212" s="131"/>
    </row>
    <row r="213" ht="13.5" customHeight="1">
      <c r="D213" s="131"/>
    </row>
    <row r="214" ht="13.5" customHeight="1">
      <c r="D214" s="131"/>
    </row>
    <row r="215" ht="13.5" customHeight="1">
      <c r="D215" s="131"/>
    </row>
    <row r="216" ht="13.5" customHeight="1">
      <c r="D216" s="131"/>
    </row>
    <row r="217" ht="13.5" customHeight="1">
      <c r="D217" s="131"/>
    </row>
    <row r="218" ht="13.5" customHeight="1">
      <c r="D218" s="131"/>
    </row>
    <row r="219" ht="13.5" customHeight="1">
      <c r="D219" s="131"/>
    </row>
    <row r="220" ht="13.5" customHeight="1">
      <c r="D220" s="131"/>
    </row>
    <row r="221" ht="13.5" customHeight="1">
      <c r="D221" s="131"/>
    </row>
    <row r="222" ht="13.5" customHeight="1">
      <c r="D222" s="131"/>
    </row>
    <row r="223" ht="13.5" customHeight="1">
      <c r="D223" s="131"/>
    </row>
    <row r="224" ht="13.5" customHeight="1">
      <c r="D224" s="131"/>
    </row>
    <row r="225" ht="13.5" customHeight="1">
      <c r="D225" s="131"/>
    </row>
    <row r="226" ht="13.5" customHeight="1">
      <c r="D226" s="131"/>
    </row>
    <row r="227" ht="13.5" customHeight="1">
      <c r="D227" s="131"/>
    </row>
    <row r="228" ht="13.5" customHeight="1">
      <c r="D228" s="131"/>
    </row>
    <row r="229" ht="13.5" customHeight="1">
      <c r="D229" s="131"/>
    </row>
    <row r="230" ht="13.5" customHeight="1">
      <c r="D230" s="131"/>
    </row>
    <row r="231" ht="13.5" customHeight="1">
      <c r="D231" s="131"/>
    </row>
    <row r="232" ht="13.5" customHeight="1">
      <c r="D232" s="131"/>
    </row>
    <row r="233" ht="13.5" customHeight="1">
      <c r="D233" s="131"/>
    </row>
    <row r="234" ht="13.5" customHeight="1">
      <c r="D234" s="131"/>
    </row>
    <row r="235" ht="13.5" customHeight="1">
      <c r="D235" s="131"/>
    </row>
    <row r="236" ht="13.5" customHeight="1">
      <c r="D236" s="131"/>
    </row>
    <row r="237" ht="13.5" customHeight="1">
      <c r="D237" s="131"/>
    </row>
    <row r="238" ht="13.5" customHeight="1">
      <c r="D238" s="131"/>
    </row>
    <row r="239" ht="13.5" customHeight="1">
      <c r="D239" s="131"/>
    </row>
    <row r="240" ht="13.5" customHeight="1">
      <c r="D240" s="131"/>
    </row>
    <row r="241" ht="13.5" customHeight="1">
      <c r="D241" s="131"/>
    </row>
    <row r="242" ht="13.5" customHeight="1">
      <c r="D242" s="131"/>
    </row>
    <row r="243" ht="13.5" customHeight="1">
      <c r="D243" s="131"/>
    </row>
    <row r="244" ht="13.5" customHeight="1">
      <c r="D244" s="131"/>
    </row>
    <row r="245" ht="13.5" customHeight="1">
      <c r="D245" s="131"/>
    </row>
    <row r="246" ht="13.5" customHeight="1">
      <c r="D246" s="131"/>
    </row>
    <row r="247" ht="13.5" customHeight="1">
      <c r="D247" s="131"/>
    </row>
    <row r="248" ht="13.5" customHeight="1">
      <c r="D248" s="131"/>
    </row>
    <row r="249" ht="13.5" customHeight="1">
      <c r="D249" s="131"/>
    </row>
    <row r="250" ht="13.5" customHeight="1">
      <c r="D250" s="131"/>
    </row>
    <row r="251" ht="13.5" customHeight="1">
      <c r="D251" s="131"/>
    </row>
    <row r="252" ht="13.5" customHeight="1">
      <c r="D252" s="131"/>
    </row>
    <row r="253" ht="13.5" customHeight="1">
      <c r="D253" s="131"/>
    </row>
    <row r="254" ht="13.5" customHeight="1">
      <c r="D254" s="131"/>
    </row>
    <row r="255" ht="13.5" customHeight="1">
      <c r="D255" s="131"/>
    </row>
    <row r="256" ht="13.5" customHeight="1">
      <c r="D256" s="131"/>
    </row>
    <row r="257" ht="13.5" customHeight="1">
      <c r="D257" s="131"/>
    </row>
    <row r="258" ht="13.5" customHeight="1">
      <c r="D258" s="131"/>
    </row>
    <row r="259" ht="13.5" customHeight="1">
      <c r="D259" s="131"/>
    </row>
    <row r="260" ht="13.5" customHeight="1">
      <c r="D260" s="131"/>
    </row>
    <row r="261" ht="13.5" customHeight="1">
      <c r="D261" s="131"/>
    </row>
    <row r="262" ht="13.5" customHeight="1">
      <c r="D262" s="131"/>
    </row>
    <row r="263" ht="13.5" customHeight="1">
      <c r="D263" s="131"/>
    </row>
    <row r="264" ht="13.5" customHeight="1">
      <c r="D264" s="131"/>
    </row>
    <row r="265" ht="13.5" customHeight="1">
      <c r="D265" s="131"/>
    </row>
    <row r="266" ht="13.5" customHeight="1">
      <c r="D266" s="131"/>
    </row>
    <row r="267" ht="13.5" customHeight="1">
      <c r="D267" s="131"/>
    </row>
    <row r="268" ht="13.5" customHeight="1">
      <c r="D268" s="131"/>
    </row>
    <row r="269" ht="13.5" customHeight="1">
      <c r="D269" s="131"/>
    </row>
    <row r="270" ht="13.5" customHeight="1">
      <c r="D270" s="131"/>
    </row>
    <row r="271" ht="13.5" customHeight="1">
      <c r="D271" s="131"/>
    </row>
    <row r="272" ht="13.5" customHeight="1">
      <c r="D272" s="131"/>
    </row>
    <row r="273" ht="13.5" customHeight="1">
      <c r="D273" s="131"/>
    </row>
    <row r="274" ht="13.5" customHeight="1">
      <c r="D274" s="131"/>
    </row>
    <row r="275" ht="13.5" customHeight="1">
      <c r="D275" s="131"/>
    </row>
    <row r="276" ht="13.5" customHeight="1">
      <c r="D276" s="131"/>
    </row>
    <row r="277" ht="13.5" customHeight="1">
      <c r="D277" s="131"/>
    </row>
    <row r="278" ht="13.5" customHeight="1">
      <c r="D278" s="131"/>
    </row>
    <row r="279" ht="13.5" customHeight="1">
      <c r="D279" s="131"/>
    </row>
    <row r="280" ht="13.5" customHeight="1">
      <c r="D280" s="131"/>
    </row>
    <row r="281" ht="13.5" customHeight="1">
      <c r="D281" s="131"/>
    </row>
    <row r="282" ht="13.5" customHeight="1">
      <c r="D282" s="131"/>
    </row>
    <row r="283" ht="13.5" customHeight="1">
      <c r="D283" s="131"/>
    </row>
    <row r="284" ht="13.5" customHeight="1">
      <c r="D284" s="131"/>
    </row>
    <row r="285" ht="13.5" customHeight="1">
      <c r="D285" s="131"/>
    </row>
    <row r="286" ht="13.5" customHeight="1">
      <c r="D286" s="131"/>
    </row>
    <row r="287" ht="13.5" customHeight="1">
      <c r="D287" s="131"/>
    </row>
    <row r="288" ht="13.5" customHeight="1">
      <c r="D288" s="131"/>
    </row>
    <row r="289" ht="13.5" customHeight="1">
      <c r="D289" s="131"/>
    </row>
    <row r="290" ht="13.5" customHeight="1">
      <c r="D290" s="131"/>
    </row>
    <row r="291" ht="13.5" customHeight="1">
      <c r="D291" s="131"/>
    </row>
    <row r="292" ht="13.5" customHeight="1">
      <c r="D292" s="131"/>
    </row>
    <row r="293" ht="13.5" customHeight="1">
      <c r="D293" s="131"/>
    </row>
    <row r="294" ht="13.5" customHeight="1">
      <c r="D294" s="131"/>
    </row>
    <row r="295" ht="13.5" customHeight="1">
      <c r="D295" s="131"/>
    </row>
    <row r="296" ht="13.5" customHeight="1">
      <c r="D296" s="131"/>
    </row>
    <row r="297" ht="13.5" customHeight="1">
      <c r="D297" s="131"/>
    </row>
    <row r="298" ht="13.5" customHeight="1">
      <c r="D298" s="131"/>
    </row>
    <row r="299" ht="13.5" customHeight="1">
      <c r="D299" s="131"/>
    </row>
    <row r="300" ht="13.5" customHeight="1">
      <c r="D300" s="131"/>
    </row>
    <row r="301" ht="13.5" customHeight="1">
      <c r="D301" s="131"/>
    </row>
    <row r="302" ht="13.5" customHeight="1">
      <c r="D302" s="131"/>
    </row>
    <row r="303" ht="13.5" customHeight="1">
      <c r="D303" s="131"/>
    </row>
    <row r="304" ht="13.5" customHeight="1">
      <c r="D304" s="131"/>
    </row>
    <row r="305" ht="13.5" customHeight="1">
      <c r="D305" s="131"/>
    </row>
    <row r="306" ht="13.5" customHeight="1">
      <c r="D306" s="131"/>
    </row>
    <row r="307" ht="13.5" customHeight="1">
      <c r="D307" s="131"/>
    </row>
    <row r="308" ht="13.5" customHeight="1">
      <c r="D308" s="131"/>
    </row>
    <row r="309" ht="13.5" customHeight="1">
      <c r="D309" s="131"/>
    </row>
    <row r="310" ht="13.5" customHeight="1">
      <c r="D310" s="131"/>
    </row>
    <row r="311" ht="13.5" customHeight="1">
      <c r="D311" s="131"/>
    </row>
    <row r="312" ht="13.5" customHeight="1">
      <c r="D312" s="131"/>
    </row>
    <row r="313" ht="13.5" customHeight="1">
      <c r="D313" s="131"/>
    </row>
    <row r="314" ht="13.5" customHeight="1">
      <c r="D314" s="131"/>
    </row>
    <row r="315" ht="13.5" customHeight="1">
      <c r="D315" s="131"/>
    </row>
    <row r="316" ht="13.5" customHeight="1">
      <c r="D316" s="131"/>
    </row>
    <row r="317" ht="13.5" customHeight="1">
      <c r="D317" s="131"/>
    </row>
    <row r="318" ht="13.5" customHeight="1">
      <c r="D318" s="131"/>
    </row>
    <row r="319" ht="13.5" customHeight="1">
      <c r="D319" s="131"/>
    </row>
    <row r="320" ht="13.5" customHeight="1">
      <c r="D320" s="131"/>
    </row>
    <row r="321" ht="13.5" customHeight="1">
      <c r="D321" s="131"/>
    </row>
    <row r="322" ht="13.5" customHeight="1">
      <c r="D322" s="131"/>
    </row>
    <row r="323" ht="13.5" customHeight="1">
      <c r="D323" s="131"/>
    </row>
    <row r="324" ht="13.5" customHeight="1">
      <c r="D324" s="131"/>
    </row>
    <row r="325" ht="13.5" customHeight="1">
      <c r="D325" s="131"/>
    </row>
    <row r="326" ht="13.5" customHeight="1">
      <c r="D326" s="131"/>
    </row>
    <row r="327" ht="13.5" customHeight="1">
      <c r="D327" s="131"/>
    </row>
    <row r="328" ht="13.5" customHeight="1">
      <c r="D328" s="131"/>
    </row>
    <row r="329" ht="13.5" customHeight="1">
      <c r="D329" s="131"/>
    </row>
    <row r="330" ht="13.5" customHeight="1">
      <c r="D330" s="131"/>
    </row>
    <row r="331" ht="13.5" customHeight="1">
      <c r="D331" s="131"/>
    </row>
    <row r="332" ht="13.5" customHeight="1">
      <c r="D332" s="131"/>
    </row>
    <row r="333" ht="13.5" customHeight="1">
      <c r="D333" s="131"/>
    </row>
    <row r="334" ht="13.5" customHeight="1">
      <c r="D334" s="131"/>
    </row>
    <row r="335" ht="13.5" customHeight="1">
      <c r="D335" s="131"/>
    </row>
    <row r="336" ht="13.5" customHeight="1">
      <c r="D336" s="131"/>
    </row>
    <row r="337" ht="13.5" customHeight="1">
      <c r="D337" s="131"/>
    </row>
    <row r="338" ht="13.5" customHeight="1">
      <c r="D338" s="131"/>
    </row>
    <row r="339" ht="13.5" customHeight="1">
      <c r="D339" s="131"/>
    </row>
    <row r="340" ht="13.5" customHeight="1">
      <c r="D340" s="131"/>
    </row>
    <row r="341" ht="13.5" customHeight="1">
      <c r="D341" s="131"/>
    </row>
    <row r="342" ht="13.5" customHeight="1">
      <c r="D342" s="131"/>
    </row>
    <row r="343" ht="13.5" customHeight="1">
      <c r="D343" s="131"/>
    </row>
    <row r="344" ht="13.5" customHeight="1">
      <c r="D344" s="131"/>
    </row>
    <row r="345" ht="13.5" customHeight="1">
      <c r="D345" s="131"/>
    </row>
    <row r="346" ht="13.5" customHeight="1">
      <c r="D346" s="131"/>
    </row>
    <row r="347" ht="13.5" customHeight="1">
      <c r="D347" s="131"/>
    </row>
    <row r="348" ht="13.5" customHeight="1">
      <c r="D348" s="131"/>
    </row>
    <row r="349" ht="13.5" customHeight="1">
      <c r="D349" s="131"/>
    </row>
    <row r="350" ht="13.5" customHeight="1">
      <c r="D350" s="131"/>
    </row>
    <row r="351" ht="13.5" customHeight="1">
      <c r="D351" s="131"/>
    </row>
    <row r="352" ht="13.5" customHeight="1">
      <c r="D352" s="131"/>
    </row>
    <row r="353" ht="13.5" customHeight="1">
      <c r="D353" s="131"/>
    </row>
    <row r="354" ht="13.5" customHeight="1">
      <c r="D354" s="131"/>
    </row>
    <row r="355" ht="13.5" customHeight="1">
      <c r="D355" s="131"/>
    </row>
    <row r="356" ht="13.5" customHeight="1">
      <c r="D356" s="131"/>
    </row>
    <row r="357" ht="13.5" customHeight="1">
      <c r="D357" s="131"/>
    </row>
    <row r="358" ht="13.5" customHeight="1">
      <c r="D358" s="131"/>
    </row>
    <row r="359" ht="13.5" customHeight="1">
      <c r="D359" s="131"/>
    </row>
    <row r="360" ht="13.5" customHeight="1">
      <c r="D360" s="131"/>
    </row>
    <row r="361" ht="13.5" customHeight="1">
      <c r="D361" s="131"/>
    </row>
    <row r="362" ht="13.5" customHeight="1">
      <c r="D362" s="131"/>
    </row>
    <row r="363" ht="13.5" customHeight="1">
      <c r="D363" s="131"/>
    </row>
    <row r="364" ht="13.5" customHeight="1">
      <c r="D364" s="131"/>
    </row>
    <row r="365" ht="13.5" customHeight="1">
      <c r="D365" s="131"/>
    </row>
    <row r="366" ht="13.5" customHeight="1">
      <c r="D366" s="131"/>
    </row>
    <row r="367" ht="13.5" customHeight="1">
      <c r="D367" s="131"/>
    </row>
    <row r="368" ht="13.5" customHeight="1">
      <c r="D368" s="131"/>
    </row>
    <row r="369" ht="13.5" customHeight="1">
      <c r="D369" s="131"/>
    </row>
    <row r="370" ht="13.5" customHeight="1">
      <c r="D370" s="131"/>
    </row>
    <row r="371" ht="13.5" customHeight="1">
      <c r="D371" s="131"/>
    </row>
    <row r="372" ht="13.5" customHeight="1">
      <c r="D372" s="131"/>
    </row>
    <row r="373" ht="13.5" customHeight="1">
      <c r="D373" s="131"/>
    </row>
    <row r="374" ht="13.5" customHeight="1">
      <c r="D374" s="131"/>
    </row>
    <row r="375" ht="13.5" customHeight="1">
      <c r="D375" s="131"/>
    </row>
    <row r="376" ht="13.5" customHeight="1">
      <c r="D376" s="131"/>
    </row>
    <row r="377" ht="13.5" customHeight="1">
      <c r="D377" s="131"/>
    </row>
    <row r="378" ht="13.5" customHeight="1">
      <c r="D378" s="131"/>
    </row>
    <row r="379" ht="13.5" customHeight="1">
      <c r="D379" s="131"/>
    </row>
    <row r="380" ht="13.5" customHeight="1">
      <c r="D380" s="131"/>
    </row>
    <row r="381" ht="13.5" customHeight="1">
      <c r="D381" s="131"/>
    </row>
    <row r="382" ht="13.5" customHeight="1">
      <c r="D382" s="131"/>
    </row>
    <row r="383" ht="13.5" customHeight="1">
      <c r="D383" s="131"/>
    </row>
    <row r="384" ht="13.5" customHeight="1">
      <c r="D384" s="131"/>
    </row>
    <row r="385" ht="13.5" customHeight="1">
      <c r="D385" s="131"/>
    </row>
    <row r="386" ht="13.5" customHeight="1">
      <c r="D386" s="131"/>
    </row>
    <row r="387" ht="13.5" customHeight="1">
      <c r="D387" s="131"/>
    </row>
    <row r="388" ht="13.5" customHeight="1">
      <c r="D388" s="131"/>
    </row>
    <row r="389" ht="13.5" customHeight="1">
      <c r="D389" s="131"/>
    </row>
    <row r="390" ht="13.5" customHeight="1">
      <c r="D390" s="131"/>
    </row>
    <row r="391" ht="13.5" customHeight="1">
      <c r="D391" s="131"/>
    </row>
    <row r="392" ht="13.5" customHeight="1">
      <c r="D392" s="131"/>
    </row>
    <row r="393" ht="13.5" customHeight="1">
      <c r="D393" s="131"/>
    </row>
    <row r="394" ht="13.5" customHeight="1">
      <c r="D394" s="131"/>
    </row>
    <row r="395" ht="13.5" customHeight="1">
      <c r="D395" s="131"/>
    </row>
    <row r="396" ht="13.5" customHeight="1">
      <c r="D396" s="131"/>
    </row>
    <row r="397" ht="13.5" customHeight="1">
      <c r="D397" s="131"/>
    </row>
    <row r="398" ht="13.5" customHeight="1">
      <c r="D398" s="131"/>
    </row>
    <row r="399" ht="13.5" customHeight="1">
      <c r="D399" s="131"/>
    </row>
    <row r="400" ht="13.5" customHeight="1">
      <c r="D400" s="131"/>
    </row>
    <row r="401" ht="13.5" customHeight="1">
      <c r="D401" s="131"/>
    </row>
    <row r="402" ht="13.5" customHeight="1">
      <c r="D402" s="131"/>
    </row>
    <row r="403" ht="13.5" customHeight="1">
      <c r="D403" s="131"/>
    </row>
    <row r="404" ht="13.5" customHeight="1">
      <c r="D404" s="131"/>
    </row>
    <row r="405" ht="13.5" customHeight="1">
      <c r="D405" s="131"/>
    </row>
    <row r="406" ht="13.5" customHeight="1">
      <c r="D406" s="131"/>
    </row>
    <row r="407" ht="13.5" customHeight="1">
      <c r="D407" s="131"/>
    </row>
    <row r="408" ht="13.5" customHeight="1">
      <c r="D408" s="131"/>
    </row>
    <row r="409" ht="13.5" customHeight="1">
      <c r="D409" s="131"/>
    </row>
    <row r="410" ht="13.5" customHeight="1">
      <c r="D410" s="131"/>
    </row>
    <row r="411" ht="13.5" customHeight="1">
      <c r="D411" s="131"/>
    </row>
    <row r="412" ht="13.5" customHeight="1">
      <c r="D412" s="131"/>
    </row>
    <row r="413" ht="13.5" customHeight="1">
      <c r="D413" s="131"/>
    </row>
    <row r="414" ht="13.5" customHeight="1">
      <c r="D414" s="131"/>
    </row>
    <row r="415" ht="13.5" customHeight="1">
      <c r="D415" s="131"/>
    </row>
    <row r="416" ht="13.5" customHeight="1">
      <c r="D416" s="131"/>
    </row>
    <row r="417" ht="13.5" customHeight="1">
      <c r="D417" s="131"/>
    </row>
    <row r="418" ht="13.5" customHeight="1">
      <c r="D418" s="131"/>
    </row>
    <row r="419" ht="13.5" customHeight="1">
      <c r="D419" s="131"/>
    </row>
    <row r="420" ht="13.5" customHeight="1">
      <c r="D420" s="131"/>
    </row>
    <row r="421" ht="13.5" customHeight="1">
      <c r="D421" s="131"/>
    </row>
    <row r="422" ht="13.5" customHeight="1">
      <c r="D422" s="131"/>
    </row>
    <row r="423" ht="13.5" customHeight="1">
      <c r="D423" s="131"/>
    </row>
    <row r="424" ht="13.5" customHeight="1">
      <c r="D424" s="131"/>
    </row>
    <row r="425" ht="13.5" customHeight="1">
      <c r="D425" s="131"/>
    </row>
    <row r="426" ht="13.5" customHeight="1">
      <c r="D426" s="131"/>
    </row>
    <row r="427" ht="13.5" customHeight="1">
      <c r="D427" s="131"/>
    </row>
    <row r="428" ht="13.5" customHeight="1">
      <c r="D428" s="131"/>
    </row>
    <row r="429" ht="13.5" customHeight="1">
      <c r="D429" s="131"/>
    </row>
    <row r="430" ht="13.5" customHeight="1">
      <c r="D430" s="131"/>
    </row>
    <row r="431" ht="13.5" customHeight="1">
      <c r="D431" s="131"/>
    </row>
    <row r="432" ht="13.5" customHeight="1">
      <c r="D432" s="131"/>
    </row>
    <row r="433" ht="13.5" customHeight="1">
      <c r="D433" s="131"/>
    </row>
    <row r="434" ht="13.5" customHeight="1">
      <c r="D434" s="131"/>
    </row>
    <row r="435" ht="13.5" customHeight="1">
      <c r="D435" s="131"/>
    </row>
    <row r="436" ht="13.5" customHeight="1">
      <c r="D436" s="131"/>
    </row>
    <row r="437" ht="13.5" customHeight="1">
      <c r="D437" s="131"/>
    </row>
    <row r="438" ht="13.5" customHeight="1">
      <c r="D438" s="131"/>
    </row>
    <row r="439" ht="13.5" customHeight="1">
      <c r="D439" s="131"/>
    </row>
    <row r="440" ht="13.5" customHeight="1">
      <c r="D440" s="131"/>
    </row>
    <row r="441" ht="13.5" customHeight="1">
      <c r="D441" s="131"/>
    </row>
    <row r="442" ht="13.5" customHeight="1">
      <c r="D442" s="131"/>
    </row>
    <row r="443" ht="13.5" customHeight="1">
      <c r="D443" s="131"/>
    </row>
    <row r="444" ht="13.5" customHeight="1">
      <c r="D444" s="131"/>
    </row>
    <row r="445" ht="13.5" customHeight="1">
      <c r="D445" s="131"/>
    </row>
    <row r="446" ht="13.5" customHeight="1">
      <c r="D446" s="131"/>
    </row>
    <row r="447" ht="13.5" customHeight="1">
      <c r="D447" s="131"/>
    </row>
    <row r="448" ht="13.5" customHeight="1">
      <c r="D448" s="131"/>
    </row>
    <row r="449" ht="13.5" customHeight="1">
      <c r="D449" s="131"/>
    </row>
    <row r="450" ht="13.5" customHeight="1">
      <c r="D450" s="131"/>
    </row>
    <row r="451" ht="13.5" customHeight="1">
      <c r="D451" s="131"/>
    </row>
    <row r="452" ht="13.5" customHeight="1">
      <c r="D452" s="131"/>
    </row>
    <row r="453" ht="13.5" customHeight="1">
      <c r="D453" s="131"/>
    </row>
    <row r="454" ht="13.5" customHeight="1">
      <c r="D454" s="131"/>
    </row>
    <row r="455" ht="13.5" customHeight="1">
      <c r="D455" s="131"/>
    </row>
    <row r="456" ht="13.5" customHeight="1">
      <c r="D456" s="131"/>
    </row>
    <row r="457" ht="13.5" customHeight="1">
      <c r="D457" s="131"/>
    </row>
    <row r="458" ht="13.5" customHeight="1">
      <c r="D458" s="131"/>
    </row>
    <row r="459" ht="13.5" customHeight="1">
      <c r="D459" s="131"/>
    </row>
    <row r="460" ht="13.5" customHeight="1">
      <c r="D460" s="131"/>
    </row>
    <row r="461" ht="13.5" customHeight="1">
      <c r="D461" s="131"/>
    </row>
    <row r="462" ht="13.5" customHeight="1">
      <c r="D462" s="131"/>
    </row>
    <row r="463" ht="13.5" customHeight="1">
      <c r="D463" s="131"/>
    </row>
    <row r="464" ht="13.5" customHeight="1">
      <c r="D464" s="131"/>
    </row>
    <row r="465" ht="13.5" customHeight="1">
      <c r="D465" s="131"/>
    </row>
    <row r="466" ht="13.5" customHeight="1">
      <c r="D466" s="131"/>
    </row>
    <row r="467" ht="13.5" customHeight="1">
      <c r="D467" s="131"/>
    </row>
    <row r="468" ht="13.5" customHeight="1">
      <c r="D468" s="131"/>
    </row>
    <row r="469" ht="13.5" customHeight="1">
      <c r="D469" s="131"/>
    </row>
    <row r="470" ht="13.5" customHeight="1">
      <c r="D470" s="131"/>
    </row>
    <row r="471" ht="13.5" customHeight="1">
      <c r="D471" s="131"/>
    </row>
    <row r="472" ht="13.5" customHeight="1">
      <c r="D472" s="131"/>
    </row>
    <row r="473" ht="13.5" customHeight="1">
      <c r="D473" s="131"/>
    </row>
    <row r="474" ht="13.5" customHeight="1">
      <c r="D474" s="131"/>
    </row>
    <row r="475" ht="13.5" customHeight="1">
      <c r="D475" s="131"/>
    </row>
    <row r="476" ht="13.5" customHeight="1">
      <c r="D476" s="131"/>
    </row>
    <row r="477" ht="13.5" customHeight="1">
      <c r="D477" s="131"/>
    </row>
    <row r="478" ht="13.5" customHeight="1">
      <c r="D478" s="131"/>
    </row>
    <row r="479" ht="13.5" customHeight="1">
      <c r="D479" s="131"/>
    </row>
    <row r="480" ht="13.5" customHeight="1">
      <c r="D480" s="131"/>
    </row>
    <row r="481" ht="13.5" customHeight="1">
      <c r="D481" s="131"/>
    </row>
    <row r="482" ht="13.5" customHeight="1">
      <c r="D482" s="131"/>
    </row>
    <row r="483" ht="13.5" customHeight="1">
      <c r="D483" s="131"/>
    </row>
    <row r="484" ht="13.5" customHeight="1">
      <c r="D484" s="131"/>
    </row>
    <row r="485" ht="13.5" customHeight="1">
      <c r="D485" s="131"/>
    </row>
    <row r="486" ht="13.5" customHeight="1">
      <c r="D486" s="131"/>
    </row>
    <row r="487" ht="13.5" customHeight="1">
      <c r="D487" s="131"/>
    </row>
    <row r="488" ht="13.5" customHeight="1">
      <c r="D488" s="131"/>
    </row>
    <row r="489" ht="13.5" customHeight="1">
      <c r="D489" s="131"/>
    </row>
    <row r="490" ht="13.5" customHeight="1">
      <c r="D490" s="131"/>
    </row>
    <row r="491" ht="13.5" customHeight="1">
      <c r="D491" s="131"/>
    </row>
    <row r="492" ht="13.5" customHeight="1">
      <c r="D492" s="131"/>
    </row>
    <row r="493" ht="13.5" customHeight="1">
      <c r="D493" s="131"/>
    </row>
    <row r="494" ht="13.5" customHeight="1">
      <c r="D494" s="131"/>
    </row>
    <row r="495" ht="13.5" customHeight="1">
      <c r="D495" s="131"/>
    </row>
    <row r="496" ht="13.5" customHeight="1">
      <c r="D496" s="131"/>
    </row>
    <row r="497" ht="13.5" customHeight="1">
      <c r="D497" s="131"/>
    </row>
    <row r="498" ht="13.5" customHeight="1">
      <c r="D498" s="131"/>
    </row>
    <row r="499" ht="13.5" customHeight="1">
      <c r="D499" s="131"/>
    </row>
    <row r="500" ht="13.5" customHeight="1">
      <c r="D500" s="131"/>
    </row>
    <row r="501" ht="13.5" customHeight="1">
      <c r="D501" s="131"/>
    </row>
    <row r="502" ht="13.5" customHeight="1">
      <c r="D502" s="131"/>
    </row>
    <row r="503" ht="13.5" customHeight="1">
      <c r="D503" s="131"/>
    </row>
    <row r="504" ht="13.5" customHeight="1">
      <c r="D504" s="131"/>
    </row>
    <row r="505" ht="13.5" customHeight="1">
      <c r="D505" s="131"/>
    </row>
    <row r="506" ht="13.5" customHeight="1">
      <c r="D506" s="131"/>
    </row>
    <row r="507" ht="13.5" customHeight="1">
      <c r="D507" s="131"/>
    </row>
    <row r="508" ht="13.5" customHeight="1">
      <c r="D508" s="131"/>
    </row>
    <row r="509" ht="13.5" customHeight="1">
      <c r="D509" s="131"/>
    </row>
    <row r="510" ht="13.5" customHeight="1">
      <c r="D510" s="131"/>
    </row>
    <row r="511" ht="13.5" customHeight="1">
      <c r="D511" s="131"/>
    </row>
    <row r="512" ht="13.5" customHeight="1">
      <c r="D512" s="131"/>
    </row>
    <row r="513" ht="13.5" customHeight="1">
      <c r="D513" s="131"/>
    </row>
    <row r="514" ht="13.5" customHeight="1">
      <c r="D514" s="131"/>
    </row>
    <row r="515" ht="13.5" customHeight="1">
      <c r="D515" s="131"/>
    </row>
    <row r="516" ht="13.5" customHeight="1">
      <c r="D516" s="131"/>
    </row>
    <row r="517" ht="13.5" customHeight="1">
      <c r="D517" s="131"/>
    </row>
    <row r="518" ht="13.5" customHeight="1">
      <c r="D518" s="131"/>
    </row>
    <row r="519" ht="13.5" customHeight="1">
      <c r="D519" s="131"/>
    </row>
    <row r="520" ht="13.5" customHeight="1">
      <c r="D520" s="131"/>
    </row>
    <row r="521" ht="13.5" customHeight="1">
      <c r="D521" s="131"/>
    </row>
    <row r="522" ht="13.5" customHeight="1">
      <c r="D522" s="131"/>
    </row>
    <row r="523" ht="13.5" customHeight="1">
      <c r="D523" s="131"/>
    </row>
    <row r="524" ht="13.5" customHeight="1">
      <c r="D524" s="131"/>
    </row>
    <row r="525" ht="13.5" customHeight="1">
      <c r="D525" s="131"/>
    </row>
    <row r="526" ht="13.5" customHeight="1">
      <c r="D526" s="131"/>
    </row>
    <row r="527" ht="13.5" customHeight="1">
      <c r="D527" s="131"/>
    </row>
    <row r="528" ht="13.5" customHeight="1">
      <c r="D528" s="131"/>
    </row>
    <row r="529" ht="13.5" customHeight="1">
      <c r="D529" s="131"/>
    </row>
    <row r="530" ht="13.5" customHeight="1">
      <c r="D530" s="131"/>
    </row>
    <row r="531" ht="13.5" customHeight="1">
      <c r="D531" s="131"/>
    </row>
    <row r="532" ht="13.5" customHeight="1">
      <c r="D532" s="131"/>
    </row>
    <row r="533" ht="13.5" customHeight="1">
      <c r="D533" s="131"/>
    </row>
    <row r="534" ht="13.5" customHeight="1">
      <c r="D534" s="131"/>
    </row>
    <row r="535" ht="13.5" customHeight="1">
      <c r="D535" s="131"/>
    </row>
    <row r="536" ht="13.5" customHeight="1">
      <c r="D536" s="131"/>
    </row>
    <row r="537" ht="13.5" customHeight="1">
      <c r="D537" s="131"/>
    </row>
    <row r="538" ht="13.5" customHeight="1">
      <c r="D538" s="131"/>
    </row>
    <row r="539" ht="13.5" customHeight="1">
      <c r="D539" s="131"/>
    </row>
    <row r="540" ht="13.5" customHeight="1">
      <c r="D540" s="131"/>
    </row>
    <row r="541" ht="13.5" customHeight="1">
      <c r="D541" s="131"/>
    </row>
    <row r="542" ht="13.5" customHeight="1">
      <c r="D542" s="131"/>
    </row>
    <row r="543" ht="13.5" customHeight="1">
      <c r="D543" s="131"/>
    </row>
    <row r="544" ht="13.5" customHeight="1">
      <c r="D544" s="131"/>
    </row>
    <row r="545" ht="13.5" customHeight="1">
      <c r="D545" s="131"/>
    </row>
    <row r="546" ht="13.5" customHeight="1">
      <c r="D546" s="131"/>
    </row>
    <row r="547" ht="13.5" customHeight="1">
      <c r="D547" s="131"/>
    </row>
    <row r="548" ht="13.5" customHeight="1">
      <c r="D548" s="131"/>
    </row>
    <row r="549" ht="13.5" customHeight="1">
      <c r="D549" s="131"/>
    </row>
    <row r="550" ht="13.5" customHeight="1">
      <c r="D550" s="131"/>
    </row>
    <row r="551" ht="13.5" customHeight="1">
      <c r="D551" s="131"/>
    </row>
    <row r="552" ht="13.5" customHeight="1">
      <c r="D552" s="131"/>
    </row>
    <row r="553" ht="13.5" customHeight="1">
      <c r="D553" s="131"/>
    </row>
    <row r="554" ht="13.5" customHeight="1">
      <c r="D554" s="131"/>
    </row>
    <row r="555" ht="13.5" customHeight="1">
      <c r="D555" s="131"/>
    </row>
    <row r="556" ht="13.5" customHeight="1">
      <c r="D556" s="131"/>
    </row>
    <row r="557" ht="13.5" customHeight="1">
      <c r="D557" s="131"/>
    </row>
    <row r="558" ht="13.5" customHeight="1">
      <c r="D558" s="131"/>
    </row>
    <row r="559" ht="13.5" customHeight="1">
      <c r="D559" s="131"/>
    </row>
    <row r="560" ht="13.5" customHeight="1">
      <c r="D560" s="131"/>
    </row>
    <row r="561" ht="13.5" customHeight="1">
      <c r="D561" s="131"/>
    </row>
    <row r="562" ht="13.5" customHeight="1">
      <c r="D562" s="131"/>
    </row>
    <row r="563" ht="13.5" customHeight="1">
      <c r="D563" s="131"/>
    </row>
    <row r="564" ht="13.5" customHeight="1">
      <c r="D564" s="131"/>
    </row>
    <row r="565" ht="13.5" customHeight="1">
      <c r="D565" s="131"/>
    </row>
    <row r="566" ht="13.5" customHeight="1">
      <c r="D566" s="131"/>
    </row>
    <row r="567" ht="13.5" customHeight="1">
      <c r="D567" s="131"/>
    </row>
    <row r="568" ht="13.5" customHeight="1">
      <c r="D568" s="131"/>
    </row>
    <row r="569" ht="13.5" customHeight="1">
      <c r="D569" s="131"/>
    </row>
    <row r="570" ht="13.5" customHeight="1">
      <c r="D570" s="131"/>
    </row>
    <row r="571" ht="13.5" customHeight="1">
      <c r="D571" s="131"/>
    </row>
    <row r="572" ht="13.5" customHeight="1">
      <c r="D572" s="131"/>
    </row>
    <row r="573" ht="13.5" customHeight="1">
      <c r="D573" s="131"/>
    </row>
    <row r="574" ht="13.5" customHeight="1">
      <c r="D574" s="131"/>
    </row>
    <row r="575" ht="13.5" customHeight="1">
      <c r="D575" s="131"/>
    </row>
    <row r="576" ht="13.5" customHeight="1">
      <c r="D576" s="131"/>
    </row>
    <row r="577" ht="13.5" customHeight="1">
      <c r="D577" s="131"/>
    </row>
    <row r="578" ht="13.5" customHeight="1">
      <c r="D578" s="131"/>
    </row>
    <row r="579" ht="13.5" customHeight="1">
      <c r="D579" s="131"/>
    </row>
    <row r="580" ht="13.5" customHeight="1">
      <c r="D580" s="131"/>
    </row>
    <row r="581" ht="13.5" customHeight="1">
      <c r="D581" s="131"/>
    </row>
    <row r="582" ht="13.5" customHeight="1">
      <c r="D582" s="131"/>
    </row>
    <row r="583" ht="13.5" customHeight="1">
      <c r="D583" s="131"/>
    </row>
    <row r="584" ht="13.5" customHeight="1">
      <c r="D584" s="131"/>
    </row>
    <row r="585" ht="13.5" customHeight="1">
      <c r="D585" s="131"/>
    </row>
    <row r="586" ht="13.5" customHeight="1">
      <c r="D586" s="131"/>
    </row>
    <row r="587" ht="13.5" customHeight="1">
      <c r="D587" s="131"/>
    </row>
    <row r="588" ht="13.5" customHeight="1">
      <c r="D588" s="131"/>
    </row>
    <row r="589" ht="13.5" customHeight="1">
      <c r="D589" s="131"/>
    </row>
    <row r="590" ht="13.5" customHeight="1">
      <c r="D590" s="131"/>
    </row>
    <row r="591" ht="13.5" customHeight="1">
      <c r="D591" s="131"/>
    </row>
    <row r="592" ht="13.5" customHeight="1">
      <c r="D592" s="131"/>
    </row>
    <row r="593" ht="13.5" customHeight="1">
      <c r="D593" s="131"/>
    </row>
    <row r="594" ht="13.5" customHeight="1">
      <c r="D594" s="131"/>
    </row>
    <row r="595" ht="13.5" customHeight="1">
      <c r="D595" s="131"/>
    </row>
    <row r="596" ht="13.5" customHeight="1">
      <c r="D596" s="131"/>
    </row>
    <row r="597" ht="13.5" customHeight="1">
      <c r="D597" s="131"/>
    </row>
    <row r="598" ht="13.5" customHeight="1">
      <c r="D598" s="131"/>
    </row>
    <row r="599" ht="13.5" customHeight="1">
      <c r="D599" s="131"/>
    </row>
    <row r="600" ht="13.5" customHeight="1">
      <c r="D600" s="131"/>
    </row>
    <row r="601" ht="13.5" customHeight="1">
      <c r="D601" s="131"/>
    </row>
    <row r="602" ht="13.5" customHeight="1">
      <c r="D602" s="131"/>
    </row>
    <row r="603" ht="13.5" customHeight="1">
      <c r="D603" s="131"/>
    </row>
    <row r="604" ht="13.5" customHeight="1">
      <c r="D604" s="131"/>
    </row>
    <row r="605" ht="13.5" customHeight="1">
      <c r="D605" s="131"/>
    </row>
    <row r="606" ht="13.5" customHeight="1">
      <c r="D606" s="131"/>
    </row>
    <row r="607" ht="13.5" customHeight="1">
      <c r="D607" s="131"/>
    </row>
    <row r="608" ht="13.5" customHeight="1">
      <c r="D608" s="131"/>
    </row>
    <row r="609" ht="13.5" customHeight="1">
      <c r="D609" s="131"/>
    </row>
    <row r="610" ht="13.5" customHeight="1">
      <c r="D610" s="131"/>
    </row>
    <row r="611" ht="13.5" customHeight="1">
      <c r="D611" s="131"/>
    </row>
    <row r="612" ht="13.5" customHeight="1">
      <c r="D612" s="131"/>
    </row>
    <row r="613" ht="13.5" customHeight="1">
      <c r="D613" s="131"/>
    </row>
    <row r="614" ht="13.5" customHeight="1">
      <c r="D614" s="131"/>
    </row>
    <row r="615" ht="13.5" customHeight="1">
      <c r="D615" s="131"/>
    </row>
    <row r="616" ht="13.5" customHeight="1">
      <c r="D616" s="131"/>
    </row>
    <row r="617" ht="13.5" customHeight="1">
      <c r="D617" s="131"/>
    </row>
    <row r="618" ht="13.5" customHeight="1">
      <c r="D618" s="131"/>
    </row>
    <row r="619" ht="13.5" customHeight="1">
      <c r="D619" s="131"/>
    </row>
    <row r="620" ht="13.5" customHeight="1">
      <c r="D620" s="131"/>
    </row>
    <row r="621" ht="13.5" customHeight="1">
      <c r="D621" s="131"/>
    </row>
    <row r="622" ht="13.5" customHeight="1">
      <c r="D622" s="131"/>
    </row>
    <row r="623" ht="13.5" customHeight="1">
      <c r="D623" s="131"/>
    </row>
    <row r="624" ht="13.5" customHeight="1">
      <c r="D624" s="131"/>
    </row>
    <row r="625" ht="13.5" customHeight="1">
      <c r="D625" s="131"/>
    </row>
    <row r="626" ht="13.5" customHeight="1">
      <c r="D626" s="131"/>
    </row>
    <row r="627" ht="13.5" customHeight="1">
      <c r="D627" s="131"/>
    </row>
    <row r="628" ht="13.5" customHeight="1">
      <c r="D628" s="131"/>
    </row>
    <row r="629" ht="13.5" customHeight="1">
      <c r="D629" s="131"/>
    </row>
    <row r="630" ht="13.5" customHeight="1">
      <c r="D630" s="131"/>
    </row>
    <row r="631" ht="13.5" customHeight="1">
      <c r="D631" s="131"/>
    </row>
    <row r="632" ht="13.5" customHeight="1">
      <c r="D632" s="131"/>
    </row>
    <row r="633" ht="13.5" customHeight="1">
      <c r="D633" s="131"/>
    </row>
    <row r="634" ht="13.5" customHeight="1">
      <c r="D634" s="131"/>
    </row>
    <row r="635" ht="13.5" customHeight="1">
      <c r="D635" s="131"/>
    </row>
    <row r="636" ht="13.5" customHeight="1">
      <c r="D636" s="131"/>
    </row>
    <row r="637" ht="13.5" customHeight="1">
      <c r="D637" s="131"/>
    </row>
    <row r="638" ht="13.5" customHeight="1">
      <c r="D638" s="131"/>
    </row>
    <row r="639" ht="13.5" customHeight="1">
      <c r="D639" s="131"/>
    </row>
    <row r="640" ht="13.5" customHeight="1">
      <c r="D640" s="131"/>
    </row>
    <row r="641" ht="13.5" customHeight="1">
      <c r="D641" s="131"/>
    </row>
    <row r="642" ht="13.5" customHeight="1">
      <c r="D642" s="131"/>
    </row>
    <row r="643" ht="13.5" customHeight="1">
      <c r="D643" s="131"/>
    </row>
    <row r="644" ht="13.5" customHeight="1">
      <c r="D644" s="131"/>
    </row>
    <row r="645" ht="13.5" customHeight="1">
      <c r="D645" s="131"/>
    </row>
    <row r="646" ht="13.5" customHeight="1">
      <c r="D646" s="131"/>
    </row>
    <row r="647" ht="13.5" customHeight="1">
      <c r="D647" s="131"/>
    </row>
    <row r="648" ht="13.5" customHeight="1">
      <c r="D648" s="131"/>
    </row>
    <row r="649" ht="13.5" customHeight="1">
      <c r="D649" s="131"/>
    </row>
    <row r="650" ht="13.5" customHeight="1">
      <c r="D650" s="131"/>
    </row>
    <row r="651" ht="13.5" customHeight="1">
      <c r="D651" s="131"/>
    </row>
    <row r="652" ht="13.5" customHeight="1">
      <c r="D652" s="131"/>
    </row>
    <row r="653" ht="13.5" customHeight="1">
      <c r="D653" s="131"/>
    </row>
    <row r="654" ht="13.5" customHeight="1">
      <c r="D654" s="131"/>
    </row>
    <row r="655" ht="13.5" customHeight="1">
      <c r="D655" s="131"/>
    </row>
    <row r="656" ht="13.5" customHeight="1">
      <c r="D656" s="131"/>
    </row>
    <row r="657" ht="13.5" customHeight="1">
      <c r="D657" s="131"/>
    </row>
    <row r="658" ht="13.5" customHeight="1">
      <c r="D658" s="131"/>
    </row>
    <row r="659" ht="13.5" customHeight="1">
      <c r="D659" s="131"/>
    </row>
    <row r="660" ht="13.5" customHeight="1">
      <c r="D660" s="131"/>
    </row>
    <row r="661" ht="13.5" customHeight="1">
      <c r="D661" s="131"/>
    </row>
    <row r="662" ht="13.5" customHeight="1">
      <c r="D662" s="131"/>
    </row>
    <row r="663" ht="13.5" customHeight="1">
      <c r="D663" s="131"/>
    </row>
    <row r="664" ht="13.5" customHeight="1">
      <c r="D664" s="131"/>
    </row>
    <row r="665" ht="13.5" customHeight="1">
      <c r="D665" s="131"/>
    </row>
    <row r="666" ht="13.5" customHeight="1">
      <c r="D666" s="131"/>
    </row>
    <row r="667" ht="13.5" customHeight="1">
      <c r="D667" s="131"/>
    </row>
    <row r="668" ht="13.5" customHeight="1">
      <c r="D668" s="131"/>
    </row>
    <row r="669" ht="13.5" customHeight="1">
      <c r="D669" s="131"/>
    </row>
    <row r="670" ht="13.5" customHeight="1">
      <c r="D670" s="131"/>
    </row>
    <row r="671" ht="13.5" customHeight="1">
      <c r="D671" s="131"/>
    </row>
    <row r="672" ht="13.5" customHeight="1">
      <c r="D672" s="131"/>
    </row>
    <row r="673" ht="13.5" customHeight="1">
      <c r="D673" s="131"/>
    </row>
    <row r="674" ht="13.5" customHeight="1">
      <c r="D674" s="131"/>
    </row>
    <row r="675" ht="13.5" customHeight="1">
      <c r="D675" s="131"/>
    </row>
    <row r="676" ht="13.5" customHeight="1">
      <c r="D676" s="131"/>
    </row>
    <row r="677" ht="13.5" customHeight="1">
      <c r="D677" s="131"/>
    </row>
    <row r="678" ht="13.5" customHeight="1">
      <c r="D678" s="131"/>
    </row>
    <row r="679" ht="13.5" customHeight="1">
      <c r="D679" s="131"/>
    </row>
    <row r="680" ht="13.5" customHeight="1">
      <c r="D680" s="131"/>
    </row>
    <row r="681" ht="13.5" customHeight="1">
      <c r="D681" s="131"/>
    </row>
    <row r="682" ht="13.5" customHeight="1">
      <c r="D682" s="131"/>
    </row>
    <row r="683" ht="13.5" customHeight="1">
      <c r="D683" s="131"/>
    </row>
    <row r="684" ht="13.5" customHeight="1">
      <c r="D684" s="131"/>
    </row>
    <row r="685" ht="13.5" customHeight="1">
      <c r="D685" s="131"/>
    </row>
    <row r="686" ht="13.5" customHeight="1">
      <c r="D686" s="131"/>
    </row>
    <row r="687" ht="13.5" customHeight="1">
      <c r="D687" s="131"/>
    </row>
    <row r="688" ht="13.5" customHeight="1">
      <c r="D688" s="131"/>
    </row>
    <row r="689" ht="13.5" customHeight="1">
      <c r="D689" s="131"/>
    </row>
    <row r="690" ht="13.5" customHeight="1">
      <c r="D690" s="131"/>
    </row>
    <row r="691" ht="13.5" customHeight="1">
      <c r="D691" s="131"/>
    </row>
    <row r="692" ht="13.5" customHeight="1">
      <c r="D692" s="131"/>
    </row>
    <row r="693" ht="13.5" customHeight="1">
      <c r="D693" s="131"/>
    </row>
    <row r="694" ht="13.5" customHeight="1">
      <c r="D694" s="131"/>
    </row>
    <row r="695" ht="13.5" customHeight="1">
      <c r="D695" s="131"/>
    </row>
    <row r="696" ht="13.5" customHeight="1">
      <c r="D696" s="131"/>
    </row>
    <row r="697" ht="13.5" customHeight="1">
      <c r="D697" s="131"/>
    </row>
    <row r="698" ht="13.5" customHeight="1">
      <c r="D698" s="131"/>
    </row>
    <row r="699" ht="13.5" customHeight="1">
      <c r="D699" s="131"/>
    </row>
    <row r="700" ht="13.5" customHeight="1">
      <c r="D700" s="131"/>
    </row>
    <row r="701" ht="13.5" customHeight="1">
      <c r="D701" s="131"/>
    </row>
    <row r="702" ht="13.5" customHeight="1">
      <c r="D702" s="131"/>
    </row>
    <row r="703" ht="13.5" customHeight="1">
      <c r="D703" s="131"/>
    </row>
    <row r="704" ht="13.5" customHeight="1">
      <c r="D704" s="131"/>
    </row>
    <row r="705" ht="13.5" customHeight="1">
      <c r="D705" s="131"/>
    </row>
    <row r="706" ht="13.5" customHeight="1">
      <c r="D706" s="131"/>
    </row>
    <row r="707" ht="13.5" customHeight="1">
      <c r="D707" s="131"/>
    </row>
    <row r="708" ht="13.5" customHeight="1">
      <c r="D708" s="131"/>
    </row>
    <row r="709" ht="13.5" customHeight="1">
      <c r="D709" s="131"/>
    </row>
    <row r="710" ht="13.5" customHeight="1">
      <c r="D710" s="131"/>
    </row>
    <row r="711" ht="13.5" customHeight="1">
      <c r="D711" s="131"/>
    </row>
    <row r="712" ht="13.5" customHeight="1">
      <c r="D712" s="131"/>
    </row>
    <row r="713" ht="13.5" customHeight="1">
      <c r="D713" s="131"/>
    </row>
    <row r="714" ht="13.5" customHeight="1">
      <c r="D714" s="131"/>
    </row>
    <row r="715" ht="13.5" customHeight="1">
      <c r="D715" s="131"/>
    </row>
    <row r="716" ht="13.5" customHeight="1">
      <c r="D716" s="131"/>
    </row>
    <row r="717" ht="13.5" customHeight="1">
      <c r="D717" s="131"/>
    </row>
    <row r="718" ht="13.5" customHeight="1">
      <c r="D718" s="131"/>
    </row>
    <row r="719" ht="13.5" customHeight="1">
      <c r="D719" s="131"/>
    </row>
    <row r="720" ht="13.5" customHeight="1">
      <c r="D720" s="131"/>
    </row>
    <row r="721" ht="13.5" customHeight="1">
      <c r="D721" s="131"/>
    </row>
    <row r="722" ht="13.5" customHeight="1">
      <c r="D722" s="131"/>
    </row>
    <row r="723" ht="13.5" customHeight="1">
      <c r="D723" s="131"/>
    </row>
    <row r="724" ht="13.5" customHeight="1">
      <c r="D724" s="131"/>
    </row>
    <row r="725" ht="13.5" customHeight="1">
      <c r="D725" s="131"/>
    </row>
    <row r="726" ht="13.5" customHeight="1">
      <c r="D726" s="131"/>
    </row>
    <row r="727" ht="13.5" customHeight="1">
      <c r="D727" s="131"/>
    </row>
    <row r="728" ht="13.5" customHeight="1">
      <c r="D728" s="131"/>
    </row>
    <row r="729" ht="13.5" customHeight="1">
      <c r="D729" s="131"/>
    </row>
    <row r="730" ht="13.5" customHeight="1">
      <c r="D730" s="131"/>
    </row>
    <row r="731" ht="13.5" customHeight="1">
      <c r="D731" s="131"/>
    </row>
    <row r="732" ht="13.5" customHeight="1">
      <c r="D732" s="131"/>
    </row>
    <row r="733" ht="13.5" customHeight="1">
      <c r="D733" s="131"/>
    </row>
    <row r="734" ht="13.5" customHeight="1">
      <c r="D734" s="131"/>
    </row>
    <row r="735" ht="13.5" customHeight="1">
      <c r="D735" s="131"/>
    </row>
    <row r="736" ht="13.5" customHeight="1">
      <c r="D736" s="131"/>
    </row>
    <row r="737" ht="13.5" customHeight="1">
      <c r="D737" s="131"/>
    </row>
    <row r="738" ht="13.5" customHeight="1">
      <c r="D738" s="131"/>
    </row>
    <row r="739" ht="13.5" customHeight="1">
      <c r="D739" s="131"/>
    </row>
    <row r="740" ht="13.5" customHeight="1">
      <c r="D740" s="131"/>
    </row>
    <row r="741" ht="13.5" customHeight="1">
      <c r="D741" s="131"/>
    </row>
    <row r="742" ht="13.5" customHeight="1">
      <c r="D742" s="131"/>
    </row>
    <row r="743" ht="13.5" customHeight="1">
      <c r="D743" s="131"/>
    </row>
    <row r="744" ht="13.5" customHeight="1">
      <c r="D744" s="131"/>
    </row>
    <row r="745" ht="13.5" customHeight="1">
      <c r="D745" s="131"/>
    </row>
    <row r="746" ht="13.5" customHeight="1">
      <c r="D746" s="131"/>
    </row>
    <row r="747" ht="13.5" customHeight="1">
      <c r="D747" s="131"/>
    </row>
    <row r="748" ht="13.5" customHeight="1">
      <c r="D748" s="131"/>
    </row>
    <row r="749" ht="13.5" customHeight="1">
      <c r="D749" s="131"/>
    </row>
    <row r="750" ht="13.5" customHeight="1">
      <c r="D750" s="131"/>
    </row>
    <row r="751" ht="13.5" customHeight="1">
      <c r="D751" s="131"/>
    </row>
    <row r="752" ht="13.5" customHeight="1">
      <c r="D752" s="131"/>
    </row>
    <row r="753" ht="13.5" customHeight="1">
      <c r="D753" s="131"/>
    </row>
    <row r="754" ht="13.5" customHeight="1">
      <c r="D754" s="131"/>
    </row>
    <row r="755" ht="13.5" customHeight="1">
      <c r="D755" s="131"/>
    </row>
    <row r="756" ht="13.5" customHeight="1">
      <c r="D756" s="131"/>
    </row>
    <row r="757" ht="13.5" customHeight="1">
      <c r="D757" s="131"/>
    </row>
    <row r="758" ht="13.5" customHeight="1">
      <c r="D758" s="131"/>
    </row>
    <row r="759" ht="13.5" customHeight="1">
      <c r="D759" s="131"/>
    </row>
    <row r="760" ht="13.5" customHeight="1">
      <c r="D760" s="131"/>
    </row>
    <row r="761" ht="13.5" customHeight="1">
      <c r="D761" s="131"/>
    </row>
    <row r="762" ht="13.5" customHeight="1">
      <c r="D762" s="131"/>
    </row>
    <row r="763" ht="13.5" customHeight="1">
      <c r="D763" s="131"/>
    </row>
    <row r="764" ht="13.5" customHeight="1">
      <c r="D764" s="131"/>
    </row>
    <row r="765" ht="13.5" customHeight="1">
      <c r="D765" s="131"/>
    </row>
    <row r="766" ht="13.5" customHeight="1">
      <c r="D766" s="131"/>
    </row>
    <row r="767" ht="13.5" customHeight="1">
      <c r="D767" s="131"/>
    </row>
    <row r="768" ht="13.5" customHeight="1">
      <c r="D768" s="131"/>
    </row>
    <row r="769" ht="13.5" customHeight="1">
      <c r="D769" s="131"/>
    </row>
    <row r="770" ht="13.5" customHeight="1">
      <c r="D770" s="131"/>
    </row>
    <row r="771" ht="13.5" customHeight="1">
      <c r="D771" s="131"/>
    </row>
    <row r="772" ht="13.5" customHeight="1">
      <c r="D772" s="131"/>
    </row>
    <row r="773" ht="13.5" customHeight="1">
      <c r="D773" s="131"/>
    </row>
    <row r="774" ht="13.5" customHeight="1">
      <c r="D774" s="131"/>
    </row>
    <row r="775" ht="13.5" customHeight="1">
      <c r="D775" s="131"/>
    </row>
    <row r="776" ht="13.5" customHeight="1">
      <c r="D776" s="131"/>
    </row>
    <row r="777" ht="13.5" customHeight="1">
      <c r="D777" s="131"/>
    </row>
    <row r="778" ht="13.5" customHeight="1">
      <c r="D778" s="131"/>
    </row>
    <row r="779" ht="13.5" customHeight="1">
      <c r="D779" s="131"/>
    </row>
    <row r="780" ht="13.5" customHeight="1">
      <c r="D780" s="131"/>
    </row>
    <row r="781" ht="13.5" customHeight="1">
      <c r="D781" s="131"/>
    </row>
    <row r="782" ht="13.5" customHeight="1">
      <c r="D782" s="131"/>
    </row>
    <row r="783" ht="13.5" customHeight="1">
      <c r="D783" s="131"/>
    </row>
    <row r="784" ht="13.5" customHeight="1">
      <c r="D784" s="131"/>
    </row>
    <row r="785" ht="13.5" customHeight="1">
      <c r="D785" s="131"/>
    </row>
    <row r="786" ht="13.5" customHeight="1">
      <c r="D786" s="131"/>
    </row>
    <row r="787" ht="13.5" customHeight="1">
      <c r="D787" s="131"/>
    </row>
    <row r="788" ht="13.5" customHeight="1">
      <c r="D788" s="131"/>
    </row>
    <row r="789" ht="13.5" customHeight="1">
      <c r="D789" s="131"/>
    </row>
    <row r="790" ht="13.5" customHeight="1">
      <c r="D790" s="131"/>
    </row>
    <row r="791" ht="13.5" customHeight="1">
      <c r="D791" s="131"/>
    </row>
    <row r="792" ht="13.5" customHeight="1">
      <c r="D792" s="131"/>
    </row>
    <row r="793" ht="13.5" customHeight="1">
      <c r="D793" s="131"/>
    </row>
    <row r="794" ht="13.5" customHeight="1">
      <c r="D794" s="131"/>
    </row>
    <row r="795" ht="13.5" customHeight="1">
      <c r="D795" s="131"/>
    </row>
    <row r="796" ht="13.5" customHeight="1">
      <c r="D796" s="131"/>
    </row>
    <row r="797" ht="13.5" customHeight="1">
      <c r="D797" s="131"/>
    </row>
    <row r="798" ht="13.5" customHeight="1">
      <c r="D798" s="131"/>
    </row>
    <row r="799" ht="13.5" customHeight="1">
      <c r="D799" s="131"/>
    </row>
    <row r="800" ht="13.5" customHeight="1">
      <c r="D800" s="131"/>
    </row>
    <row r="801" ht="13.5" customHeight="1">
      <c r="D801" s="131"/>
    </row>
    <row r="802" ht="13.5" customHeight="1">
      <c r="D802" s="131"/>
    </row>
    <row r="803" ht="13.5" customHeight="1">
      <c r="D803" s="131"/>
    </row>
    <row r="804" ht="13.5" customHeight="1">
      <c r="D804" s="131"/>
    </row>
    <row r="805" ht="13.5" customHeight="1">
      <c r="D805" s="131"/>
    </row>
    <row r="806" ht="13.5" customHeight="1">
      <c r="D806" s="131"/>
    </row>
    <row r="807" ht="13.5" customHeight="1">
      <c r="D807" s="131"/>
    </row>
    <row r="808" ht="13.5" customHeight="1">
      <c r="D808" s="131"/>
    </row>
    <row r="809" ht="13.5" customHeight="1">
      <c r="D809" s="131"/>
    </row>
    <row r="810" ht="13.5" customHeight="1">
      <c r="D810" s="131"/>
    </row>
    <row r="811" ht="13.5" customHeight="1">
      <c r="D811" s="131"/>
    </row>
    <row r="812" ht="13.5" customHeight="1">
      <c r="D812" s="131"/>
    </row>
    <row r="813" ht="13.5" customHeight="1">
      <c r="D813" s="131"/>
    </row>
    <row r="814" ht="13.5" customHeight="1">
      <c r="D814" s="131"/>
    </row>
    <row r="815" ht="13.5" customHeight="1">
      <c r="D815" s="131"/>
    </row>
    <row r="816" ht="13.5" customHeight="1">
      <c r="D816" s="131"/>
    </row>
    <row r="817" ht="13.5" customHeight="1">
      <c r="D817" s="131"/>
    </row>
    <row r="818" ht="13.5" customHeight="1">
      <c r="D818" s="131"/>
    </row>
    <row r="819" ht="13.5" customHeight="1">
      <c r="D819" s="131"/>
    </row>
    <row r="820" ht="13.5" customHeight="1">
      <c r="D820" s="131"/>
    </row>
    <row r="821" ht="13.5" customHeight="1">
      <c r="D821" s="131"/>
    </row>
    <row r="822" ht="13.5" customHeight="1">
      <c r="D822" s="131"/>
    </row>
    <row r="823" ht="13.5" customHeight="1">
      <c r="D823" s="131"/>
    </row>
    <row r="824" ht="13.5" customHeight="1">
      <c r="D824" s="131"/>
    </row>
    <row r="825" ht="13.5" customHeight="1">
      <c r="D825" s="131"/>
    </row>
    <row r="826" ht="13.5" customHeight="1">
      <c r="D826" s="131"/>
    </row>
    <row r="827" ht="13.5" customHeight="1">
      <c r="D827" s="131"/>
    </row>
    <row r="828" ht="13.5" customHeight="1">
      <c r="D828" s="131"/>
    </row>
    <row r="829" ht="13.5" customHeight="1">
      <c r="D829" s="131"/>
    </row>
    <row r="830" ht="13.5" customHeight="1">
      <c r="D830" s="131"/>
    </row>
    <row r="831" ht="13.5" customHeight="1">
      <c r="D831" s="131"/>
    </row>
    <row r="832" ht="13.5" customHeight="1">
      <c r="D832" s="131"/>
    </row>
    <row r="833" ht="13.5" customHeight="1">
      <c r="D833" s="131"/>
    </row>
    <row r="834" ht="13.5" customHeight="1">
      <c r="D834" s="131"/>
    </row>
    <row r="835" ht="13.5" customHeight="1">
      <c r="D835" s="131"/>
    </row>
    <row r="836" ht="13.5" customHeight="1">
      <c r="D836" s="131"/>
    </row>
    <row r="837" ht="13.5" customHeight="1">
      <c r="D837" s="131"/>
    </row>
    <row r="838" ht="13.5" customHeight="1">
      <c r="D838" s="131"/>
    </row>
    <row r="839" ht="13.5" customHeight="1">
      <c r="D839" s="131"/>
    </row>
    <row r="840" ht="13.5" customHeight="1">
      <c r="D840" s="131"/>
    </row>
    <row r="841" ht="13.5" customHeight="1">
      <c r="D841" s="131"/>
    </row>
    <row r="842" ht="13.5" customHeight="1">
      <c r="D842" s="131"/>
    </row>
    <row r="843" ht="13.5" customHeight="1">
      <c r="D843" s="131"/>
    </row>
    <row r="844" ht="13.5" customHeight="1">
      <c r="D844" s="131"/>
    </row>
    <row r="845" ht="13.5" customHeight="1">
      <c r="D845" s="131"/>
    </row>
    <row r="846" ht="13.5" customHeight="1">
      <c r="D846" s="131"/>
    </row>
    <row r="847" ht="13.5" customHeight="1">
      <c r="D847" s="131"/>
    </row>
    <row r="848" ht="13.5" customHeight="1">
      <c r="D848" s="131"/>
    </row>
    <row r="849" ht="13.5" customHeight="1">
      <c r="D849" s="131"/>
    </row>
    <row r="850" ht="13.5" customHeight="1">
      <c r="D850" s="131"/>
    </row>
    <row r="851" ht="13.5" customHeight="1">
      <c r="D851" s="131"/>
    </row>
    <row r="852" ht="13.5" customHeight="1">
      <c r="D852" s="131"/>
    </row>
    <row r="853" ht="13.5" customHeight="1">
      <c r="D853" s="131"/>
    </row>
    <row r="854" ht="13.5" customHeight="1">
      <c r="D854" s="131"/>
    </row>
    <row r="855" ht="13.5" customHeight="1">
      <c r="D855" s="131"/>
    </row>
    <row r="856" ht="13.5" customHeight="1">
      <c r="D856" s="131"/>
    </row>
    <row r="857" ht="13.5" customHeight="1">
      <c r="D857" s="131"/>
    </row>
    <row r="858" ht="13.5" customHeight="1">
      <c r="D858" s="131"/>
    </row>
    <row r="859" ht="13.5" customHeight="1">
      <c r="D859" s="131"/>
    </row>
    <row r="860" ht="13.5" customHeight="1">
      <c r="D860" s="131"/>
    </row>
    <row r="861" ht="13.5" customHeight="1">
      <c r="D861" s="131"/>
    </row>
    <row r="862" ht="13.5" customHeight="1">
      <c r="D862" s="131"/>
    </row>
    <row r="863" ht="13.5" customHeight="1">
      <c r="D863" s="131"/>
    </row>
    <row r="864" ht="13.5" customHeight="1">
      <c r="D864" s="131"/>
    </row>
    <row r="865" ht="13.5" customHeight="1">
      <c r="D865" s="131"/>
    </row>
    <row r="866" ht="13.5" customHeight="1">
      <c r="D866" s="131"/>
    </row>
    <row r="867" ht="13.5" customHeight="1">
      <c r="D867" s="131"/>
    </row>
    <row r="868" ht="13.5" customHeight="1">
      <c r="D868" s="131"/>
    </row>
    <row r="869" ht="13.5" customHeight="1">
      <c r="D869" s="131"/>
    </row>
    <row r="870" ht="13.5" customHeight="1">
      <c r="D870" s="131"/>
    </row>
    <row r="871" ht="13.5" customHeight="1">
      <c r="D871" s="131"/>
    </row>
    <row r="872" ht="13.5" customHeight="1">
      <c r="D872" s="131"/>
    </row>
    <row r="873" ht="13.5" customHeight="1">
      <c r="D873" s="131"/>
    </row>
    <row r="874" ht="13.5" customHeight="1">
      <c r="D874" s="131"/>
    </row>
    <row r="875" ht="13.5" customHeight="1">
      <c r="D875" s="131"/>
    </row>
    <row r="876" ht="13.5" customHeight="1">
      <c r="D876" s="131"/>
    </row>
    <row r="877" ht="13.5" customHeight="1">
      <c r="D877" s="131"/>
    </row>
    <row r="878" ht="13.5" customHeight="1">
      <c r="D878" s="131"/>
    </row>
    <row r="879" ht="13.5" customHeight="1">
      <c r="D879" s="131"/>
    </row>
    <row r="880" ht="13.5" customHeight="1">
      <c r="D880" s="131"/>
    </row>
    <row r="881" ht="13.5" customHeight="1">
      <c r="D881" s="131"/>
    </row>
    <row r="882" ht="13.5" customHeight="1">
      <c r="D882" s="131"/>
    </row>
    <row r="883" ht="13.5" customHeight="1">
      <c r="D883" s="131"/>
    </row>
    <row r="884" ht="13.5" customHeight="1">
      <c r="D884" s="131"/>
    </row>
    <row r="885" ht="13.5" customHeight="1">
      <c r="D885" s="131"/>
    </row>
    <row r="886" ht="13.5" customHeight="1">
      <c r="D886" s="131"/>
    </row>
    <row r="887" ht="13.5" customHeight="1">
      <c r="D887" s="131"/>
    </row>
    <row r="888" ht="13.5" customHeight="1">
      <c r="D888" s="131"/>
    </row>
    <row r="889" ht="13.5" customHeight="1">
      <c r="D889" s="131"/>
    </row>
    <row r="890" ht="13.5" customHeight="1">
      <c r="D890" s="131"/>
    </row>
    <row r="891" ht="13.5" customHeight="1">
      <c r="D891" s="131"/>
    </row>
    <row r="892" ht="13.5" customHeight="1">
      <c r="D892" s="131"/>
    </row>
    <row r="893" ht="13.5" customHeight="1">
      <c r="D893" s="131"/>
    </row>
    <row r="894" ht="13.5" customHeight="1">
      <c r="D894" s="131"/>
    </row>
    <row r="895" ht="13.5" customHeight="1">
      <c r="D895" s="131"/>
    </row>
    <row r="896" ht="13.5" customHeight="1">
      <c r="D896" s="131"/>
    </row>
    <row r="897" ht="13.5" customHeight="1">
      <c r="D897" s="131"/>
    </row>
    <row r="898" ht="13.5" customHeight="1">
      <c r="D898" s="131"/>
    </row>
    <row r="899" ht="13.5" customHeight="1">
      <c r="D899" s="131"/>
    </row>
    <row r="900" ht="13.5" customHeight="1">
      <c r="D900" s="131"/>
    </row>
    <row r="901" ht="13.5" customHeight="1">
      <c r="D901" s="131"/>
    </row>
    <row r="902" ht="13.5" customHeight="1">
      <c r="D902" s="131"/>
    </row>
    <row r="903" ht="13.5" customHeight="1">
      <c r="D903" s="131"/>
    </row>
    <row r="904" ht="13.5" customHeight="1">
      <c r="D904" s="131"/>
    </row>
    <row r="905" ht="13.5" customHeight="1">
      <c r="D905" s="131"/>
    </row>
    <row r="906" ht="13.5" customHeight="1">
      <c r="D906" s="131"/>
    </row>
    <row r="907" ht="13.5" customHeight="1">
      <c r="D907" s="131"/>
    </row>
    <row r="908" ht="13.5" customHeight="1">
      <c r="D908" s="131"/>
    </row>
    <row r="909" ht="13.5" customHeight="1">
      <c r="D909" s="131"/>
    </row>
    <row r="910" ht="13.5" customHeight="1">
      <c r="D910" s="131"/>
    </row>
    <row r="911" ht="13.5" customHeight="1">
      <c r="D911" s="131"/>
    </row>
    <row r="912" ht="13.5" customHeight="1">
      <c r="D912" s="131"/>
    </row>
    <row r="913" ht="13.5" customHeight="1">
      <c r="D913" s="131"/>
    </row>
    <row r="914" ht="13.5" customHeight="1">
      <c r="D914" s="131"/>
    </row>
    <row r="915" ht="13.5" customHeight="1">
      <c r="D915" s="131"/>
    </row>
    <row r="916" ht="13.5" customHeight="1">
      <c r="D916" s="131"/>
    </row>
    <row r="917" ht="13.5" customHeight="1">
      <c r="D917" s="131"/>
    </row>
    <row r="918" ht="13.5" customHeight="1">
      <c r="D918" s="131"/>
    </row>
    <row r="919" ht="13.5" customHeight="1">
      <c r="D919" s="131"/>
    </row>
    <row r="920" ht="13.5" customHeight="1">
      <c r="D920" s="131"/>
    </row>
    <row r="921" ht="13.5" customHeight="1">
      <c r="D921" s="131"/>
    </row>
    <row r="922" ht="13.5" customHeight="1">
      <c r="D922" s="131"/>
    </row>
    <row r="923" ht="13.5" customHeight="1">
      <c r="D923" s="131"/>
    </row>
    <row r="924" ht="13.5" customHeight="1">
      <c r="D924" s="131"/>
    </row>
    <row r="925" ht="13.5" customHeight="1">
      <c r="D925" s="131"/>
    </row>
    <row r="926" ht="13.5" customHeight="1">
      <c r="D926" s="131"/>
    </row>
    <row r="927" ht="13.5" customHeight="1">
      <c r="D927" s="131"/>
    </row>
    <row r="928" ht="13.5" customHeight="1">
      <c r="D928" s="131"/>
    </row>
    <row r="929" ht="13.5" customHeight="1">
      <c r="D929" s="131"/>
    </row>
    <row r="930" ht="13.5" customHeight="1">
      <c r="D930" s="131"/>
    </row>
    <row r="931" ht="13.5" customHeight="1">
      <c r="D931" s="131"/>
    </row>
    <row r="932" ht="13.5" customHeight="1">
      <c r="D932" s="131"/>
    </row>
    <row r="933" ht="13.5" customHeight="1">
      <c r="D933" s="131"/>
    </row>
    <row r="934" ht="13.5" customHeight="1">
      <c r="D934" s="131"/>
    </row>
    <row r="935" ht="13.5" customHeight="1">
      <c r="D935" s="131"/>
    </row>
    <row r="936" ht="13.5" customHeight="1">
      <c r="D936" s="131"/>
    </row>
    <row r="937" ht="13.5" customHeight="1">
      <c r="D937" s="131"/>
    </row>
    <row r="938" ht="13.5" customHeight="1">
      <c r="D938" s="131"/>
    </row>
    <row r="939" ht="13.5" customHeight="1">
      <c r="D939" s="131"/>
    </row>
    <row r="940" ht="13.5" customHeight="1">
      <c r="D940" s="131"/>
    </row>
    <row r="941" ht="13.5" customHeight="1">
      <c r="D941" s="131"/>
    </row>
    <row r="942" ht="13.5" customHeight="1">
      <c r="D942" s="131"/>
    </row>
    <row r="943" ht="13.5" customHeight="1">
      <c r="D943" s="131"/>
    </row>
    <row r="944" ht="13.5" customHeight="1">
      <c r="D944" s="131"/>
    </row>
    <row r="945" ht="13.5" customHeight="1">
      <c r="D945" s="131"/>
    </row>
    <row r="946" ht="13.5" customHeight="1">
      <c r="D946" s="131"/>
    </row>
    <row r="947" ht="13.5" customHeight="1">
      <c r="D947" s="131"/>
    </row>
    <row r="948" ht="13.5" customHeight="1">
      <c r="D948" s="131"/>
    </row>
    <row r="949" ht="13.5" customHeight="1">
      <c r="D949" s="131"/>
    </row>
    <row r="950" ht="13.5" customHeight="1">
      <c r="D950" s="131"/>
    </row>
    <row r="951" ht="13.5" customHeight="1">
      <c r="D951" s="131"/>
    </row>
    <row r="952" ht="13.5" customHeight="1">
      <c r="D952" s="131"/>
    </row>
    <row r="953" ht="13.5" customHeight="1">
      <c r="D953" s="131"/>
    </row>
    <row r="954" ht="13.5" customHeight="1">
      <c r="D954" s="131"/>
    </row>
    <row r="955" ht="13.5" customHeight="1">
      <c r="D955" s="131"/>
    </row>
    <row r="956" ht="13.5" customHeight="1">
      <c r="D956" s="131"/>
    </row>
    <row r="957" ht="13.5" customHeight="1">
      <c r="D957" s="131"/>
    </row>
    <row r="958" ht="13.5" customHeight="1">
      <c r="D958" s="131"/>
    </row>
    <row r="959" ht="13.5" customHeight="1">
      <c r="D959" s="131"/>
    </row>
    <row r="960" ht="13.5" customHeight="1">
      <c r="D960" s="131"/>
    </row>
    <row r="961" ht="13.5" customHeight="1">
      <c r="D961" s="131"/>
    </row>
    <row r="962" ht="13.5" customHeight="1">
      <c r="D962" s="131"/>
    </row>
    <row r="963" ht="13.5" customHeight="1">
      <c r="D963" s="131"/>
    </row>
    <row r="964" ht="13.5" customHeight="1">
      <c r="D964" s="131"/>
    </row>
    <row r="965" ht="13.5" customHeight="1">
      <c r="D965" s="131"/>
    </row>
    <row r="966" ht="13.5" customHeight="1">
      <c r="D966" s="131"/>
    </row>
    <row r="967" ht="13.5" customHeight="1">
      <c r="D967" s="131"/>
    </row>
    <row r="968" ht="13.5" customHeight="1">
      <c r="D968" s="131"/>
    </row>
    <row r="969" ht="13.5" customHeight="1">
      <c r="D969" s="131"/>
    </row>
    <row r="970" ht="13.5" customHeight="1">
      <c r="D970" s="131"/>
    </row>
    <row r="971" ht="13.5" customHeight="1">
      <c r="D971" s="131"/>
    </row>
    <row r="972" ht="13.5" customHeight="1">
      <c r="D972" s="131"/>
    </row>
    <row r="973" ht="13.5" customHeight="1">
      <c r="D973" s="131"/>
    </row>
    <row r="974" ht="13.5" customHeight="1">
      <c r="D974" s="131"/>
    </row>
    <row r="975" ht="13.5" customHeight="1">
      <c r="D975" s="131"/>
    </row>
    <row r="976" ht="13.5" customHeight="1">
      <c r="D976" s="131"/>
    </row>
    <row r="977" ht="13.5" customHeight="1">
      <c r="D977" s="131"/>
    </row>
    <row r="978" ht="13.5" customHeight="1">
      <c r="D978" s="131"/>
    </row>
    <row r="979" ht="13.5" customHeight="1">
      <c r="D979" s="131"/>
    </row>
    <row r="980" ht="13.5" customHeight="1">
      <c r="D980" s="131"/>
    </row>
    <row r="981" ht="13.5" customHeight="1">
      <c r="D981" s="131"/>
    </row>
    <row r="982" ht="13.5" customHeight="1">
      <c r="D982" s="131"/>
    </row>
    <row r="983" ht="13.5" customHeight="1">
      <c r="D983" s="131"/>
    </row>
    <row r="984" ht="13.5" customHeight="1">
      <c r="D984" s="131"/>
    </row>
    <row r="985" ht="13.5" customHeight="1">
      <c r="D985" s="131"/>
    </row>
    <row r="986" ht="13.5" customHeight="1">
      <c r="D986" s="131"/>
    </row>
    <row r="987" ht="13.5" customHeight="1">
      <c r="D987" s="131"/>
    </row>
    <row r="988" ht="13.5" customHeight="1">
      <c r="D988" s="131"/>
    </row>
    <row r="989" ht="13.5" customHeight="1">
      <c r="D989" s="131"/>
    </row>
    <row r="990" ht="13.5" customHeight="1">
      <c r="D990" s="131"/>
    </row>
    <row r="991" ht="13.5" customHeight="1">
      <c r="D991" s="131"/>
    </row>
    <row r="992" ht="13.5" customHeight="1">
      <c r="D992" s="131"/>
    </row>
    <row r="993" ht="13.5" customHeight="1">
      <c r="D993" s="131"/>
    </row>
    <row r="994" ht="13.5" customHeight="1">
      <c r="D994" s="131"/>
    </row>
    <row r="995" ht="13.5" customHeight="1">
      <c r="D995" s="131"/>
    </row>
    <row r="996" ht="13.5" customHeight="1">
      <c r="D996" s="131"/>
    </row>
    <row r="997" ht="13.5" customHeight="1">
      <c r="D997" s="131"/>
    </row>
    <row r="998" ht="13.5" customHeight="1">
      <c r="D998" s="131"/>
    </row>
    <row r="999" ht="13.5" customHeight="1">
      <c r="D999" s="131"/>
    </row>
    <row r="1000" ht="13.5" customHeight="1">
      <c r="D1000" s="131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0.5"/>
    <col customWidth="1" min="3" max="3" width="11.13"/>
    <col customWidth="1" min="4" max="4" width="9.88"/>
    <col customWidth="1" min="5" max="5" width="8.0"/>
    <col customWidth="1" min="6" max="6" width="9.13"/>
    <col customWidth="1" min="7" max="10" width="8.0"/>
    <col customWidth="1" min="11" max="11" width="9.88"/>
    <col customWidth="1" min="12" max="26" width="8.0"/>
  </cols>
  <sheetData>
    <row r="1" ht="13.5" customHeight="1">
      <c r="A1" s="129" t="s">
        <v>65</v>
      </c>
      <c r="B1" s="130" t="s">
        <v>66</v>
      </c>
      <c r="D1" s="131"/>
      <c r="F1" s="133"/>
    </row>
    <row r="2" ht="13.5" customHeight="1">
      <c r="A2" s="5" t="s">
        <v>145</v>
      </c>
      <c r="D2" s="131"/>
      <c r="F2" s="133"/>
    </row>
    <row r="3" ht="13.5" customHeight="1">
      <c r="A3" s="5" t="s">
        <v>149</v>
      </c>
      <c r="D3" s="131"/>
      <c r="F3" s="133"/>
    </row>
    <row r="4" ht="13.5" customHeight="1">
      <c r="D4" s="131"/>
      <c r="F4" s="133"/>
    </row>
    <row r="5" ht="13.5" customHeight="1">
      <c r="A5" s="5" t="s">
        <v>131</v>
      </c>
      <c r="B5" s="5" t="s">
        <v>9</v>
      </c>
      <c r="C5" s="5" t="s">
        <v>140</v>
      </c>
      <c r="D5" s="131" t="s">
        <v>132</v>
      </c>
      <c r="E5" s="5" t="s">
        <v>133</v>
      </c>
      <c r="F5" s="133" t="s">
        <v>134</v>
      </c>
    </row>
    <row r="6" ht="13.5" customHeight="1">
      <c r="A6" s="132">
        <v>0.0</v>
      </c>
      <c r="B6" s="131">
        <v>0.0029</v>
      </c>
      <c r="C6" s="131">
        <f t="shared" ref="C6:C31" si="1">B6*2</f>
        <v>0.0058</v>
      </c>
      <c r="D6" s="131">
        <f t="shared" ref="D6:D31" si="2">$B$35+$B$36*$A6+$B$37*$A6^2+$B$38*$A6^3+$B$39*$A6^4</f>
        <v>-0.09133342246</v>
      </c>
      <c r="E6" s="131">
        <f t="shared" ref="E6:E31" si="3">$D6-$C6</f>
        <v>-0.09713342246</v>
      </c>
      <c r="F6" s="133">
        <f t="shared" ref="F6:F31" si="4">$E6^2</f>
        <v>0.009434901758</v>
      </c>
    </row>
    <row r="7" ht="13.5" customHeight="1">
      <c r="A7" s="132">
        <v>1.0</v>
      </c>
      <c r="B7" s="131">
        <v>0.2897</v>
      </c>
      <c r="C7" s="131">
        <f t="shared" si="1"/>
        <v>0.5794</v>
      </c>
      <c r="D7" s="131">
        <f t="shared" si="2"/>
        <v>0.5339170588</v>
      </c>
      <c r="E7" s="131">
        <f t="shared" si="3"/>
        <v>-0.04548294122</v>
      </c>
      <c r="F7" s="133">
        <f t="shared" si="4"/>
        <v>0.002068697942</v>
      </c>
    </row>
    <row r="8" ht="13.5" customHeight="1">
      <c r="A8" s="132">
        <v>2.0</v>
      </c>
      <c r="B8" s="131">
        <v>0.5782</v>
      </c>
      <c r="C8" s="131">
        <f t="shared" si="1"/>
        <v>1.1564</v>
      </c>
      <c r="D8" s="131">
        <f t="shared" si="2"/>
        <v>1.156070592</v>
      </c>
      <c r="E8" s="131">
        <f t="shared" si="3"/>
        <v>-0.0003294077304</v>
      </c>
      <c r="F8" s="133">
        <f t="shared" si="4"/>
        <v>0.0000001085094528</v>
      </c>
    </row>
    <row r="9" ht="13.5" customHeight="1">
      <c r="A9" s="132">
        <v>3.0</v>
      </c>
      <c r="B9" s="131">
        <v>0.8699</v>
      </c>
      <c r="C9" s="131">
        <f t="shared" si="1"/>
        <v>1.7398</v>
      </c>
      <c r="D9" s="131">
        <f t="shared" si="2"/>
        <v>1.773058954</v>
      </c>
      <c r="E9" s="131">
        <f t="shared" si="3"/>
        <v>0.0332589545</v>
      </c>
      <c r="F9" s="133">
        <f t="shared" si="4"/>
        <v>0.001106158054</v>
      </c>
    </row>
    <row r="10" ht="13.5" customHeight="1">
      <c r="A10" s="132">
        <v>4.0</v>
      </c>
      <c r="B10" s="131">
        <v>1.1612</v>
      </c>
      <c r="C10" s="131">
        <f t="shared" si="1"/>
        <v>2.3224</v>
      </c>
      <c r="D10" s="131">
        <f t="shared" si="2"/>
        <v>2.382813922</v>
      </c>
      <c r="E10" s="131">
        <f t="shared" si="3"/>
        <v>0.06041392194</v>
      </c>
      <c r="F10" s="133">
        <f t="shared" si="4"/>
        <v>0.003649841964</v>
      </c>
    </row>
    <row r="11" ht="13.5" customHeight="1">
      <c r="A11" s="132">
        <v>5.0</v>
      </c>
      <c r="B11" s="131">
        <v>1.451</v>
      </c>
      <c r="C11" s="131">
        <f t="shared" si="1"/>
        <v>2.902</v>
      </c>
      <c r="D11" s="131">
        <f t="shared" si="2"/>
        <v>2.983267271</v>
      </c>
      <c r="E11" s="131">
        <f t="shared" si="3"/>
        <v>0.08126727105</v>
      </c>
      <c r="F11" s="133">
        <f t="shared" si="4"/>
        <v>0.006604369344</v>
      </c>
    </row>
    <row r="12" ht="13.5" customHeight="1">
      <c r="A12" s="132">
        <v>6.0</v>
      </c>
      <c r="B12" s="131">
        <v>1.739</v>
      </c>
      <c r="C12" s="131">
        <f t="shared" si="1"/>
        <v>3.478</v>
      </c>
      <c r="D12" s="131">
        <f t="shared" si="2"/>
        <v>3.572350778</v>
      </c>
      <c r="E12" s="131">
        <f t="shared" si="3"/>
        <v>0.09435077832</v>
      </c>
      <c r="F12" s="133">
        <f t="shared" si="4"/>
        <v>0.00890206937</v>
      </c>
    </row>
    <row r="13" ht="13.5" customHeight="1">
      <c r="A13" s="132">
        <v>7.0</v>
      </c>
      <c r="B13" s="131">
        <v>2.029</v>
      </c>
      <c r="C13" s="131">
        <f t="shared" si="1"/>
        <v>4.058</v>
      </c>
      <c r="D13" s="131">
        <f t="shared" si="2"/>
        <v>4.14799622</v>
      </c>
      <c r="E13" s="131">
        <f t="shared" si="3"/>
        <v>0.08999622022</v>
      </c>
      <c r="F13" s="133">
        <f t="shared" si="4"/>
        <v>0.008099319654</v>
      </c>
    </row>
    <row r="14" ht="13.5" customHeight="1">
      <c r="A14" s="132">
        <v>8.0</v>
      </c>
      <c r="B14" s="131">
        <v>2.3189</v>
      </c>
      <c r="C14" s="131">
        <f t="shared" si="1"/>
        <v>4.6378</v>
      </c>
      <c r="D14" s="131">
        <f t="shared" si="2"/>
        <v>4.708135373</v>
      </c>
      <c r="E14" s="131">
        <f t="shared" si="3"/>
        <v>0.07033537321</v>
      </c>
      <c r="F14" s="133">
        <f t="shared" si="4"/>
        <v>0.004947064725</v>
      </c>
    </row>
    <row r="15" ht="13.5" customHeight="1">
      <c r="A15" s="132">
        <v>9.0</v>
      </c>
      <c r="B15" s="131">
        <v>2.6111</v>
      </c>
      <c r="C15" s="131">
        <f t="shared" si="1"/>
        <v>5.2222</v>
      </c>
      <c r="D15" s="131">
        <f t="shared" si="2"/>
        <v>5.250700014</v>
      </c>
      <c r="E15" s="131">
        <f t="shared" si="3"/>
        <v>0.02850001378</v>
      </c>
      <c r="F15" s="133">
        <f t="shared" si="4"/>
        <v>0.0008122507855</v>
      </c>
    </row>
    <row r="16" ht="13.5" customHeight="1">
      <c r="A16" s="132">
        <v>10.0</v>
      </c>
      <c r="B16" s="131">
        <v>2.8997</v>
      </c>
      <c r="C16" s="131">
        <f t="shared" si="1"/>
        <v>5.7994</v>
      </c>
      <c r="D16" s="131">
        <f t="shared" si="2"/>
        <v>5.773621918</v>
      </c>
      <c r="E16" s="131">
        <f t="shared" si="3"/>
        <v>-0.02577808161</v>
      </c>
      <c r="F16" s="133">
        <f t="shared" si="4"/>
        <v>0.0006645094913</v>
      </c>
    </row>
    <row r="17" ht="13.5" customHeight="1">
      <c r="A17" s="132">
        <v>11.0</v>
      </c>
      <c r="B17" s="131">
        <v>3.1814</v>
      </c>
      <c r="C17" s="131">
        <f t="shared" si="1"/>
        <v>6.3628</v>
      </c>
      <c r="D17" s="131">
        <f t="shared" si="2"/>
        <v>6.274832864</v>
      </c>
      <c r="E17" s="131">
        <f t="shared" si="3"/>
        <v>-0.08796713648</v>
      </c>
      <c r="F17" s="133">
        <f t="shared" si="4"/>
        <v>0.0077382171</v>
      </c>
    </row>
    <row r="18" ht="13.5" customHeight="1">
      <c r="A18" s="132">
        <v>12.0</v>
      </c>
      <c r="B18" s="131">
        <v>3.4332</v>
      </c>
      <c r="C18" s="131">
        <f t="shared" si="1"/>
        <v>6.8664</v>
      </c>
      <c r="D18" s="131">
        <f t="shared" si="2"/>
        <v>6.752264626</v>
      </c>
      <c r="E18" s="131">
        <f t="shared" si="3"/>
        <v>-0.1141353744</v>
      </c>
      <c r="F18" s="133">
        <f t="shared" si="4"/>
        <v>0.01302688368</v>
      </c>
    </row>
    <row r="19" ht="13.5" customHeight="1">
      <c r="A19" s="132">
        <v>13.0</v>
      </c>
      <c r="B19" s="131">
        <v>3.6606</v>
      </c>
      <c r="C19" s="131">
        <f t="shared" si="1"/>
        <v>7.3212</v>
      </c>
      <c r="D19" s="131">
        <f t="shared" si="2"/>
        <v>7.203848981</v>
      </c>
      <c r="E19" s="131">
        <f t="shared" si="3"/>
        <v>-0.1173510188</v>
      </c>
      <c r="F19" s="133">
        <f t="shared" si="4"/>
        <v>0.01377126161</v>
      </c>
    </row>
    <row r="20" ht="13.5" customHeight="1">
      <c r="A20" s="132">
        <v>14.0</v>
      </c>
      <c r="B20" s="131">
        <v>3.8663</v>
      </c>
      <c r="C20" s="131">
        <f t="shared" si="1"/>
        <v>7.7326</v>
      </c>
      <c r="D20" s="131">
        <f t="shared" si="2"/>
        <v>7.627517707</v>
      </c>
      <c r="E20" s="131">
        <f t="shared" si="3"/>
        <v>-0.1050822933</v>
      </c>
      <c r="F20" s="133">
        <f t="shared" si="4"/>
        <v>0.01104228836</v>
      </c>
    </row>
    <row r="21" ht="13.5" customHeight="1">
      <c r="A21" s="132">
        <v>15.0</v>
      </c>
      <c r="B21" s="131">
        <v>4.055</v>
      </c>
      <c r="C21" s="131">
        <f t="shared" si="1"/>
        <v>8.11</v>
      </c>
      <c r="D21" s="131">
        <f t="shared" si="2"/>
        <v>8.021202579</v>
      </c>
      <c r="E21" s="131">
        <f t="shared" si="3"/>
        <v>-0.08879742133</v>
      </c>
      <c r="F21" s="133">
        <f t="shared" si="4"/>
        <v>0.007884982034</v>
      </c>
    </row>
    <row r="22" ht="13.5" customHeight="1">
      <c r="A22" s="132">
        <v>16.0</v>
      </c>
      <c r="B22" s="131">
        <v>4.225</v>
      </c>
      <c r="C22" s="131">
        <f t="shared" si="1"/>
        <v>8.45</v>
      </c>
      <c r="D22" s="131">
        <f t="shared" si="2"/>
        <v>8.382835373</v>
      </c>
      <c r="E22" s="131">
        <f t="shared" si="3"/>
        <v>-0.06716462652</v>
      </c>
      <c r="F22" s="133">
        <f t="shared" si="4"/>
        <v>0.004511087055</v>
      </c>
    </row>
    <row r="23" ht="13.5" customHeight="1">
      <c r="A23" s="132">
        <v>17.0</v>
      </c>
      <c r="B23" s="131">
        <v>4.3694</v>
      </c>
      <c r="C23" s="131">
        <f t="shared" si="1"/>
        <v>8.7388</v>
      </c>
      <c r="D23" s="131">
        <f t="shared" si="2"/>
        <v>8.710347868</v>
      </c>
      <c r="E23" s="131">
        <f t="shared" si="3"/>
        <v>-0.02845213235</v>
      </c>
      <c r="F23" s="133">
        <f t="shared" si="4"/>
        <v>0.0008095238354</v>
      </c>
    </row>
    <row r="24" ht="13.5" customHeight="1">
      <c r="A24" s="132">
        <v>18.0</v>
      </c>
      <c r="B24" s="131">
        <v>4.486</v>
      </c>
      <c r="C24" s="131">
        <f t="shared" si="1"/>
        <v>8.972</v>
      </c>
      <c r="D24" s="131">
        <f t="shared" si="2"/>
        <v>9.001671838</v>
      </c>
      <c r="E24" s="131">
        <f t="shared" si="3"/>
        <v>0.02967183764</v>
      </c>
      <c r="F24" s="133">
        <f t="shared" si="4"/>
        <v>0.000880417949</v>
      </c>
    </row>
    <row r="25" ht="13.5" customHeight="1">
      <c r="A25" s="132">
        <v>19.0</v>
      </c>
      <c r="B25" s="131">
        <v>4.5813</v>
      </c>
      <c r="C25" s="131">
        <f t="shared" si="1"/>
        <v>9.1626</v>
      </c>
      <c r="D25" s="131">
        <f t="shared" si="2"/>
        <v>9.25473906</v>
      </c>
      <c r="E25" s="131">
        <f t="shared" si="3"/>
        <v>0.09213905993</v>
      </c>
      <c r="F25" s="133">
        <f t="shared" si="4"/>
        <v>0.008489606366</v>
      </c>
    </row>
    <row r="26" ht="13.5" customHeight="1">
      <c r="A26" s="132">
        <v>20.0</v>
      </c>
      <c r="B26" s="131">
        <v>4.6674</v>
      </c>
      <c r="C26" s="131">
        <f t="shared" si="1"/>
        <v>9.3348</v>
      </c>
      <c r="D26" s="131">
        <f t="shared" si="2"/>
        <v>9.467481311</v>
      </c>
      <c r="E26" s="131">
        <f t="shared" si="3"/>
        <v>0.132681311</v>
      </c>
      <c r="F26" s="133">
        <f t="shared" si="4"/>
        <v>0.01760433029</v>
      </c>
    </row>
    <row r="27" ht="13.5" customHeight="1">
      <c r="A27" s="132">
        <v>21.0</v>
      </c>
      <c r="B27" s="131">
        <v>4.7451</v>
      </c>
      <c r="C27" s="131">
        <f t="shared" si="1"/>
        <v>9.4902</v>
      </c>
      <c r="D27" s="131">
        <f t="shared" si="2"/>
        <v>9.637830367</v>
      </c>
      <c r="E27" s="131">
        <f t="shared" si="3"/>
        <v>0.1476303673</v>
      </c>
      <c r="F27" s="133">
        <f t="shared" si="4"/>
        <v>0.02179472535</v>
      </c>
    </row>
    <row r="28" ht="13.5" customHeight="1">
      <c r="A28" s="132">
        <v>22.0</v>
      </c>
      <c r="B28" s="131">
        <v>4.8199</v>
      </c>
      <c r="C28" s="131">
        <f t="shared" si="1"/>
        <v>9.6398</v>
      </c>
      <c r="D28" s="131">
        <f t="shared" si="2"/>
        <v>9.763718005</v>
      </c>
      <c r="E28" s="131">
        <f t="shared" si="3"/>
        <v>0.1239180053</v>
      </c>
      <c r="F28" s="133">
        <f t="shared" si="4"/>
        <v>0.01535567205</v>
      </c>
    </row>
    <row r="29" ht="13.5" customHeight="1">
      <c r="A29" s="132">
        <v>23.0</v>
      </c>
      <c r="B29" s="131">
        <v>4.8921</v>
      </c>
      <c r="C29" s="131">
        <f t="shared" si="1"/>
        <v>9.7842</v>
      </c>
      <c r="D29" s="131">
        <f t="shared" si="2"/>
        <v>9.843076002</v>
      </c>
      <c r="E29" s="131">
        <f t="shared" si="3"/>
        <v>0.05887600157</v>
      </c>
      <c r="F29" s="133">
        <f t="shared" si="4"/>
        <v>0.003466383561</v>
      </c>
    </row>
    <row r="30" ht="13.5" customHeight="1">
      <c r="A30" s="132">
        <v>24.0</v>
      </c>
      <c r="B30" s="131">
        <v>4.9602</v>
      </c>
      <c r="C30" s="131">
        <f t="shared" si="1"/>
        <v>9.9204</v>
      </c>
      <c r="D30" s="131">
        <f t="shared" si="2"/>
        <v>9.873836132</v>
      </c>
      <c r="E30" s="131">
        <f t="shared" si="3"/>
        <v>-0.04656386754</v>
      </c>
      <c r="F30" s="133">
        <f t="shared" si="4"/>
        <v>0.002168193761</v>
      </c>
    </row>
    <row r="31" ht="13.5" customHeight="1">
      <c r="A31" s="132">
        <v>25.0</v>
      </c>
      <c r="B31" s="131">
        <v>5.0277</v>
      </c>
      <c r="C31" s="131">
        <f t="shared" si="1"/>
        <v>10.0554</v>
      </c>
      <c r="D31" s="131">
        <f t="shared" si="2"/>
        <v>9.853930174</v>
      </c>
      <c r="E31" s="131">
        <f t="shared" si="3"/>
        <v>-0.2014698255</v>
      </c>
      <c r="F31" s="133">
        <f t="shared" si="4"/>
        <v>0.04059009059</v>
      </c>
    </row>
    <row r="32" ht="13.5" customHeight="1">
      <c r="A32" s="132"/>
      <c r="B32" s="131"/>
      <c r="C32" s="131"/>
      <c r="D32" s="131"/>
      <c r="E32" s="131"/>
      <c r="F32" s="133">
        <f>SUM(F6:F31)</f>
        <v>0.2154229552</v>
      </c>
    </row>
    <row r="33" ht="13.5" customHeight="1">
      <c r="D33" s="131"/>
      <c r="F33" s="133"/>
    </row>
    <row r="34" ht="13.5" customHeight="1">
      <c r="A34" s="5" t="s">
        <v>150</v>
      </c>
      <c r="D34" s="131"/>
      <c r="F34" s="133"/>
    </row>
    <row r="35" ht="13.5" customHeight="1">
      <c r="A35" s="5" t="s">
        <v>136</v>
      </c>
      <c r="B35" s="134">
        <v>-0.09133342245777112</v>
      </c>
      <c r="D35" s="131"/>
      <c r="F35" s="133"/>
    </row>
    <row r="36" ht="13.5" customHeight="1">
      <c r="A36" s="5" t="s">
        <v>137</v>
      </c>
      <c r="B36" s="134">
        <v>0.6261095472595823</v>
      </c>
      <c r="D36" s="131"/>
      <c r="F36" s="133"/>
    </row>
    <row r="37" ht="13.5" customHeight="1">
      <c r="A37" s="5" t="s">
        <v>138</v>
      </c>
      <c r="B37" s="134">
        <v>-5.143621055599333E-4</v>
      </c>
      <c r="D37" s="131"/>
      <c r="F37" s="133"/>
    </row>
    <row r="38" ht="13.5" customHeight="1">
      <c r="A38" s="5" t="s">
        <v>139</v>
      </c>
      <c r="B38" s="134">
        <v>-3.447039211886911E-4</v>
      </c>
      <c r="D38" s="131"/>
      <c r="F38" s="133"/>
    </row>
    <row r="39" ht="13.5" customHeight="1">
      <c r="A39" s="5" t="s">
        <v>151</v>
      </c>
      <c r="B39" s="134">
        <v>0.0</v>
      </c>
      <c r="D39" s="131"/>
      <c r="F39" s="133"/>
    </row>
    <row r="40" ht="13.5" customHeight="1">
      <c r="B40" s="134"/>
      <c r="D40" s="131"/>
      <c r="F40" s="133"/>
    </row>
    <row r="41" ht="13.5" customHeight="1">
      <c r="D41" s="131"/>
      <c r="F41" s="133"/>
    </row>
    <row r="42" ht="13.5" customHeight="1">
      <c r="A42" s="5" t="s">
        <v>131</v>
      </c>
      <c r="B42" s="5" t="s">
        <v>9</v>
      </c>
      <c r="C42" s="5" t="s">
        <v>140</v>
      </c>
      <c r="D42" s="131" t="s">
        <v>132</v>
      </c>
      <c r="E42" s="5" t="s">
        <v>133</v>
      </c>
      <c r="F42" s="133" t="s">
        <v>134</v>
      </c>
    </row>
    <row r="43" ht="13.5" customHeight="1">
      <c r="A43" s="132">
        <v>0.0</v>
      </c>
      <c r="B43" s="131">
        <v>0.0029</v>
      </c>
      <c r="C43" s="131">
        <f t="shared" ref="C43:C68" si="5">B43*2</f>
        <v>0.0058</v>
      </c>
      <c r="D43" s="131">
        <f t="shared" ref="D43:D68" si="6">$B$72+$B$73*$C43+$B$74*$C43^2+$B$75*$C43^3+$B$76*$C43^4</f>
        <v>0.2210457814</v>
      </c>
      <c r="E43" s="131">
        <f t="shared" ref="E43:E68" si="7">$D43-$A43</f>
        <v>0.2210457814</v>
      </c>
      <c r="F43" s="133">
        <f t="shared" ref="F43:F68" si="8">$E43^2</f>
        <v>0.04886123749</v>
      </c>
    </row>
    <row r="44" ht="13.5" customHeight="1">
      <c r="A44" s="132">
        <v>1.0</v>
      </c>
      <c r="B44" s="131">
        <v>0.2897</v>
      </c>
      <c r="C44" s="131">
        <f t="shared" si="5"/>
        <v>0.5794</v>
      </c>
      <c r="D44" s="131">
        <f t="shared" si="6"/>
        <v>0.9012447621</v>
      </c>
      <c r="E44" s="131">
        <f t="shared" si="7"/>
        <v>-0.09875523786</v>
      </c>
      <c r="F44" s="133">
        <f t="shared" si="8"/>
        <v>0.009752597004</v>
      </c>
    </row>
    <row r="45" ht="13.5" customHeight="1">
      <c r="A45" s="132">
        <v>2.0</v>
      </c>
      <c r="B45" s="131">
        <v>0.5782</v>
      </c>
      <c r="C45" s="131">
        <f t="shared" si="5"/>
        <v>1.1564</v>
      </c>
      <c r="D45" s="131">
        <f t="shared" si="6"/>
        <v>1.815279605</v>
      </c>
      <c r="E45" s="131">
        <f t="shared" si="7"/>
        <v>-0.1847203954</v>
      </c>
      <c r="F45" s="133">
        <f t="shared" si="8"/>
        <v>0.03412162446</v>
      </c>
    </row>
    <row r="46" ht="13.5" customHeight="1">
      <c r="A46" s="132">
        <v>3.0</v>
      </c>
      <c r="B46" s="131">
        <v>0.8699</v>
      </c>
      <c r="C46" s="131">
        <f t="shared" si="5"/>
        <v>1.7398</v>
      </c>
      <c r="D46" s="131">
        <f t="shared" si="6"/>
        <v>2.876049311</v>
      </c>
      <c r="E46" s="131">
        <f t="shared" si="7"/>
        <v>-0.1239506894</v>
      </c>
      <c r="F46" s="133">
        <f t="shared" si="8"/>
        <v>0.0153637734</v>
      </c>
    </row>
    <row r="47" ht="13.5" customHeight="1">
      <c r="A47" s="132">
        <v>4.0</v>
      </c>
      <c r="B47" s="131">
        <v>1.1612</v>
      </c>
      <c r="C47" s="131">
        <f t="shared" si="5"/>
        <v>2.3224</v>
      </c>
      <c r="D47" s="131">
        <f t="shared" si="6"/>
        <v>3.993425943</v>
      </c>
      <c r="E47" s="131">
        <f t="shared" si="7"/>
        <v>-0.006574056805</v>
      </c>
      <c r="F47" s="133">
        <f t="shared" si="8"/>
        <v>0.00004321822288</v>
      </c>
    </row>
    <row r="48" ht="13.5" customHeight="1">
      <c r="A48" s="132">
        <v>5.0</v>
      </c>
      <c r="B48" s="131">
        <v>1.451</v>
      </c>
      <c r="C48" s="131">
        <f t="shared" si="5"/>
        <v>2.902</v>
      </c>
      <c r="D48" s="131">
        <f t="shared" si="6"/>
        <v>5.103653803</v>
      </c>
      <c r="E48" s="131">
        <f t="shared" si="7"/>
        <v>0.1036538025</v>
      </c>
      <c r="F48" s="133">
        <f t="shared" si="8"/>
        <v>0.01074411077</v>
      </c>
    </row>
    <row r="49" ht="13.5" customHeight="1">
      <c r="A49" s="132">
        <v>6.0</v>
      </c>
      <c r="B49" s="131">
        <v>1.739</v>
      </c>
      <c r="C49" s="131">
        <f t="shared" si="5"/>
        <v>3.478</v>
      </c>
      <c r="D49" s="131">
        <f t="shared" si="6"/>
        <v>6.166753664</v>
      </c>
      <c r="E49" s="131">
        <f t="shared" si="7"/>
        <v>0.1667536645</v>
      </c>
      <c r="F49" s="133">
        <f t="shared" si="8"/>
        <v>0.02780678462</v>
      </c>
    </row>
    <row r="50" ht="13.5" customHeight="1">
      <c r="A50" s="132">
        <v>7.0</v>
      </c>
      <c r="B50" s="131">
        <v>2.029</v>
      </c>
      <c r="C50" s="131">
        <f t="shared" si="5"/>
        <v>4.058</v>
      </c>
      <c r="D50" s="131">
        <f t="shared" si="6"/>
        <v>7.176884334</v>
      </c>
      <c r="E50" s="131">
        <f t="shared" si="7"/>
        <v>0.1768843338</v>
      </c>
      <c r="F50" s="133">
        <f t="shared" si="8"/>
        <v>0.03128806755</v>
      </c>
    </row>
    <row r="51" ht="13.5" customHeight="1">
      <c r="A51" s="132">
        <v>8.0</v>
      </c>
      <c r="B51" s="131">
        <v>2.3189</v>
      </c>
      <c r="C51" s="131">
        <f t="shared" si="5"/>
        <v>4.6378</v>
      </c>
      <c r="D51" s="131">
        <f t="shared" si="6"/>
        <v>8.125538269</v>
      </c>
      <c r="E51" s="131">
        <f t="shared" si="7"/>
        <v>0.1255382688</v>
      </c>
      <c r="F51" s="133">
        <f t="shared" si="8"/>
        <v>0.01575985692</v>
      </c>
    </row>
    <row r="52" ht="13.5" customHeight="1">
      <c r="A52" s="132">
        <v>9.0</v>
      </c>
      <c r="B52" s="131">
        <v>2.6111</v>
      </c>
      <c r="C52" s="131">
        <f t="shared" si="5"/>
        <v>5.2222</v>
      </c>
      <c r="D52" s="131">
        <f t="shared" si="6"/>
        <v>9.038912059</v>
      </c>
      <c r="E52" s="131">
        <f t="shared" si="7"/>
        <v>0.03891205904</v>
      </c>
      <c r="F52" s="133">
        <f t="shared" si="8"/>
        <v>0.001514148339</v>
      </c>
    </row>
    <row r="53" ht="13.5" customHeight="1">
      <c r="A53" s="132">
        <v>10.0</v>
      </c>
      <c r="B53" s="131">
        <v>2.8997</v>
      </c>
      <c r="C53" s="131">
        <f t="shared" si="5"/>
        <v>5.7994</v>
      </c>
      <c r="D53" s="131">
        <f t="shared" si="6"/>
        <v>9.936925056</v>
      </c>
      <c r="E53" s="131">
        <f t="shared" si="7"/>
        <v>-0.06307494404</v>
      </c>
      <c r="F53" s="133">
        <f t="shared" si="8"/>
        <v>0.003978448565</v>
      </c>
    </row>
    <row r="54" ht="13.5" customHeight="1">
      <c r="A54" s="132">
        <v>11.0</v>
      </c>
      <c r="B54" s="131">
        <v>3.1814</v>
      </c>
      <c r="C54" s="131">
        <f t="shared" si="5"/>
        <v>6.3628</v>
      </c>
      <c r="D54" s="131">
        <f t="shared" si="6"/>
        <v>10.86391528</v>
      </c>
      <c r="E54" s="131">
        <f t="shared" si="7"/>
        <v>-0.136084716</v>
      </c>
      <c r="F54" s="133">
        <f t="shared" si="8"/>
        <v>0.01851904994</v>
      </c>
    </row>
    <row r="55" ht="13.5" customHeight="1">
      <c r="A55" s="132">
        <v>12.0</v>
      </c>
      <c r="B55" s="131">
        <v>3.4332</v>
      </c>
      <c r="C55" s="131">
        <f t="shared" si="5"/>
        <v>6.8664</v>
      </c>
      <c r="D55" s="131">
        <f t="shared" si="6"/>
        <v>11.7920936</v>
      </c>
      <c r="E55" s="131">
        <f t="shared" si="7"/>
        <v>-0.2079063965</v>
      </c>
      <c r="F55" s="133">
        <f t="shared" si="8"/>
        <v>0.04322506972</v>
      </c>
    </row>
    <row r="56" ht="13.5" customHeight="1">
      <c r="A56" s="132">
        <v>13.0</v>
      </c>
      <c r="B56" s="131">
        <v>3.6606</v>
      </c>
      <c r="C56" s="131">
        <f t="shared" si="5"/>
        <v>7.3212</v>
      </c>
      <c r="D56" s="131">
        <f t="shared" si="6"/>
        <v>12.76413627</v>
      </c>
      <c r="E56" s="131">
        <f t="shared" si="7"/>
        <v>-0.2358637335</v>
      </c>
      <c r="F56" s="133">
        <f t="shared" si="8"/>
        <v>0.05563170079</v>
      </c>
    </row>
    <row r="57" ht="13.5" customHeight="1">
      <c r="A57" s="132">
        <v>14.0</v>
      </c>
      <c r="B57" s="131">
        <v>3.8663</v>
      </c>
      <c r="C57" s="131">
        <f t="shared" si="5"/>
        <v>7.7326</v>
      </c>
      <c r="D57" s="131">
        <f t="shared" si="6"/>
        <v>13.7985731</v>
      </c>
      <c r="E57" s="131">
        <f t="shared" si="7"/>
        <v>-0.2014268963</v>
      </c>
      <c r="F57" s="133">
        <f t="shared" si="8"/>
        <v>0.04057279457</v>
      </c>
    </row>
    <row r="58" ht="13.5" customHeight="1">
      <c r="A58" s="132">
        <v>15.0</v>
      </c>
      <c r="B58" s="131">
        <v>4.055</v>
      </c>
      <c r="C58" s="131">
        <f t="shared" si="5"/>
        <v>8.11</v>
      </c>
      <c r="D58" s="131">
        <f t="shared" si="6"/>
        <v>14.91645216</v>
      </c>
      <c r="E58" s="131">
        <f t="shared" si="7"/>
        <v>-0.08354783933</v>
      </c>
      <c r="F58" s="133">
        <f t="shared" si="8"/>
        <v>0.006980241457</v>
      </c>
    </row>
    <row r="59" ht="13.5" customHeight="1">
      <c r="A59" s="132">
        <v>16.0</v>
      </c>
      <c r="B59" s="131">
        <v>4.225</v>
      </c>
      <c r="C59" s="131">
        <f t="shared" si="5"/>
        <v>8.45</v>
      </c>
      <c r="D59" s="131">
        <f t="shared" si="6"/>
        <v>16.0943213</v>
      </c>
      <c r="E59" s="131">
        <f t="shared" si="7"/>
        <v>0.09432130468</v>
      </c>
      <c r="F59" s="133">
        <f t="shared" si="8"/>
        <v>0.008896508517</v>
      </c>
    </row>
    <row r="60" ht="13.5" customHeight="1">
      <c r="A60" s="132">
        <v>17.0</v>
      </c>
      <c r="B60" s="131">
        <v>4.3694</v>
      </c>
      <c r="C60" s="131">
        <f t="shared" si="5"/>
        <v>8.7388</v>
      </c>
      <c r="D60" s="131">
        <f t="shared" si="6"/>
        <v>17.24527847</v>
      </c>
      <c r="E60" s="131">
        <f t="shared" si="7"/>
        <v>0.245278475</v>
      </c>
      <c r="F60" s="133">
        <f t="shared" si="8"/>
        <v>0.06016153029</v>
      </c>
    </row>
    <row r="61" ht="13.5" customHeight="1">
      <c r="A61" s="132">
        <v>18.0</v>
      </c>
      <c r="B61" s="131">
        <v>4.486</v>
      </c>
      <c r="C61" s="131">
        <f t="shared" si="5"/>
        <v>8.972</v>
      </c>
      <c r="D61" s="131">
        <f t="shared" si="6"/>
        <v>18.28983187</v>
      </c>
      <c r="E61" s="131">
        <f t="shared" si="7"/>
        <v>0.2898318718</v>
      </c>
      <c r="F61" s="133">
        <f t="shared" si="8"/>
        <v>0.08400251391</v>
      </c>
    </row>
    <row r="62" ht="13.5" customHeight="1">
      <c r="A62" s="132">
        <v>19.0</v>
      </c>
      <c r="B62" s="131">
        <v>4.5813</v>
      </c>
      <c r="C62" s="131">
        <f t="shared" si="5"/>
        <v>9.1626</v>
      </c>
      <c r="D62" s="131">
        <f t="shared" si="6"/>
        <v>19.22828794</v>
      </c>
      <c r="E62" s="131">
        <f t="shared" si="7"/>
        <v>0.2282879376</v>
      </c>
      <c r="F62" s="133">
        <f t="shared" si="8"/>
        <v>0.05211538247</v>
      </c>
    </row>
    <row r="63" ht="13.5" customHeight="1">
      <c r="A63" s="132">
        <v>20.0</v>
      </c>
      <c r="B63" s="131">
        <v>4.6674</v>
      </c>
      <c r="C63" s="131">
        <f t="shared" si="5"/>
        <v>9.3348</v>
      </c>
      <c r="D63" s="131">
        <f t="shared" si="6"/>
        <v>20.14726669</v>
      </c>
      <c r="E63" s="131">
        <f t="shared" si="7"/>
        <v>0.1472666945</v>
      </c>
      <c r="F63" s="133">
        <f t="shared" si="8"/>
        <v>0.02168747931</v>
      </c>
    </row>
    <row r="64" ht="13.5" customHeight="1">
      <c r="A64" s="132">
        <v>21.0</v>
      </c>
      <c r="B64" s="131">
        <v>4.7451</v>
      </c>
      <c r="C64" s="131">
        <f t="shared" si="5"/>
        <v>9.4902</v>
      </c>
      <c r="D64" s="131">
        <f t="shared" si="6"/>
        <v>21.03864885</v>
      </c>
      <c r="E64" s="131">
        <f t="shared" si="7"/>
        <v>0.03864885379</v>
      </c>
      <c r="F64" s="133">
        <f t="shared" si="8"/>
        <v>0.001493733899</v>
      </c>
    </row>
    <row r="65" ht="13.5" customHeight="1">
      <c r="A65" s="132">
        <v>22.0</v>
      </c>
      <c r="B65" s="131">
        <v>4.8199</v>
      </c>
      <c r="C65" s="131">
        <f t="shared" si="5"/>
        <v>9.6398</v>
      </c>
      <c r="D65" s="131">
        <f t="shared" si="6"/>
        <v>21.95587717</v>
      </c>
      <c r="E65" s="131">
        <f t="shared" si="7"/>
        <v>-0.04412282911</v>
      </c>
      <c r="F65" s="133">
        <f t="shared" si="8"/>
        <v>0.001946824049</v>
      </c>
    </row>
    <row r="66" ht="13.5" customHeight="1">
      <c r="A66" s="132">
        <v>23.0</v>
      </c>
      <c r="B66" s="131">
        <v>4.8921</v>
      </c>
      <c r="C66" s="131">
        <f t="shared" si="5"/>
        <v>9.7842</v>
      </c>
      <c r="D66" s="131">
        <f t="shared" si="6"/>
        <v>22.89937116</v>
      </c>
      <c r="E66" s="131">
        <f t="shared" si="7"/>
        <v>-0.1006288363</v>
      </c>
      <c r="F66" s="133">
        <f t="shared" si="8"/>
        <v>0.0101261627</v>
      </c>
    </row>
    <row r="67" ht="13.5" customHeight="1">
      <c r="A67" s="132">
        <v>24.0</v>
      </c>
      <c r="B67" s="131">
        <v>4.9602</v>
      </c>
      <c r="C67" s="131">
        <f t="shared" si="5"/>
        <v>9.9204</v>
      </c>
      <c r="D67" s="131">
        <f t="shared" si="6"/>
        <v>23.84441269</v>
      </c>
      <c r="E67" s="131">
        <f t="shared" si="7"/>
        <v>-0.1555873055</v>
      </c>
      <c r="F67" s="133">
        <f t="shared" si="8"/>
        <v>0.02420740962</v>
      </c>
    </row>
    <row r="68" ht="13.5" customHeight="1">
      <c r="A68" s="132">
        <v>25.0</v>
      </c>
      <c r="B68" s="131">
        <v>5.0277</v>
      </c>
      <c r="C68" s="131">
        <f t="shared" si="5"/>
        <v>10.0554</v>
      </c>
      <c r="D68" s="131">
        <f t="shared" si="6"/>
        <v>24.83657078</v>
      </c>
      <c r="E68" s="131">
        <f t="shared" si="7"/>
        <v>-0.1634292195</v>
      </c>
      <c r="F68" s="133">
        <f t="shared" si="8"/>
        <v>0.02670910978</v>
      </c>
    </row>
    <row r="69" ht="13.5" customHeight="1">
      <c r="D69" s="131"/>
      <c r="F69" s="133">
        <f>SUM(F43:F68)</f>
        <v>0.6555093784</v>
      </c>
    </row>
    <row r="70" ht="14.25" customHeight="1">
      <c r="D70" s="131"/>
      <c r="F70" s="133"/>
    </row>
    <row r="71" ht="14.25" customHeight="1">
      <c r="A71" s="5" t="s">
        <v>150</v>
      </c>
      <c r="D71" s="131"/>
      <c r="F71" s="133"/>
      <c r="I71" s="5" t="s">
        <v>141</v>
      </c>
      <c r="K71" s="135">
        <v>1214.0</v>
      </c>
    </row>
    <row r="72" ht="13.5" customHeight="1">
      <c r="A72" s="5" t="s">
        <v>136</v>
      </c>
      <c r="B72" s="134">
        <v>0.21570292598118013</v>
      </c>
      <c r="D72" s="131"/>
      <c r="F72" s="133"/>
      <c r="I72" s="5" t="s">
        <v>142</v>
      </c>
      <c r="K72" s="131">
        <f>$B$35+$B$36*K71/100+$B$37*K71^2*0.0001+$B$38*K71^3*0.000001+K$39*K71^4*0.00000001</f>
        <v>6.817089762</v>
      </c>
    </row>
    <row r="73" ht="14.25" customHeight="1">
      <c r="A73" s="5" t="s">
        <v>137</v>
      </c>
      <c r="B73" s="134">
        <v>0.9181833836737335</v>
      </c>
      <c r="D73" s="131"/>
      <c r="F73" s="133"/>
    </row>
    <row r="74" ht="14.25" customHeight="1">
      <c r="A74" s="5" t="s">
        <v>138</v>
      </c>
      <c r="B74" s="134">
        <v>0.5176254546519384</v>
      </c>
      <c r="D74" s="131"/>
      <c r="F74" s="133"/>
      <c r="I74" s="5" t="s">
        <v>143</v>
      </c>
      <c r="K74" s="136">
        <v>6.929</v>
      </c>
    </row>
    <row r="75" ht="13.5" customHeight="1">
      <c r="A75" s="5" t="s">
        <v>139</v>
      </c>
      <c r="B75" s="134">
        <v>-0.10810413112898945</v>
      </c>
      <c r="D75" s="131"/>
      <c r="F75" s="133"/>
      <c r="I75" s="5" t="s">
        <v>144</v>
      </c>
      <c r="K75" s="81">
        <f>$B$72*100+$B$73*K74*100+$B$74*K74^2*100+$B$75*K74^3*100+$B$76*K74^4*100</f>
        <v>1191.712808</v>
      </c>
    </row>
    <row r="76" ht="13.5" customHeight="1">
      <c r="A76" s="5" t="s">
        <v>151</v>
      </c>
      <c r="B76" s="134">
        <v>0.007136662226003296</v>
      </c>
      <c r="D76" s="131"/>
      <c r="F76" s="133"/>
    </row>
    <row r="77" ht="13.5" customHeight="1">
      <c r="D77" s="131"/>
      <c r="F77" s="133"/>
    </row>
    <row r="78" ht="13.5" customHeight="1">
      <c r="D78" s="131"/>
      <c r="F78" s="133"/>
    </row>
    <row r="79" ht="13.5" customHeight="1">
      <c r="D79" s="131"/>
      <c r="F79" s="133"/>
    </row>
    <row r="80" ht="13.5" customHeight="1">
      <c r="D80" s="131"/>
      <c r="F80" s="133"/>
    </row>
    <row r="81" ht="13.5" customHeight="1">
      <c r="D81" s="131"/>
      <c r="F81" s="133"/>
    </row>
    <row r="82" ht="13.5" customHeight="1">
      <c r="D82" s="131"/>
      <c r="F82" s="133"/>
    </row>
    <row r="83" ht="13.5" customHeight="1">
      <c r="D83" s="131"/>
      <c r="F83" s="133"/>
    </row>
    <row r="84" ht="13.5" customHeight="1">
      <c r="D84" s="131"/>
      <c r="F84" s="133"/>
    </row>
    <row r="85" ht="13.5" customHeight="1">
      <c r="D85" s="131"/>
      <c r="F85" s="133"/>
    </row>
    <row r="86" ht="13.5" customHeight="1">
      <c r="D86" s="131"/>
      <c r="F86" s="133"/>
    </row>
    <row r="87" ht="13.5" customHeight="1">
      <c r="D87" s="131"/>
      <c r="F87" s="133"/>
    </row>
    <row r="88" ht="13.5" customHeight="1">
      <c r="D88" s="131"/>
      <c r="F88" s="133"/>
    </row>
    <row r="89" ht="13.5" customHeight="1">
      <c r="D89" s="131"/>
      <c r="F89" s="133"/>
    </row>
    <row r="90" ht="13.5" customHeight="1">
      <c r="D90" s="131"/>
      <c r="F90" s="133"/>
    </row>
    <row r="91" ht="13.5" customHeight="1">
      <c r="D91" s="131"/>
      <c r="F91" s="133"/>
    </row>
    <row r="92" ht="13.5" customHeight="1">
      <c r="D92" s="131"/>
      <c r="F92" s="133"/>
    </row>
    <row r="93" ht="13.5" customHeight="1">
      <c r="D93" s="131"/>
      <c r="F93" s="133"/>
    </row>
    <row r="94" ht="13.5" customHeight="1">
      <c r="D94" s="131"/>
      <c r="F94" s="133"/>
    </row>
    <row r="95" ht="13.5" customHeight="1">
      <c r="D95" s="131"/>
      <c r="F95" s="133"/>
    </row>
    <row r="96" ht="13.5" customHeight="1">
      <c r="D96" s="131"/>
      <c r="F96" s="133"/>
    </row>
    <row r="97" ht="13.5" customHeight="1">
      <c r="D97" s="131"/>
      <c r="F97" s="133"/>
    </row>
    <row r="98" ht="13.5" customHeight="1">
      <c r="D98" s="131"/>
      <c r="F98" s="133"/>
    </row>
    <row r="99" ht="13.5" customHeight="1">
      <c r="D99" s="131"/>
      <c r="F99" s="133"/>
    </row>
    <row r="100" ht="13.5" customHeight="1">
      <c r="D100" s="131"/>
      <c r="F100" s="133"/>
    </row>
    <row r="101" ht="13.5" customHeight="1">
      <c r="D101" s="131"/>
      <c r="F101" s="133"/>
    </row>
    <row r="102" ht="13.5" customHeight="1">
      <c r="D102" s="131"/>
      <c r="F102" s="133"/>
    </row>
    <row r="103" ht="13.5" customHeight="1">
      <c r="D103" s="131"/>
      <c r="F103" s="133"/>
    </row>
    <row r="104" ht="13.5" customHeight="1">
      <c r="D104" s="131"/>
      <c r="F104" s="133"/>
    </row>
    <row r="105" ht="13.5" customHeight="1">
      <c r="D105" s="131"/>
      <c r="F105" s="133"/>
    </row>
    <row r="106" ht="13.5" customHeight="1">
      <c r="D106" s="131"/>
      <c r="F106" s="133"/>
    </row>
    <row r="107" ht="13.5" customHeight="1">
      <c r="D107" s="131"/>
      <c r="F107" s="133"/>
    </row>
    <row r="108" ht="13.5" customHeight="1">
      <c r="D108" s="131"/>
      <c r="F108" s="133"/>
    </row>
    <row r="109" ht="13.5" customHeight="1">
      <c r="D109" s="131"/>
      <c r="F109" s="133"/>
    </row>
    <row r="110" ht="13.5" customHeight="1">
      <c r="D110" s="131"/>
      <c r="F110" s="133"/>
    </row>
    <row r="111" ht="13.5" customHeight="1">
      <c r="D111" s="131"/>
      <c r="F111" s="133"/>
    </row>
    <row r="112" ht="13.5" customHeight="1">
      <c r="D112" s="131"/>
      <c r="F112" s="133"/>
    </row>
    <row r="113" ht="13.5" customHeight="1">
      <c r="D113" s="131"/>
      <c r="F113" s="133"/>
    </row>
    <row r="114" ht="13.5" customHeight="1">
      <c r="D114" s="131"/>
      <c r="F114" s="133"/>
    </row>
    <row r="115" ht="13.5" customHeight="1">
      <c r="D115" s="131"/>
      <c r="F115" s="133"/>
    </row>
    <row r="116" ht="13.5" customHeight="1">
      <c r="D116" s="131"/>
      <c r="F116" s="133"/>
    </row>
    <row r="117" ht="13.5" customHeight="1">
      <c r="D117" s="131"/>
      <c r="F117" s="133"/>
    </row>
    <row r="118" ht="13.5" customHeight="1">
      <c r="D118" s="131"/>
      <c r="F118" s="133"/>
    </row>
    <row r="119" ht="13.5" customHeight="1">
      <c r="D119" s="131"/>
      <c r="F119" s="133"/>
    </row>
    <row r="120" ht="13.5" customHeight="1">
      <c r="D120" s="131"/>
      <c r="F120" s="133"/>
    </row>
    <row r="121" ht="13.5" customHeight="1">
      <c r="D121" s="131"/>
      <c r="F121" s="133"/>
    </row>
    <row r="122" ht="13.5" customHeight="1">
      <c r="D122" s="131"/>
      <c r="F122" s="133"/>
    </row>
    <row r="123" ht="13.5" customHeight="1">
      <c r="D123" s="131"/>
      <c r="F123" s="133"/>
    </row>
    <row r="124" ht="13.5" customHeight="1">
      <c r="D124" s="131"/>
      <c r="F124" s="133"/>
    </row>
    <row r="125" ht="13.5" customHeight="1">
      <c r="D125" s="131"/>
      <c r="F125" s="133"/>
    </row>
    <row r="126" ht="13.5" customHeight="1">
      <c r="D126" s="131"/>
      <c r="F126" s="133"/>
    </row>
    <row r="127" ht="13.5" customHeight="1">
      <c r="D127" s="131"/>
      <c r="F127" s="133"/>
    </row>
    <row r="128" ht="13.5" customHeight="1">
      <c r="D128" s="131"/>
      <c r="F128" s="133"/>
    </row>
    <row r="129" ht="13.5" customHeight="1">
      <c r="D129" s="131"/>
      <c r="F129" s="133"/>
    </row>
    <row r="130" ht="13.5" customHeight="1">
      <c r="D130" s="131"/>
      <c r="F130" s="133"/>
    </row>
    <row r="131" ht="13.5" customHeight="1">
      <c r="D131" s="131"/>
      <c r="F131" s="133"/>
    </row>
    <row r="132" ht="13.5" customHeight="1">
      <c r="D132" s="131"/>
      <c r="F132" s="133"/>
    </row>
    <row r="133" ht="13.5" customHeight="1">
      <c r="D133" s="131"/>
      <c r="F133" s="133"/>
    </row>
    <row r="134" ht="13.5" customHeight="1">
      <c r="D134" s="131"/>
      <c r="F134" s="133"/>
    </row>
    <row r="135" ht="13.5" customHeight="1">
      <c r="D135" s="131"/>
      <c r="F135" s="133"/>
    </row>
    <row r="136" ht="13.5" customHeight="1">
      <c r="D136" s="131"/>
      <c r="F136" s="133"/>
    </row>
    <row r="137" ht="13.5" customHeight="1">
      <c r="D137" s="131"/>
      <c r="F137" s="133"/>
    </row>
    <row r="138" ht="13.5" customHeight="1">
      <c r="D138" s="131"/>
      <c r="F138" s="133"/>
    </row>
    <row r="139" ht="13.5" customHeight="1">
      <c r="D139" s="131"/>
      <c r="F139" s="133"/>
    </row>
    <row r="140" ht="13.5" customHeight="1">
      <c r="D140" s="131"/>
      <c r="F140" s="133"/>
    </row>
    <row r="141" ht="13.5" customHeight="1">
      <c r="D141" s="131"/>
      <c r="F141" s="133"/>
    </row>
    <row r="142" ht="13.5" customHeight="1">
      <c r="D142" s="131"/>
      <c r="F142" s="133"/>
    </row>
    <row r="143" ht="13.5" customHeight="1">
      <c r="D143" s="131"/>
      <c r="F143" s="133"/>
    </row>
    <row r="144" ht="13.5" customHeight="1">
      <c r="D144" s="131"/>
      <c r="F144" s="133"/>
    </row>
    <row r="145" ht="13.5" customHeight="1">
      <c r="D145" s="131"/>
      <c r="F145" s="133"/>
    </row>
    <row r="146" ht="13.5" customHeight="1">
      <c r="D146" s="131"/>
      <c r="F146" s="133"/>
    </row>
    <row r="147" ht="13.5" customHeight="1">
      <c r="D147" s="131"/>
      <c r="F147" s="133"/>
    </row>
    <row r="148" ht="13.5" customHeight="1">
      <c r="D148" s="131"/>
      <c r="F148" s="133"/>
    </row>
    <row r="149" ht="13.5" customHeight="1">
      <c r="D149" s="131"/>
      <c r="F149" s="133"/>
    </row>
    <row r="150" ht="13.5" customHeight="1">
      <c r="D150" s="131"/>
      <c r="F150" s="133"/>
    </row>
    <row r="151" ht="13.5" customHeight="1">
      <c r="D151" s="131"/>
      <c r="F151" s="133"/>
    </row>
    <row r="152" ht="13.5" customHeight="1">
      <c r="D152" s="131"/>
      <c r="F152" s="133"/>
    </row>
    <row r="153" ht="13.5" customHeight="1">
      <c r="D153" s="131"/>
      <c r="F153" s="133"/>
    </row>
    <row r="154" ht="13.5" customHeight="1">
      <c r="D154" s="131"/>
      <c r="F154" s="133"/>
    </row>
    <row r="155" ht="13.5" customHeight="1">
      <c r="D155" s="131"/>
      <c r="F155" s="133"/>
    </row>
    <row r="156" ht="13.5" customHeight="1">
      <c r="D156" s="131"/>
      <c r="F156" s="133"/>
    </row>
    <row r="157" ht="13.5" customHeight="1">
      <c r="D157" s="131"/>
      <c r="F157" s="133"/>
    </row>
    <row r="158" ht="13.5" customHeight="1">
      <c r="D158" s="131"/>
      <c r="F158" s="133"/>
    </row>
    <row r="159" ht="13.5" customHeight="1">
      <c r="D159" s="131"/>
      <c r="F159" s="133"/>
    </row>
    <row r="160" ht="13.5" customHeight="1">
      <c r="D160" s="131"/>
      <c r="F160" s="133"/>
    </row>
    <row r="161" ht="13.5" customHeight="1">
      <c r="D161" s="131"/>
      <c r="F161" s="133"/>
    </row>
    <row r="162" ht="13.5" customHeight="1">
      <c r="D162" s="131"/>
      <c r="F162" s="133"/>
    </row>
    <row r="163" ht="13.5" customHeight="1">
      <c r="D163" s="131"/>
      <c r="F163" s="133"/>
    </row>
    <row r="164" ht="13.5" customHeight="1">
      <c r="D164" s="131"/>
      <c r="F164" s="133"/>
    </row>
    <row r="165" ht="13.5" customHeight="1">
      <c r="D165" s="131"/>
      <c r="F165" s="133"/>
    </row>
    <row r="166" ht="13.5" customHeight="1">
      <c r="D166" s="131"/>
      <c r="F166" s="133"/>
    </row>
    <row r="167" ht="13.5" customHeight="1">
      <c r="D167" s="131"/>
      <c r="F167" s="133"/>
    </row>
    <row r="168" ht="13.5" customHeight="1">
      <c r="D168" s="131"/>
      <c r="F168" s="133"/>
    </row>
    <row r="169" ht="13.5" customHeight="1">
      <c r="D169" s="131"/>
      <c r="F169" s="133"/>
    </row>
    <row r="170" ht="13.5" customHeight="1">
      <c r="D170" s="131"/>
      <c r="F170" s="133"/>
    </row>
    <row r="171" ht="13.5" customHeight="1">
      <c r="D171" s="131"/>
      <c r="F171" s="133"/>
    </row>
    <row r="172" ht="13.5" customHeight="1">
      <c r="D172" s="131"/>
      <c r="F172" s="133"/>
    </row>
    <row r="173" ht="13.5" customHeight="1">
      <c r="D173" s="131"/>
      <c r="F173" s="133"/>
    </row>
    <row r="174" ht="13.5" customHeight="1">
      <c r="D174" s="131"/>
      <c r="F174" s="133"/>
    </row>
    <row r="175" ht="13.5" customHeight="1">
      <c r="D175" s="131"/>
      <c r="F175" s="133"/>
    </row>
    <row r="176" ht="13.5" customHeight="1">
      <c r="D176" s="131"/>
      <c r="F176" s="133"/>
    </row>
    <row r="177" ht="13.5" customHeight="1">
      <c r="D177" s="131"/>
      <c r="F177" s="133"/>
    </row>
    <row r="178" ht="13.5" customHeight="1">
      <c r="D178" s="131"/>
      <c r="F178" s="133"/>
    </row>
    <row r="179" ht="13.5" customHeight="1">
      <c r="D179" s="131"/>
      <c r="F179" s="133"/>
    </row>
    <row r="180" ht="13.5" customHeight="1">
      <c r="D180" s="131"/>
      <c r="F180" s="133"/>
    </row>
    <row r="181" ht="13.5" customHeight="1">
      <c r="D181" s="131"/>
      <c r="F181" s="133"/>
    </row>
    <row r="182" ht="13.5" customHeight="1">
      <c r="D182" s="131"/>
      <c r="F182" s="133"/>
    </row>
    <row r="183" ht="13.5" customHeight="1">
      <c r="D183" s="131"/>
      <c r="F183" s="133"/>
    </row>
    <row r="184" ht="13.5" customHeight="1">
      <c r="D184" s="131"/>
      <c r="F184" s="133"/>
    </row>
    <row r="185" ht="13.5" customHeight="1">
      <c r="D185" s="131"/>
      <c r="F185" s="133"/>
    </row>
    <row r="186" ht="13.5" customHeight="1">
      <c r="D186" s="131"/>
      <c r="F186" s="133"/>
    </row>
    <row r="187" ht="13.5" customHeight="1">
      <c r="D187" s="131"/>
      <c r="F187" s="133"/>
    </row>
    <row r="188" ht="13.5" customHeight="1">
      <c r="D188" s="131"/>
      <c r="F188" s="133"/>
    </row>
    <row r="189" ht="13.5" customHeight="1">
      <c r="D189" s="131"/>
      <c r="F189" s="133"/>
    </row>
    <row r="190" ht="13.5" customHeight="1">
      <c r="D190" s="131"/>
      <c r="F190" s="133"/>
    </row>
    <row r="191" ht="13.5" customHeight="1">
      <c r="D191" s="131"/>
      <c r="F191" s="133"/>
    </row>
    <row r="192" ht="13.5" customHeight="1">
      <c r="D192" s="131"/>
      <c r="F192" s="133"/>
    </row>
    <row r="193" ht="13.5" customHeight="1">
      <c r="D193" s="131"/>
      <c r="F193" s="133"/>
    </row>
    <row r="194" ht="13.5" customHeight="1">
      <c r="D194" s="131"/>
      <c r="F194" s="133"/>
    </row>
    <row r="195" ht="13.5" customHeight="1">
      <c r="D195" s="131"/>
      <c r="F195" s="133"/>
    </row>
    <row r="196" ht="13.5" customHeight="1">
      <c r="D196" s="131"/>
      <c r="F196" s="133"/>
    </row>
    <row r="197" ht="13.5" customHeight="1">
      <c r="D197" s="131"/>
      <c r="F197" s="133"/>
    </row>
    <row r="198" ht="13.5" customHeight="1">
      <c r="D198" s="131"/>
      <c r="F198" s="133"/>
    </row>
    <row r="199" ht="13.5" customHeight="1">
      <c r="D199" s="131"/>
      <c r="F199" s="133"/>
    </row>
    <row r="200" ht="13.5" customHeight="1">
      <c r="D200" s="131"/>
      <c r="F200" s="133"/>
    </row>
    <row r="201" ht="13.5" customHeight="1">
      <c r="D201" s="131"/>
      <c r="F201" s="133"/>
    </row>
    <row r="202" ht="13.5" customHeight="1">
      <c r="D202" s="131"/>
      <c r="F202" s="133"/>
    </row>
    <row r="203" ht="13.5" customHeight="1">
      <c r="D203" s="131"/>
      <c r="F203" s="133"/>
    </row>
    <row r="204" ht="13.5" customHeight="1">
      <c r="D204" s="131"/>
      <c r="F204" s="133"/>
    </row>
    <row r="205" ht="13.5" customHeight="1">
      <c r="D205" s="131"/>
      <c r="F205" s="133"/>
    </row>
    <row r="206" ht="13.5" customHeight="1">
      <c r="D206" s="131"/>
      <c r="F206" s="133"/>
    </row>
    <row r="207" ht="13.5" customHeight="1">
      <c r="D207" s="131"/>
      <c r="F207" s="133"/>
    </row>
    <row r="208" ht="13.5" customHeight="1">
      <c r="D208" s="131"/>
      <c r="F208" s="133"/>
    </row>
    <row r="209" ht="13.5" customHeight="1">
      <c r="D209" s="131"/>
      <c r="F209" s="133"/>
    </row>
    <row r="210" ht="13.5" customHeight="1">
      <c r="D210" s="131"/>
      <c r="F210" s="133"/>
    </row>
    <row r="211" ht="13.5" customHeight="1">
      <c r="D211" s="131"/>
      <c r="F211" s="133"/>
    </row>
    <row r="212" ht="13.5" customHeight="1">
      <c r="D212" s="131"/>
      <c r="F212" s="133"/>
    </row>
    <row r="213" ht="13.5" customHeight="1">
      <c r="D213" s="131"/>
      <c r="F213" s="133"/>
    </row>
    <row r="214" ht="13.5" customHeight="1">
      <c r="D214" s="131"/>
      <c r="F214" s="133"/>
    </row>
    <row r="215" ht="13.5" customHeight="1">
      <c r="D215" s="131"/>
      <c r="F215" s="133"/>
    </row>
    <row r="216" ht="13.5" customHeight="1">
      <c r="D216" s="131"/>
      <c r="F216" s="133"/>
    </row>
    <row r="217" ht="13.5" customHeight="1">
      <c r="D217" s="131"/>
      <c r="F217" s="133"/>
    </row>
    <row r="218" ht="13.5" customHeight="1">
      <c r="D218" s="131"/>
      <c r="F218" s="133"/>
    </row>
    <row r="219" ht="13.5" customHeight="1">
      <c r="D219" s="131"/>
      <c r="F219" s="133"/>
    </row>
    <row r="220" ht="13.5" customHeight="1">
      <c r="D220" s="131"/>
      <c r="F220" s="133"/>
    </row>
    <row r="221" ht="13.5" customHeight="1">
      <c r="D221" s="131"/>
      <c r="F221" s="133"/>
    </row>
    <row r="222" ht="13.5" customHeight="1">
      <c r="D222" s="131"/>
      <c r="F222" s="133"/>
    </row>
    <row r="223" ht="13.5" customHeight="1">
      <c r="D223" s="131"/>
      <c r="F223" s="133"/>
    </row>
    <row r="224" ht="13.5" customHeight="1">
      <c r="D224" s="131"/>
      <c r="F224" s="133"/>
    </row>
    <row r="225" ht="13.5" customHeight="1">
      <c r="D225" s="131"/>
      <c r="F225" s="133"/>
    </row>
    <row r="226" ht="13.5" customHeight="1">
      <c r="D226" s="131"/>
      <c r="F226" s="133"/>
    </row>
    <row r="227" ht="13.5" customHeight="1">
      <c r="D227" s="131"/>
      <c r="F227" s="133"/>
    </row>
    <row r="228" ht="13.5" customHeight="1">
      <c r="D228" s="131"/>
      <c r="F228" s="133"/>
    </row>
    <row r="229" ht="13.5" customHeight="1">
      <c r="D229" s="131"/>
      <c r="F229" s="133"/>
    </row>
    <row r="230" ht="13.5" customHeight="1">
      <c r="D230" s="131"/>
      <c r="F230" s="133"/>
    </row>
    <row r="231" ht="13.5" customHeight="1">
      <c r="D231" s="131"/>
      <c r="F231" s="133"/>
    </row>
    <row r="232" ht="13.5" customHeight="1">
      <c r="D232" s="131"/>
      <c r="F232" s="133"/>
    </row>
    <row r="233" ht="13.5" customHeight="1">
      <c r="D233" s="131"/>
      <c r="F233" s="133"/>
    </row>
    <row r="234" ht="13.5" customHeight="1">
      <c r="D234" s="131"/>
      <c r="F234" s="133"/>
    </row>
    <row r="235" ht="13.5" customHeight="1">
      <c r="D235" s="131"/>
      <c r="F235" s="133"/>
    </row>
    <row r="236" ht="13.5" customHeight="1">
      <c r="D236" s="131"/>
      <c r="F236" s="133"/>
    </row>
    <row r="237" ht="13.5" customHeight="1">
      <c r="D237" s="131"/>
      <c r="F237" s="133"/>
    </row>
    <row r="238" ht="13.5" customHeight="1">
      <c r="D238" s="131"/>
      <c r="F238" s="133"/>
    </row>
    <row r="239" ht="13.5" customHeight="1">
      <c r="D239" s="131"/>
      <c r="F239" s="133"/>
    </row>
    <row r="240" ht="13.5" customHeight="1">
      <c r="D240" s="131"/>
      <c r="F240" s="133"/>
    </row>
    <row r="241" ht="13.5" customHeight="1">
      <c r="D241" s="131"/>
      <c r="F241" s="133"/>
    </row>
    <row r="242" ht="13.5" customHeight="1">
      <c r="D242" s="131"/>
      <c r="F242" s="133"/>
    </row>
    <row r="243" ht="13.5" customHeight="1">
      <c r="D243" s="131"/>
      <c r="F243" s="133"/>
    </row>
    <row r="244" ht="13.5" customHeight="1">
      <c r="D244" s="131"/>
      <c r="F244" s="133"/>
    </row>
    <row r="245" ht="13.5" customHeight="1">
      <c r="D245" s="131"/>
      <c r="F245" s="133"/>
    </row>
    <row r="246" ht="13.5" customHeight="1">
      <c r="D246" s="131"/>
      <c r="F246" s="133"/>
    </row>
    <row r="247" ht="13.5" customHeight="1">
      <c r="D247" s="131"/>
      <c r="F247" s="133"/>
    </row>
    <row r="248" ht="13.5" customHeight="1">
      <c r="D248" s="131"/>
      <c r="F248" s="133"/>
    </row>
    <row r="249" ht="13.5" customHeight="1">
      <c r="D249" s="131"/>
      <c r="F249" s="133"/>
    </row>
    <row r="250" ht="13.5" customHeight="1">
      <c r="D250" s="131"/>
      <c r="F250" s="133"/>
    </row>
    <row r="251" ht="13.5" customHeight="1">
      <c r="D251" s="131"/>
      <c r="F251" s="133"/>
    </row>
    <row r="252" ht="13.5" customHeight="1">
      <c r="D252" s="131"/>
      <c r="F252" s="133"/>
    </row>
    <row r="253" ht="13.5" customHeight="1">
      <c r="D253" s="131"/>
      <c r="F253" s="133"/>
    </row>
    <row r="254" ht="13.5" customHeight="1">
      <c r="D254" s="131"/>
      <c r="F254" s="133"/>
    </row>
    <row r="255" ht="13.5" customHeight="1">
      <c r="D255" s="131"/>
      <c r="F255" s="133"/>
    </row>
    <row r="256" ht="13.5" customHeight="1">
      <c r="D256" s="131"/>
      <c r="F256" s="133"/>
    </row>
    <row r="257" ht="13.5" customHeight="1">
      <c r="D257" s="131"/>
      <c r="F257" s="133"/>
    </row>
    <row r="258" ht="13.5" customHeight="1">
      <c r="D258" s="131"/>
      <c r="F258" s="133"/>
    </row>
    <row r="259" ht="13.5" customHeight="1">
      <c r="D259" s="131"/>
      <c r="F259" s="133"/>
    </row>
    <row r="260" ht="13.5" customHeight="1">
      <c r="D260" s="131"/>
      <c r="F260" s="133"/>
    </row>
    <row r="261" ht="13.5" customHeight="1">
      <c r="D261" s="131"/>
      <c r="F261" s="133"/>
    </row>
    <row r="262" ht="13.5" customHeight="1">
      <c r="D262" s="131"/>
      <c r="F262" s="133"/>
    </row>
    <row r="263" ht="13.5" customHeight="1">
      <c r="D263" s="131"/>
      <c r="F263" s="133"/>
    </row>
    <row r="264" ht="13.5" customHeight="1">
      <c r="D264" s="131"/>
      <c r="F264" s="133"/>
    </row>
    <row r="265" ht="13.5" customHeight="1">
      <c r="D265" s="131"/>
      <c r="F265" s="133"/>
    </row>
    <row r="266" ht="13.5" customHeight="1">
      <c r="D266" s="131"/>
      <c r="F266" s="133"/>
    </row>
    <row r="267" ht="13.5" customHeight="1">
      <c r="D267" s="131"/>
      <c r="F267" s="133"/>
    </row>
    <row r="268" ht="13.5" customHeight="1">
      <c r="D268" s="131"/>
      <c r="F268" s="133"/>
    </row>
    <row r="269" ht="13.5" customHeight="1">
      <c r="D269" s="131"/>
      <c r="F269" s="133"/>
    </row>
    <row r="270" ht="13.5" customHeight="1">
      <c r="D270" s="131"/>
      <c r="F270" s="133"/>
    </row>
    <row r="271" ht="13.5" customHeight="1">
      <c r="D271" s="131"/>
      <c r="F271" s="133"/>
    </row>
    <row r="272" ht="13.5" customHeight="1">
      <c r="D272" s="131"/>
      <c r="F272" s="133"/>
    </row>
    <row r="273" ht="13.5" customHeight="1">
      <c r="D273" s="131"/>
      <c r="F273" s="133"/>
    </row>
    <row r="274" ht="13.5" customHeight="1">
      <c r="D274" s="131"/>
      <c r="F274" s="133"/>
    </row>
    <row r="275" ht="13.5" customHeight="1">
      <c r="D275" s="131"/>
      <c r="F275" s="133"/>
    </row>
    <row r="276" ht="13.5" customHeight="1">
      <c r="D276" s="131"/>
      <c r="F276" s="133"/>
    </row>
    <row r="277" ht="13.5" customHeight="1">
      <c r="D277" s="131"/>
      <c r="F277" s="133"/>
    </row>
    <row r="278" ht="13.5" customHeight="1">
      <c r="D278" s="131"/>
      <c r="F278" s="133"/>
    </row>
    <row r="279" ht="13.5" customHeight="1">
      <c r="D279" s="131"/>
      <c r="F279" s="133"/>
    </row>
    <row r="280" ht="13.5" customHeight="1">
      <c r="D280" s="131"/>
      <c r="F280" s="133"/>
    </row>
    <row r="281" ht="13.5" customHeight="1">
      <c r="D281" s="131"/>
      <c r="F281" s="133"/>
    </row>
    <row r="282" ht="13.5" customHeight="1">
      <c r="D282" s="131"/>
      <c r="F282" s="133"/>
    </row>
    <row r="283" ht="13.5" customHeight="1">
      <c r="D283" s="131"/>
      <c r="F283" s="133"/>
    </row>
    <row r="284" ht="13.5" customHeight="1">
      <c r="D284" s="131"/>
      <c r="F284" s="133"/>
    </row>
    <row r="285" ht="13.5" customHeight="1">
      <c r="D285" s="131"/>
      <c r="F285" s="133"/>
    </row>
    <row r="286" ht="13.5" customHeight="1">
      <c r="D286" s="131"/>
      <c r="F286" s="133"/>
    </row>
    <row r="287" ht="13.5" customHeight="1">
      <c r="D287" s="131"/>
      <c r="F287" s="133"/>
    </row>
    <row r="288" ht="13.5" customHeight="1">
      <c r="D288" s="131"/>
      <c r="F288" s="133"/>
    </row>
    <row r="289" ht="13.5" customHeight="1">
      <c r="D289" s="131"/>
      <c r="F289" s="133"/>
    </row>
    <row r="290" ht="13.5" customHeight="1">
      <c r="D290" s="131"/>
      <c r="F290" s="133"/>
    </row>
    <row r="291" ht="13.5" customHeight="1">
      <c r="D291" s="131"/>
      <c r="F291" s="133"/>
    </row>
    <row r="292" ht="13.5" customHeight="1">
      <c r="D292" s="131"/>
      <c r="F292" s="133"/>
    </row>
    <row r="293" ht="13.5" customHeight="1">
      <c r="D293" s="131"/>
      <c r="F293" s="133"/>
    </row>
    <row r="294" ht="13.5" customHeight="1">
      <c r="D294" s="131"/>
      <c r="F294" s="133"/>
    </row>
    <row r="295" ht="13.5" customHeight="1">
      <c r="D295" s="131"/>
      <c r="F295" s="133"/>
    </row>
    <row r="296" ht="13.5" customHeight="1">
      <c r="D296" s="131"/>
      <c r="F296" s="133"/>
    </row>
    <row r="297" ht="13.5" customHeight="1">
      <c r="D297" s="131"/>
      <c r="F297" s="133"/>
    </row>
    <row r="298" ht="13.5" customHeight="1">
      <c r="D298" s="131"/>
      <c r="F298" s="133"/>
    </row>
    <row r="299" ht="13.5" customHeight="1">
      <c r="D299" s="131"/>
      <c r="F299" s="133"/>
    </row>
    <row r="300" ht="13.5" customHeight="1">
      <c r="D300" s="131"/>
      <c r="F300" s="133"/>
    </row>
    <row r="301" ht="13.5" customHeight="1">
      <c r="D301" s="131"/>
      <c r="F301" s="133"/>
    </row>
    <row r="302" ht="13.5" customHeight="1">
      <c r="D302" s="131"/>
      <c r="F302" s="133"/>
    </row>
    <row r="303" ht="13.5" customHeight="1">
      <c r="D303" s="131"/>
      <c r="F303" s="133"/>
    </row>
    <row r="304" ht="13.5" customHeight="1">
      <c r="D304" s="131"/>
      <c r="F304" s="133"/>
    </row>
    <row r="305" ht="13.5" customHeight="1">
      <c r="D305" s="131"/>
      <c r="F305" s="133"/>
    </row>
    <row r="306" ht="13.5" customHeight="1">
      <c r="D306" s="131"/>
      <c r="F306" s="133"/>
    </row>
    <row r="307" ht="13.5" customHeight="1">
      <c r="D307" s="131"/>
      <c r="F307" s="133"/>
    </row>
    <row r="308" ht="13.5" customHeight="1">
      <c r="D308" s="131"/>
      <c r="F308" s="133"/>
    </row>
    <row r="309" ht="13.5" customHeight="1">
      <c r="D309" s="131"/>
      <c r="F309" s="133"/>
    </row>
    <row r="310" ht="13.5" customHeight="1">
      <c r="D310" s="131"/>
      <c r="F310" s="133"/>
    </row>
    <row r="311" ht="13.5" customHeight="1">
      <c r="D311" s="131"/>
      <c r="F311" s="133"/>
    </row>
    <row r="312" ht="13.5" customHeight="1">
      <c r="D312" s="131"/>
      <c r="F312" s="133"/>
    </row>
    <row r="313" ht="13.5" customHeight="1">
      <c r="D313" s="131"/>
      <c r="F313" s="133"/>
    </row>
    <row r="314" ht="13.5" customHeight="1">
      <c r="D314" s="131"/>
      <c r="F314" s="133"/>
    </row>
    <row r="315" ht="13.5" customHeight="1">
      <c r="D315" s="131"/>
      <c r="F315" s="133"/>
    </row>
    <row r="316" ht="13.5" customHeight="1">
      <c r="D316" s="131"/>
      <c r="F316" s="133"/>
    </row>
    <row r="317" ht="13.5" customHeight="1">
      <c r="D317" s="131"/>
      <c r="F317" s="133"/>
    </row>
    <row r="318" ht="13.5" customHeight="1">
      <c r="D318" s="131"/>
      <c r="F318" s="133"/>
    </row>
    <row r="319" ht="13.5" customHeight="1">
      <c r="D319" s="131"/>
      <c r="F319" s="133"/>
    </row>
    <row r="320" ht="13.5" customHeight="1">
      <c r="D320" s="131"/>
      <c r="F320" s="133"/>
    </row>
    <row r="321" ht="13.5" customHeight="1">
      <c r="D321" s="131"/>
      <c r="F321" s="133"/>
    </row>
    <row r="322" ht="13.5" customHeight="1">
      <c r="D322" s="131"/>
      <c r="F322" s="133"/>
    </row>
    <row r="323" ht="13.5" customHeight="1">
      <c r="D323" s="131"/>
      <c r="F323" s="133"/>
    </row>
    <row r="324" ht="13.5" customHeight="1">
      <c r="D324" s="131"/>
      <c r="F324" s="133"/>
    </row>
    <row r="325" ht="13.5" customHeight="1">
      <c r="D325" s="131"/>
      <c r="F325" s="133"/>
    </row>
    <row r="326" ht="13.5" customHeight="1">
      <c r="D326" s="131"/>
      <c r="F326" s="133"/>
    </row>
    <row r="327" ht="13.5" customHeight="1">
      <c r="D327" s="131"/>
      <c r="F327" s="133"/>
    </row>
    <row r="328" ht="13.5" customHeight="1">
      <c r="D328" s="131"/>
      <c r="F328" s="133"/>
    </row>
    <row r="329" ht="13.5" customHeight="1">
      <c r="D329" s="131"/>
      <c r="F329" s="133"/>
    </row>
    <row r="330" ht="13.5" customHeight="1">
      <c r="D330" s="131"/>
      <c r="F330" s="133"/>
    </row>
    <row r="331" ht="13.5" customHeight="1">
      <c r="D331" s="131"/>
      <c r="F331" s="133"/>
    </row>
    <row r="332" ht="13.5" customHeight="1">
      <c r="D332" s="131"/>
      <c r="F332" s="133"/>
    </row>
    <row r="333" ht="13.5" customHeight="1">
      <c r="D333" s="131"/>
      <c r="F333" s="133"/>
    </row>
    <row r="334" ht="13.5" customHeight="1">
      <c r="D334" s="131"/>
      <c r="F334" s="133"/>
    </row>
    <row r="335" ht="13.5" customHeight="1">
      <c r="D335" s="131"/>
      <c r="F335" s="133"/>
    </row>
    <row r="336" ht="13.5" customHeight="1">
      <c r="D336" s="131"/>
      <c r="F336" s="133"/>
    </row>
    <row r="337" ht="13.5" customHeight="1">
      <c r="D337" s="131"/>
      <c r="F337" s="133"/>
    </row>
    <row r="338" ht="13.5" customHeight="1">
      <c r="D338" s="131"/>
      <c r="F338" s="133"/>
    </row>
    <row r="339" ht="13.5" customHeight="1">
      <c r="D339" s="131"/>
      <c r="F339" s="133"/>
    </row>
    <row r="340" ht="13.5" customHeight="1">
      <c r="D340" s="131"/>
      <c r="F340" s="133"/>
    </row>
    <row r="341" ht="13.5" customHeight="1">
      <c r="D341" s="131"/>
      <c r="F341" s="133"/>
    </row>
    <row r="342" ht="13.5" customHeight="1">
      <c r="D342" s="131"/>
      <c r="F342" s="133"/>
    </row>
    <row r="343" ht="13.5" customHeight="1">
      <c r="D343" s="131"/>
      <c r="F343" s="133"/>
    </row>
    <row r="344" ht="13.5" customHeight="1">
      <c r="D344" s="131"/>
      <c r="F344" s="133"/>
    </row>
    <row r="345" ht="13.5" customHeight="1">
      <c r="D345" s="131"/>
      <c r="F345" s="133"/>
    </row>
    <row r="346" ht="13.5" customHeight="1">
      <c r="D346" s="131"/>
      <c r="F346" s="133"/>
    </row>
    <row r="347" ht="13.5" customHeight="1">
      <c r="D347" s="131"/>
      <c r="F347" s="133"/>
    </row>
    <row r="348" ht="13.5" customHeight="1">
      <c r="D348" s="131"/>
      <c r="F348" s="133"/>
    </row>
    <row r="349" ht="13.5" customHeight="1">
      <c r="D349" s="131"/>
      <c r="F349" s="133"/>
    </row>
    <row r="350" ht="13.5" customHeight="1">
      <c r="D350" s="131"/>
      <c r="F350" s="133"/>
    </row>
    <row r="351" ht="13.5" customHeight="1">
      <c r="D351" s="131"/>
      <c r="F351" s="133"/>
    </row>
    <row r="352" ht="13.5" customHeight="1">
      <c r="D352" s="131"/>
      <c r="F352" s="133"/>
    </row>
    <row r="353" ht="13.5" customHeight="1">
      <c r="D353" s="131"/>
      <c r="F353" s="133"/>
    </row>
    <row r="354" ht="13.5" customHeight="1">
      <c r="D354" s="131"/>
      <c r="F354" s="133"/>
    </row>
    <row r="355" ht="13.5" customHeight="1">
      <c r="D355" s="131"/>
      <c r="F355" s="133"/>
    </row>
    <row r="356" ht="13.5" customHeight="1">
      <c r="D356" s="131"/>
      <c r="F356" s="133"/>
    </row>
    <row r="357" ht="13.5" customHeight="1">
      <c r="D357" s="131"/>
      <c r="F357" s="133"/>
    </row>
    <row r="358" ht="13.5" customHeight="1">
      <c r="D358" s="131"/>
      <c r="F358" s="133"/>
    </row>
    <row r="359" ht="13.5" customHeight="1">
      <c r="D359" s="131"/>
      <c r="F359" s="133"/>
    </row>
    <row r="360" ht="13.5" customHeight="1">
      <c r="D360" s="131"/>
      <c r="F360" s="133"/>
    </row>
    <row r="361" ht="13.5" customHeight="1">
      <c r="D361" s="131"/>
      <c r="F361" s="133"/>
    </row>
    <row r="362" ht="13.5" customHeight="1">
      <c r="D362" s="131"/>
      <c r="F362" s="133"/>
    </row>
    <row r="363" ht="13.5" customHeight="1">
      <c r="D363" s="131"/>
      <c r="F363" s="133"/>
    </row>
    <row r="364" ht="13.5" customHeight="1">
      <c r="D364" s="131"/>
      <c r="F364" s="133"/>
    </row>
    <row r="365" ht="13.5" customHeight="1">
      <c r="D365" s="131"/>
      <c r="F365" s="133"/>
    </row>
    <row r="366" ht="13.5" customHeight="1">
      <c r="D366" s="131"/>
      <c r="F366" s="133"/>
    </row>
    <row r="367" ht="13.5" customHeight="1">
      <c r="D367" s="131"/>
      <c r="F367" s="133"/>
    </row>
    <row r="368" ht="13.5" customHeight="1">
      <c r="D368" s="131"/>
      <c r="F368" s="133"/>
    </row>
    <row r="369" ht="13.5" customHeight="1">
      <c r="D369" s="131"/>
      <c r="F369" s="133"/>
    </row>
    <row r="370" ht="13.5" customHeight="1">
      <c r="D370" s="131"/>
      <c r="F370" s="133"/>
    </row>
    <row r="371" ht="13.5" customHeight="1">
      <c r="D371" s="131"/>
      <c r="F371" s="133"/>
    </row>
    <row r="372" ht="13.5" customHeight="1">
      <c r="D372" s="131"/>
      <c r="F372" s="133"/>
    </row>
    <row r="373" ht="13.5" customHeight="1">
      <c r="D373" s="131"/>
      <c r="F373" s="133"/>
    </row>
    <row r="374" ht="13.5" customHeight="1">
      <c r="D374" s="131"/>
      <c r="F374" s="133"/>
    </row>
    <row r="375" ht="13.5" customHeight="1">
      <c r="D375" s="131"/>
      <c r="F375" s="133"/>
    </row>
    <row r="376" ht="13.5" customHeight="1">
      <c r="D376" s="131"/>
      <c r="F376" s="133"/>
    </row>
    <row r="377" ht="13.5" customHeight="1">
      <c r="D377" s="131"/>
      <c r="F377" s="133"/>
    </row>
    <row r="378" ht="13.5" customHeight="1">
      <c r="D378" s="131"/>
      <c r="F378" s="133"/>
    </row>
    <row r="379" ht="13.5" customHeight="1">
      <c r="D379" s="131"/>
      <c r="F379" s="133"/>
    </row>
    <row r="380" ht="13.5" customHeight="1">
      <c r="D380" s="131"/>
      <c r="F380" s="133"/>
    </row>
    <row r="381" ht="13.5" customHeight="1">
      <c r="D381" s="131"/>
      <c r="F381" s="133"/>
    </row>
    <row r="382" ht="13.5" customHeight="1">
      <c r="D382" s="131"/>
      <c r="F382" s="133"/>
    </row>
    <row r="383" ht="13.5" customHeight="1">
      <c r="D383" s="131"/>
      <c r="F383" s="133"/>
    </row>
    <row r="384" ht="13.5" customHeight="1">
      <c r="D384" s="131"/>
      <c r="F384" s="133"/>
    </row>
    <row r="385" ht="13.5" customHeight="1">
      <c r="D385" s="131"/>
      <c r="F385" s="133"/>
    </row>
    <row r="386" ht="13.5" customHeight="1">
      <c r="D386" s="131"/>
      <c r="F386" s="133"/>
    </row>
    <row r="387" ht="13.5" customHeight="1">
      <c r="D387" s="131"/>
      <c r="F387" s="133"/>
    </row>
    <row r="388" ht="13.5" customHeight="1">
      <c r="D388" s="131"/>
      <c r="F388" s="133"/>
    </row>
    <row r="389" ht="13.5" customHeight="1">
      <c r="D389" s="131"/>
      <c r="F389" s="133"/>
    </row>
    <row r="390" ht="13.5" customHeight="1">
      <c r="D390" s="131"/>
      <c r="F390" s="133"/>
    </row>
    <row r="391" ht="13.5" customHeight="1">
      <c r="D391" s="131"/>
      <c r="F391" s="133"/>
    </row>
    <row r="392" ht="13.5" customHeight="1">
      <c r="D392" s="131"/>
      <c r="F392" s="133"/>
    </row>
    <row r="393" ht="13.5" customHeight="1">
      <c r="D393" s="131"/>
      <c r="F393" s="133"/>
    </row>
    <row r="394" ht="13.5" customHeight="1">
      <c r="D394" s="131"/>
      <c r="F394" s="133"/>
    </row>
    <row r="395" ht="13.5" customHeight="1">
      <c r="D395" s="131"/>
      <c r="F395" s="133"/>
    </row>
    <row r="396" ht="13.5" customHeight="1">
      <c r="D396" s="131"/>
      <c r="F396" s="133"/>
    </row>
    <row r="397" ht="13.5" customHeight="1">
      <c r="D397" s="131"/>
      <c r="F397" s="133"/>
    </row>
    <row r="398" ht="13.5" customHeight="1">
      <c r="D398" s="131"/>
      <c r="F398" s="133"/>
    </row>
    <row r="399" ht="13.5" customHeight="1">
      <c r="D399" s="131"/>
      <c r="F399" s="133"/>
    </row>
    <row r="400" ht="13.5" customHeight="1">
      <c r="D400" s="131"/>
      <c r="F400" s="133"/>
    </row>
    <row r="401" ht="13.5" customHeight="1">
      <c r="D401" s="131"/>
      <c r="F401" s="133"/>
    </row>
    <row r="402" ht="13.5" customHeight="1">
      <c r="D402" s="131"/>
      <c r="F402" s="133"/>
    </row>
    <row r="403" ht="13.5" customHeight="1">
      <c r="D403" s="131"/>
      <c r="F403" s="133"/>
    </row>
    <row r="404" ht="13.5" customHeight="1">
      <c r="D404" s="131"/>
      <c r="F404" s="133"/>
    </row>
    <row r="405" ht="13.5" customHeight="1">
      <c r="D405" s="131"/>
      <c r="F405" s="133"/>
    </row>
    <row r="406" ht="13.5" customHeight="1">
      <c r="D406" s="131"/>
      <c r="F406" s="133"/>
    </row>
    <row r="407" ht="13.5" customHeight="1">
      <c r="D407" s="131"/>
      <c r="F407" s="133"/>
    </row>
    <row r="408" ht="13.5" customHeight="1">
      <c r="D408" s="131"/>
      <c r="F408" s="133"/>
    </row>
    <row r="409" ht="13.5" customHeight="1">
      <c r="D409" s="131"/>
      <c r="F409" s="133"/>
    </row>
    <row r="410" ht="13.5" customHeight="1">
      <c r="D410" s="131"/>
      <c r="F410" s="133"/>
    </row>
    <row r="411" ht="13.5" customHeight="1">
      <c r="D411" s="131"/>
      <c r="F411" s="133"/>
    </row>
    <row r="412" ht="13.5" customHeight="1">
      <c r="D412" s="131"/>
      <c r="F412" s="133"/>
    </row>
    <row r="413" ht="13.5" customHeight="1">
      <c r="D413" s="131"/>
      <c r="F413" s="133"/>
    </row>
    <row r="414" ht="13.5" customHeight="1">
      <c r="D414" s="131"/>
      <c r="F414" s="133"/>
    </row>
    <row r="415" ht="13.5" customHeight="1">
      <c r="D415" s="131"/>
      <c r="F415" s="133"/>
    </row>
    <row r="416" ht="13.5" customHeight="1">
      <c r="D416" s="131"/>
      <c r="F416" s="133"/>
    </row>
    <row r="417" ht="13.5" customHeight="1">
      <c r="D417" s="131"/>
      <c r="F417" s="133"/>
    </row>
    <row r="418" ht="13.5" customHeight="1">
      <c r="D418" s="131"/>
      <c r="F418" s="133"/>
    </row>
    <row r="419" ht="13.5" customHeight="1">
      <c r="D419" s="131"/>
      <c r="F419" s="133"/>
    </row>
    <row r="420" ht="13.5" customHeight="1">
      <c r="D420" s="131"/>
      <c r="F420" s="133"/>
    </row>
    <row r="421" ht="13.5" customHeight="1">
      <c r="D421" s="131"/>
      <c r="F421" s="133"/>
    </row>
    <row r="422" ht="13.5" customHeight="1">
      <c r="D422" s="131"/>
      <c r="F422" s="133"/>
    </row>
    <row r="423" ht="13.5" customHeight="1">
      <c r="D423" s="131"/>
      <c r="F423" s="133"/>
    </row>
    <row r="424" ht="13.5" customHeight="1">
      <c r="D424" s="131"/>
      <c r="F424" s="133"/>
    </row>
    <row r="425" ht="13.5" customHeight="1">
      <c r="D425" s="131"/>
      <c r="F425" s="133"/>
    </row>
    <row r="426" ht="13.5" customHeight="1">
      <c r="D426" s="131"/>
      <c r="F426" s="133"/>
    </row>
    <row r="427" ht="13.5" customHeight="1">
      <c r="D427" s="131"/>
      <c r="F427" s="133"/>
    </row>
    <row r="428" ht="13.5" customHeight="1">
      <c r="D428" s="131"/>
      <c r="F428" s="133"/>
    </row>
    <row r="429" ht="13.5" customHeight="1">
      <c r="D429" s="131"/>
      <c r="F429" s="133"/>
    </row>
    <row r="430" ht="13.5" customHeight="1">
      <c r="D430" s="131"/>
      <c r="F430" s="133"/>
    </row>
    <row r="431" ht="13.5" customHeight="1">
      <c r="D431" s="131"/>
      <c r="F431" s="133"/>
    </row>
    <row r="432" ht="13.5" customHeight="1">
      <c r="D432" s="131"/>
      <c r="F432" s="133"/>
    </row>
    <row r="433" ht="13.5" customHeight="1">
      <c r="D433" s="131"/>
      <c r="F433" s="133"/>
    </row>
    <row r="434" ht="13.5" customHeight="1">
      <c r="D434" s="131"/>
      <c r="F434" s="133"/>
    </row>
    <row r="435" ht="13.5" customHeight="1">
      <c r="D435" s="131"/>
      <c r="F435" s="133"/>
    </row>
    <row r="436" ht="13.5" customHeight="1">
      <c r="D436" s="131"/>
      <c r="F436" s="133"/>
    </row>
    <row r="437" ht="13.5" customHeight="1">
      <c r="D437" s="131"/>
      <c r="F437" s="133"/>
    </row>
    <row r="438" ht="13.5" customHeight="1">
      <c r="D438" s="131"/>
      <c r="F438" s="133"/>
    </row>
    <row r="439" ht="13.5" customHeight="1">
      <c r="D439" s="131"/>
      <c r="F439" s="133"/>
    </row>
    <row r="440" ht="13.5" customHeight="1">
      <c r="D440" s="131"/>
      <c r="F440" s="133"/>
    </row>
    <row r="441" ht="13.5" customHeight="1">
      <c r="D441" s="131"/>
      <c r="F441" s="133"/>
    </row>
    <row r="442" ht="13.5" customHeight="1">
      <c r="D442" s="131"/>
      <c r="F442" s="133"/>
    </row>
    <row r="443" ht="13.5" customHeight="1">
      <c r="D443" s="131"/>
      <c r="F443" s="133"/>
    </row>
    <row r="444" ht="13.5" customHeight="1">
      <c r="D444" s="131"/>
      <c r="F444" s="133"/>
    </row>
    <row r="445" ht="13.5" customHeight="1">
      <c r="D445" s="131"/>
      <c r="F445" s="133"/>
    </row>
    <row r="446" ht="13.5" customHeight="1">
      <c r="D446" s="131"/>
      <c r="F446" s="133"/>
    </row>
    <row r="447" ht="13.5" customHeight="1">
      <c r="D447" s="131"/>
      <c r="F447" s="133"/>
    </row>
    <row r="448" ht="13.5" customHeight="1">
      <c r="D448" s="131"/>
      <c r="F448" s="133"/>
    </row>
    <row r="449" ht="13.5" customHeight="1">
      <c r="D449" s="131"/>
      <c r="F449" s="133"/>
    </row>
    <row r="450" ht="13.5" customHeight="1">
      <c r="D450" s="131"/>
      <c r="F450" s="133"/>
    </row>
    <row r="451" ht="13.5" customHeight="1">
      <c r="D451" s="131"/>
      <c r="F451" s="133"/>
    </row>
    <row r="452" ht="13.5" customHeight="1">
      <c r="D452" s="131"/>
      <c r="F452" s="133"/>
    </row>
    <row r="453" ht="13.5" customHeight="1">
      <c r="D453" s="131"/>
      <c r="F453" s="133"/>
    </row>
    <row r="454" ht="13.5" customHeight="1">
      <c r="D454" s="131"/>
      <c r="F454" s="133"/>
    </row>
    <row r="455" ht="13.5" customHeight="1">
      <c r="D455" s="131"/>
      <c r="F455" s="133"/>
    </row>
    <row r="456" ht="13.5" customHeight="1">
      <c r="D456" s="131"/>
      <c r="F456" s="133"/>
    </row>
    <row r="457" ht="13.5" customHeight="1">
      <c r="D457" s="131"/>
      <c r="F457" s="133"/>
    </row>
    <row r="458" ht="13.5" customHeight="1">
      <c r="D458" s="131"/>
      <c r="F458" s="133"/>
    </row>
    <row r="459" ht="13.5" customHeight="1">
      <c r="D459" s="131"/>
      <c r="F459" s="133"/>
    </row>
    <row r="460" ht="13.5" customHeight="1">
      <c r="D460" s="131"/>
      <c r="F460" s="133"/>
    </row>
    <row r="461" ht="13.5" customHeight="1">
      <c r="D461" s="131"/>
      <c r="F461" s="133"/>
    </row>
    <row r="462" ht="13.5" customHeight="1">
      <c r="D462" s="131"/>
      <c r="F462" s="133"/>
    </row>
    <row r="463" ht="13.5" customHeight="1">
      <c r="D463" s="131"/>
      <c r="F463" s="133"/>
    </row>
    <row r="464" ht="13.5" customHeight="1">
      <c r="D464" s="131"/>
      <c r="F464" s="133"/>
    </row>
    <row r="465" ht="13.5" customHeight="1">
      <c r="D465" s="131"/>
      <c r="F465" s="133"/>
    </row>
    <row r="466" ht="13.5" customHeight="1">
      <c r="D466" s="131"/>
      <c r="F466" s="133"/>
    </row>
    <row r="467" ht="13.5" customHeight="1">
      <c r="D467" s="131"/>
      <c r="F467" s="133"/>
    </row>
    <row r="468" ht="13.5" customHeight="1">
      <c r="D468" s="131"/>
      <c r="F468" s="133"/>
    </row>
    <row r="469" ht="13.5" customHeight="1">
      <c r="D469" s="131"/>
      <c r="F469" s="133"/>
    </row>
    <row r="470" ht="13.5" customHeight="1">
      <c r="D470" s="131"/>
      <c r="F470" s="133"/>
    </row>
    <row r="471" ht="13.5" customHeight="1">
      <c r="D471" s="131"/>
      <c r="F471" s="133"/>
    </row>
    <row r="472" ht="13.5" customHeight="1">
      <c r="D472" s="131"/>
      <c r="F472" s="133"/>
    </row>
    <row r="473" ht="13.5" customHeight="1">
      <c r="D473" s="131"/>
      <c r="F473" s="133"/>
    </row>
    <row r="474" ht="13.5" customHeight="1">
      <c r="D474" s="131"/>
      <c r="F474" s="133"/>
    </row>
    <row r="475" ht="13.5" customHeight="1">
      <c r="D475" s="131"/>
      <c r="F475" s="133"/>
    </row>
    <row r="476" ht="13.5" customHeight="1">
      <c r="D476" s="131"/>
      <c r="F476" s="133"/>
    </row>
    <row r="477" ht="13.5" customHeight="1">
      <c r="D477" s="131"/>
      <c r="F477" s="133"/>
    </row>
    <row r="478" ht="13.5" customHeight="1">
      <c r="D478" s="131"/>
      <c r="F478" s="133"/>
    </row>
    <row r="479" ht="13.5" customHeight="1">
      <c r="D479" s="131"/>
      <c r="F479" s="133"/>
    </row>
    <row r="480" ht="13.5" customHeight="1">
      <c r="D480" s="131"/>
      <c r="F480" s="133"/>
    </row>
    <row r="481" ht="13.5" customHeight="1">
      <c r="D481" s="131"/>
      <c r="F481" s="133"/>
    </row>
    <row r="482" ht="13.5" customHeight="1">
      <c r="D482" s="131"/>
      <c r="F482" s="133"/>
    </row>
    <row r="483" ht="13.5" customHeight="1">
      <c r="D483" s="131"/>
      <c r="F483" s="133"/>
    </row>
    <row r="484" ht="13.5" customHeight="1">
      <c r="D484" s="131"/>
      <c r="F484" s="133"/>
    </row>
    <row r="485" ht="13.5" customHeight="1">
      <c r="D485" s="131"/>
      <c r="F485" s="133"/>
    </row>
    <row r="486" ht="13.5" customHeight="1">
      <c r="D486" s="131"/>
      <c r="F486" s="133"/>
    </row>
    <row r="487" ht="13.5" customHeight="1">
      <c r="D487" s="131"/>
      <c r="F487" s="133"/>
    </row>
    <row r="488" ht="13.5" customHeight="1">
      <c r="D488" s="131"/>
      <c r="F488" s="133"/>
    </row>
    <row r="489" ht="13.5" customHeight="1">
      <c r="D489" s="131"/>
      <c r="F489" s="133"/>
    </row>
    <row r="490" ht="13.5" customHeight="1">
      <c r="D490" s="131"/>
      <c r="F490" s="133"/>
    </row>
    <row r="491" ht="13.5" customHeight="1">
      <c r="D491" s="131"/>
      <c r="F491" s="133"/>
    </row>
    <row r="492" ht="13.5" customHeight="1">
      <c r="D492" s="131"/>
      <c r="F492" s="133"/>
    </row>
    <row r="493" ht="13.5" customHeight="1">
      <c r="D493" s="131"/>
      <c r="F493" s="133"/>
    </row>
    <row r="494" ht="13.5" customHeight="1">
      <c r="D494" s="131"/>
      <c r="F494" s="133"/>
    </row>
    <row r="495" ht="13.5" customHeight="1">
      <c r="D495" s="131"/>
      <c r="F495" s="133"/>
    </row>
    <row r="496" ht="13.5" customHeight="1">
      <c r="D496" s="131"/>
      <c r="F496" s="133"/>
    </row>
    <row r="497" ht="13.5" customHeight="1">
      <c r="D497" s="131"/>
      <c r="F497" s="133"/>
    </row>
    <row r="498" ht="13.5" customHeight="1">
      <c r="D498" s="131"/>
      <c r="F498" s="133"/>
    </row>
    <row r="499" ht="13.5" customHeight="1">
      <c r="D499" s="131"/>
      <c r="F499" s="133"/>
    </row>
    <row r="500" ht="13.5" customHeight="1">
      <c r="D500" s="131"/>
      <c r="F500" s="133"/>
    </row>
    <row r="501" ht="13.5" customHeight="1">
      <c r="D501" s="131"/>
      <c r="F501" s="133"/>
    </row>
    <row r="502" ht="13.5" customHeight="1">
      <c r="D502" s="131"/>
      <c r="F502" s="133"/>
    </row>
    <row r="503" ht="13.5" customHeight="1">
      <c r="D503" s="131"/>
      <c r="F503" s="133"/>
    </row>
    <row r="504" ht="13.5" customHeight="1">
      <c r="D504" s="131"/>
      <c r="F504" s="133"/>
    </row>
    <row r="505" ht="13.5" customHeight="1">
      <c r="D505" s="131"/>
      <c r="F505" s="133"/>
    </row>
    <row r="506" ht="13.5" customHeight="1">
      <c r="D506" s="131"/>
      <c r="F506" s="133"/>
    </row>
    <row r="507" ht="13.5" customHeight="1">
      <c r="D507" s="131"/>
      <c r="F507" s="133"/>
    </row>
    <row r="508" ht="13.5" customHeight="1">
      <c r="D508" s="131"/>
      <c r="F508" s="133"/>
    </row>
    <row r="509" ht="13.5" customHeight="1">
      <c r="D509" s="131"/>
      <c r="F509" s="133"/>
    </row>
    <row r="510" ht="13.5" customHeight="1">
      <c r="D510" s="131"/>
      <c r="F510" s="133"/>
    </row>
    <row r="511" ht="13.5" customHeight="1">
      <c r="D511" s="131"/>
      <c r="F511" s="133"/>
    </row>
    <row r="512" ht="13.5" customHeight="1">
      <c r="D512" s="131"/>
      <c r="F512" s="133"/>
    </row>
    <row r="513" ht="13.5" customHeight="1">
      <c r="D513" s="131"/>
      <c r="F513" s="133"/>
    </row>
    <row r="514" ht="13.5" customHeight="1">
      <c r="D514" s="131"/>
      <c r="F514" s="133"/>
    </row>
    <row r="515" ht="13.5" customHeight="1">
      <c r="D515" s="131"/>
      <c r="F515" s="133"/>
    </row>
    <row r="516" ht="13.5" customHeight="1">
      <c r="D516" s="131"/>
      <c r="F516" s="133"/>
    </row>
    <row r="517" ht="13.5" customHeight="1">
      <c r="D517" s="131"/>
      <c r="F517" s="133"/>
    </row>
    <row r="518" ht="13.5" customHeight="1">
      <c r="D518" s="131"/>
      <c r="F518" s="133"/>
    </row>
    <row r="519" ht="13.5" customHeight="1">
      <c r="D519" s="131"/>
      <c r="F519" s="133"/>
    </row>
    <row r="520" ht="13.5" customHeight="1">
      <c r="D520" s="131"/>
      <c r="F520" s="133"/>
    </row>
    <row r="521" ht="13.5" customHeight="1">
      <c r="D521" s="131"/>
      <c r="F521" s="133"/>
    </row>
    <row r="522" ht="13.5" customHeight="1">
      <c r="D522" s="131"/>
      <c r="F522" s="133"/>
    </row>
    <row r="523" ht="13.5" customHeight="1">
      <c r="D523" s="131"/>
      <c r="F523" s="133"/>
    </row>
    <row r="524" ht="13.5" customHeight="1">
      <c r="D524" s="131"/>
      <c r="F524" s="133"/>
    </row>
    <row r="525" ht="13.5" customHeight="1">
      <c r="D525" s="131"/>
      <c r="F525" s="133"/>
    </row>
    <row r="526" ht="13.5" customHeight="1">
      <c r="D526" s="131"/>
      <c r="F526" s="133"/>
    </row>
    <row r="527" ht="13.5" customHeight="1">
      <c r="D527" s="131"/>
      <c r="F527" s="133"/>
    </row>
    <row r="528" ht="13.5" customHeight="1">
      <c r="D528" s="131"/>
      <c r="F528" s="133"/>
    </row>
    <row r="529" ht="13.5" customHeight="1">
      <c r="D529" s="131"/>
      <c r="F529" s="133"/>
    </row>
    <row r="530" ht="13.5" customHeight="1">
      <c r="D530" s="131"/>
      <c r="F530" s="133"/>
    </row>
    <row r="531" ht="13.5" customHeight="1">
      <c r="D531" s="131"/>
      <c r="F531" s="133"/>
    </row>
    <row r="532" ht="13.5" customHeight="1">
      <c r="D532" s="131"/>
      <c r="F532" s="133"/>
    </row>
    <row r="533" ht="13.5" customHeight="1">
      <c r="D533" s="131"/>
      <c r="F533" s="133"/>
    </row>
    <row r="534" ht="13.5" customHeight="1">
      <c r="D534" s="131"/>
      <c r="F534" s="133"/>
    </row>
    <row r="535" ht="13.5" customHeight="1">
      <c r="D535" s="131"/>
      <c r="F535" s="133"/>
    </row>
    <row r="536" ht="13.5" customHeight="1">
      <c r="D536" s="131"/>
      <c r="F536" s="133"/>
    </row>
    <row r="537" ht="13.5" customHeight="1">
      <c r="D537" s="131"/>
      <c r="F537" s="133"/>
    </row>
    <row r="538" ht="13.5" customHeight="1">
      <c r="D538" s="131"/>
      <c r="F538" s="133"/>
    </row>
    <row r="539" ht="13.5" customHeight="1">
      <c r="D539" s="131"/>
      <c r="F539" s="133"/>
    </row>
    <row r="540" ht="13.5" customHeight="1">
      <c r="D540" s="131"/>
      <c r="F540" s="133"/>
    </row>
    <row r="541" ht="13.5" customHeight="1">
      <c r="D541" s="131"/>
      <c r="F541" s="133"/>
    </row>
    <row r="542" ht="13.5" customHeight="1">
      <c r="D542" s="131"/>
      <c r="F542" s="133"/>
    </row>
    <row r="543" ht="13.5" customHeight="1">
      <c r="D543" s="131"/>
      <c r="F543" s="133"/>
    </row>
    <row r="544" ht="13.5" customHeight="1">
      <c r="D544" s="131"/>
      <c r="F544" s="133"/>
    </row>
    <row r="545" ht="13.5" customHeight="1">
      <c r="D545" s="131"/>
      <c r="F545" s="133"/>
    </row>
    <row r="546" ht="13.5" customHeight="1">
      <c r="D546" s="131"/>
      <c r="F546" s="133"/>
    </row>
    <row r="547" ht="13.5" customHeight="1">
      <c r="D547" s="131"/>
      <c r="F547" s="133"/>
    </row>
    <row r="548" ht="13.5" customHeight="1">
      <c r="D548" s="131"/>
      <c r="F548" s="133"/>
    </row>
    <row r="549" ht="13.5" customHeight="1">
      <c r="D549" s="131"/>
      <c r="F549" s="133"/>
    </row>
    <row r="550" ht="13.5" customHeight="1">
      <c r="D550" s="131"/>
      <c r="F550" s="133"/>
    </row>
    <row r="551" ht="13.5" customHeight="1">
      <c r="D551" s="131"/>
      <c r="F551" s="133"/>
    </row>
    <row r="552" ht="13.5" customHeight="1">
      <c r="D552" s="131"/>
      <c r="F552" s="133"/>
    </row>
    <row r="553" ht="13.5" customHeight="1">
      <c r="D553" s="131"/>
      <c r="F553" s="133"/>
    </row>
    <row r="554" ht="13.5" customHeight="1">
      <c r="D554" s="131"/>
      <c r="F554" s="133"/>
    </row>
    <row r="555" ht="13.5" customHeight="1">
      <c r="D555" s="131"/>
      <c r="F555" s="133"/>
    </row>
    <row r="556" ht="13.5" customHeight="1">
      <c r="D556" s="131"/>
      <c r="F556" s="133"/>
    </row>
    <row r="557" ht="13.5" customHeight="1">
      <c r="D557" s="131"/>
      <c r="F557" s="133"/>
    </row>
    <row r="558" ht="13.5" customHeight="1">
      <c r="D558" s="131"/>
      <c r="F558" s="133"/>
    </row>
    <row r="559" ht="13.5" customHeight="1">
      <c r="D559" s="131"/>
      <c r="F559" s="133"/>
    </row>
    <row r="560" ht="13.5" customHeight="1">
      <c r="D560" s="131"/>
      <c r="F560" s="133"/>
    </row>
    <row r="561" ht="13.5" customHeight="1">
      <c r="D561" s="131"/>
      <c r="F561" s="133"/>
    </row>
    <row r="562" ht="13.5" customHeight="1">
      <c r="D562" s="131"/>
      <c r="F562" s="133"/>
    </row>
    <row r="563" ht="13.5" customHeight="1">
      <c r="D563" s="131"/>
      <c r="F563" s="133"/>
    </row>
    <row r="564" ht="13.5" customHeight="1">
      <c r="D564" s="131"/>
      <c r="F564" s="133"/>
    </row>
    <row r="565" ht="13.5" customHeight="1">
      <c r="D565" s="131"/>
      <c r="F565" s="133"/>
    </row>
    <row r="566" ht="13.5" customHeight="1">
      <c r="D566" s="131"/>
      <c r="F566" s="133"/>
    </row>
    <row r="567" ht="13.5" customHeight="1">
      <c r="D567" s="131"/>
      <c r="F567" s="133"/>
    </row>
    <row r="568" ht="13.5" customHeight="1">
      <c r="D568" s="131"/>
      <c r="F568" s="133"/>
    </row>
    <row r="569" ht="13.5" customHeight="1">
      <c r="D569" s="131"/>
      <c r="F569" s="133"/>
    </row>
    <row r="570" ht="13.5" customHeight="1">
      <c r="D570" s="131"/>
      <c r="F570" s="133"/>
    </row>
    <row r="571" ht="13.5" customHeight="1">
      <c r="D571" s="131"/>
      <c r="F571" s="133"/>
    </row>
    <row r="572" ht="13.5" customHeight="1">
      <c r="D572" s="131"/>
      <c r="F572" s="133"/>
    </row>
    <row r="573" ht="13.5" customHeight="1">
      <c r="D573" s="131"/>
      <c r="F573" s="133"/>
    </row>
    <row r="574" ht="13.5" customHeight="1">
      <c r="D574" s="131"/>
      <c r="F574" s="133"/>
    </row>
    <row r="575" ht="13.5" customHeight="1">
      <c r="D575" s="131"/>
      <c r="F575" s="133"/>
    </row>
    <row r="576" ht="13.5" customHeight="1">
      <c r="D576" s="131"/>
      <c r="F576" s="133"/>
    </row>
    <row r="577" ht="13.5" customHeight="1">
      <c r="D577" s="131"/>
      <c r="F577" s="133"/>
    </row>
    <row r="578" ht="13.5" customHeight="1">
      <c r="D578" s="131"/>
      <c r="F578" s="133"/>
    </row>
    <row r="579" ht="13.5" customHeight="1">
      <c r="D579" s="131"/>
      <c r="F579" s="133"/>
    </row>
    <row r="580" ht="13.5" customHeight="1">
      <c r="D580" s="131"/>
      <c r="F580" s="133"/>
    </row>
    <row r="581" ht="13.5" customHeight="1">
      <c r="D581" s="131"/>
      <c r="F581" s="133"/>
    </row>
    <row r="582" ht="13.5" customHeight="1">
      <c r="D582" s="131"/>
      <c r="F582" s="133"/>
    </row>
    <row r="583" ht="13.5" customHeight="1">
      <c r="D583" s="131"/>
      <c r="F583" s="133"/>
    </row>
    <row r="584" ht="13.5" customHeight="1">
      <c r="D584" s="131"/>
      <c r="F584" s="133"/>
    </row>
    <row r="585" ht="13.5" customHeight="1">
      <c r="D585" s="131"/>
      <c r="F585" s="133"/>
    </row>
    <row r="586" ht="13.5" customHeight="1">
      <c r="D586" s="131"/>
      <c r="F586" s="133"/>
    </row>
    <row r="587" ht="13.5" customHeight="1">
      <c r="D587" s="131"/>
      <c r="F587" s="133"/>
    </row>
    <row r="588" ht="13.5" customHeight="1">
      <c r="D588" s="131"/>
      <c r="F588" s="133"/>
    </row>
    <row r="589" ht="13.5" customHeight="1">
      <c r="D589" s="131"/>
      <c r="F589" s="133"/>
    </row>
    <row r="590" ht="13.5" customHeight="1">
      <c r="D590" s="131"/>
      <c r="F590" s="133"/>
    </row>
    <row r="591" ht="13.5" customHeight="1">
      <c r="D591" s="131"/>
      <c r="F591" s="133"/>
    </row>
    <row r="592" ht="13.5" customHeight="1">
      <c r="D592" s="131"/>
      <c r="F592" s="133"/>
    </row>
    <row r="593" ht="13.5" customHeight="1">
      <c r="D593" s="131"/>
      <c r="F593" s="133"/>
    </row>
    <row r="594" ht="13.5" customHeight="1">
      <c r="D594" s="131"/>
      <c r="F594" s="133"/>
    </row>
    <row r="595" ht="13.5" customHeight="1">
      <c r="D595" s="131"/>
      <c r="F595" s="133"/>
    </row>
    <row r="596" ht="13.5" customHeight="1">
      <c r="D596" s="131"/>
      <c r="F596" s="133"/>
    </row>
    <row r="597" ht="13.5" customHeight="1">
      <c r="D597" s="131"/>
      <c r="F597" s="133"/>
    </row>
    <row r="598" ht="13.5" customHeight="1">
      <c r="D598" s="131"/>
      <c r="F598" s="133"/>
    </row>
    <row r="599" ht="13.5" customHeight="1">
      <c r="D599" s="131"/>
      <c r="F599" s="133"/>
    </row>
    <row r="600" ht="13.5" customHeight="1">
      <c r="D600" s="131"/>
      <c r="F600" s="133"/>
    </row>
    <row r="601" ht="13.5" customHeight="1">
      <c r="D601" s="131"/>
      <c r="F601" s="133"/>
    </row>
    <row r="602" ht="13.5" customHeight="1">
      <c r="D602" s="131"/>
      <c r="F602" s="133"/>
    </row>
    <row r="603" ht="13.5" customHeight="1">
      <c r="D603" s="131"/>
      <c r="F603" s="133"/>
    </row>
    <row r="604" ht="13.5" customHeight="1">
      <c r="D604" s="131"/>
      <c r="F604" s="133"/>
    </row>
    <row r="605" ht="13.5" customHeight="1">
      <c r="D605" s="131"/>
      <c r="F605" s="133"/>
    </row>
    <row r="606" ht="13.5" customHeight="1">
      <c r="D606" s="131"/>
      <c r="F606" s="133"/>
    </row>
    <row r="607" ht="13.5" customHeight="1">
      <c r="D607" s="131"/>
      <c r="F607" s="133"/>
    </row>
    <row r="608" ht="13.5" customHeight="1">
      <c r="D608" s="131"/>
      <c r="F608" s="133"/>
    </row>
    <row r="609" ht="13.5" customHeight="1">
      <c r="D609" s="131"/>
      <c r="F609" s="133"/>
    </row>
    <row r="610" ht="13.5" customHeight="1">
      <c r="D610" s="131"/>
      <c r="F610" s="133"/>
    </row>
    <row r="611" ht="13.5" customHeight="1">
      <c r="D611" s="131"/>
      <c r="F611" s="133"/>
    </row>
    <row r="612" ht="13.5" customHeight="1">
      <c r="D612" s="131"/>
      <c r="F612" s="133"/>
    </row>
    <row r="613" ht="13.5" customHeight="1">
      <c r="D613" s="131"/>
      <c r="F613" s="133"/>
    </row>
    <row r="614" ht="13.5" customHeight="1">
      <c r="D614" s="131"/>
      <c r="F614" s="133"/>
    </row>
    <row r="615" ht="13.5" customHeight="1">
      <c r="D615" s="131"/>
      <c r="F615" s="133"/>
    </row>
    <row r="616" ht="13.5" customHeight="1">
      <c r="D616" s="131"/>
      <c r="F616" s="133"/>
    </row>
    <row r="617" ht="13.5" customHeight="1">
      <c r="D617" s="131"/>
      <c r="F617" s="133"/>
    </row>
    <row r="618" ht="13.5" customHeight="1">
      <c r="D618" s="131"/>
      <c r="F618" s="133"/>
    </row>
    <row r="619" ht="13.5" customHeight="1">
      <c r="D619" s="131"/>
      <c r="F619" s="133"/>
    </row>
    <row r="620" ht="13.5" customHeight="1">
      <c r="D620" s="131"/>
      <c r="F620" s="133"/>
    </row>
    <row r="621" ht="13.5" customHeight="1">
      <c r="D621" s="131"/>
      <c r="F621" s="133"/>
    </row>
    <row r="622" ht="13.5" customHeight="1">
      <c r="D622" s="131"/>
      <c r="F622" s="133"/>
    </row>
    <row r="623" ht="13.5" customHeight="1">
      <c r="D623" s="131"/>
      <c r="F623" s="133"/>
    </row>
    <row r="624" ht="13.5" customHeight="1">
      <c r="D624" s="131"/>
      <c r="F624" s="133"/>
    </row>
    <row r="625" ht="13.5" customHeight="1">
      <c r="D625" s="131"/>
      <c r="F625" s="133"/>
    </row>
    <row r="626" ht="13.5" customHeight="1">
      <c r="D626" s="131"/>
      <c r="F626" s="133"/>
    </row>
    <row r="627" ht="13.5" customHeight="1">
      <c r="D627" s="131"/>
      <c r="F627" s="133"/>
    </row>
    <row r="628" ht="13.5" customHeight="1">
      <c r="D628" s="131"/>
      <c r="F628" s="133"/>
    </row>
    <row r="629" ht="13.5" customHeight="1">
      <c r="D629" s="131"/>
      <c r="F629" s="133"/>
    </row>
    <row r="630" ht="13.5" customHeight="1">
      <c r="D630" s="131"/>
      <c r="F630" s="133"/>
    </row>
    <row r="631" ht="13.5" customHeight="1">
      <c r="D631" s="131"/>
      <c r="F631" s="133"/>
    </row>
    <row r="632" ht="13.5" customHeight="1">
      <c r="D632" s="131"/>
      <c r="F632" s="133"/>
    </row>
    <row r="633" ht="13.5" customHeight="1">
      <c r="D633" s="131"/>
      <c r="F633" s="133"/>
    </row>
    <row r="634" ht="13.5" customHeight="1">
      <c r="D634" s="131"/>
      <c r="F634" s="133"/>
    </row>
    <row r="635" ht="13.5" customHeight="1">
      <c r="D635" s="131"/>
      <c r="F635" s="133"/>
    </row>
    <row r="636" ht="13.5" customHeight="1">
      <c r="D636" s="131"/>
      <c r="F636" s="133"/>
    </row>
    <row r="637" ht="13.5" customHeight="1">
      <c r="D637" s="131"/>
      <c r="F637" s="133"/>
    </row>
    <row r="638" ht="13.5" customHeight="1">
      <c r="D638" s="131"/>
      <c r="F638" s="133"/>
    </row>
    <row r="639" ht="13.5" customHeight="1">
      <c r="D639" s="131"/>
      <c r="F639" s="133"/>
    </row>
    <row r="640" ht="13.5" customHeight="1">
      <c r="D640" s="131"/>
      <c r="F640" s="133"/>
    </row>
    <row r="641" ht="13.5" customHeight="1">
      <c r="D641" s="131"/>
      <c r="F641" s="133"/>
    </row>
    <row r="642" ht="13.5" customHeight="1">
      <c r="D642" s="131"/>
      <c r="F642" s="133"/>
    </row>
    <row r="643" ht="13.5" customHeight="1">
      <c r="D643" s="131"/>
      <c r="F643" s="133"/>
    </row>
    <row r="644" ht="13.5" customHeight="1">
      <c r="D644" s="131"/>
      <c r="F644" s="133"/>
    </row>
    <row r="645" ht="13.5" customHeight="1">
      <c r="D645" s="131"/>
      <c r="F645" s="133"/>
    </row>
    <row r="646" ht="13.5" customHeight="1">
      <c r="D646" s="131"/>
      <c r="F646" s="133"/>
    </row>
    <row r="647" ht="13.5" customHeight="1">
      <c r="D647" s="131"/>
      <c r="F647" s="133"/>
    </row>
    <row r="648" ht="13.5" customHeight="1">
      <c r="D648" s="131"/>
      <c r="F648" s="133"/>
    </row>
    <row r="649" ht="13.5" customHeight="1">
      <c r="D649" s="131"/>
      <c r="F649" s="133"/>
    </row>
    <row r="650" ht="13.5" customHeight="1">
      <c r="D650" s="131"/>
      <c r="F650" s="133"/>
    </row>
    <row r="651" ht="13.5" customHeight="1">
      <c r="D651" s="131"/>
      <c r="F651" s="133"/>
    </row>
    <row r="652" ht="13.5" customHeight="1">
      <c r="D652" s="131"/>
      <c r="F652" s="133"/>
    </row>
    <row r="653" ht="13.5" customHeight="1">
      <c r="D653" s="131"/>
      <c r="F653" s="133"/>
    </row>
    <row r="654" ht="13.5" customHeight="1">
      <c r="D654" s="131"/>
      <c r="F654" s="133"/>
    </row>
    <row r="655" ht="13.5" customHeight="1">
      <c r="D655" s="131"/>
      <c r="F655" s="133"/>
    </row>
    <row r="656" ht="13.5" customHeight="1">
      <c r="D656" s="131"/>
      <c r="F656" s="133"/>
    </row>
    <row r="657" ht="13.5" customHeight="1">
      <c r="D657" s="131"/>
      <c r="F657" s="133"/>
    </row>
    <row r="658" ht="13.5" customHeight="1">
      <c r="D658" s="131"/>
      <c r="F658" s="133"/>
    </row>
    <row r="659" ht="13.5" customHeight="1">
      <c r="D659" s="131"/>
      <c r="F659" s="133"/>
    </row>
    <row r="660" ht="13.5" customHeight="1">
      <c r="D660" s="131"/>
      <c r="F660" s="133"/>
    </row>
    <row r="661" ht="13.5" customHeight="1">
      <c r="D661" s="131"/>
      <c r="F661" s="133"/>
    </row>
    <row r="662" ht="13.5" customHeight="1">
      <c r="D662" s="131"/>
      <c r="F662" s="133"/>
    </row>
    <row r="663" ht="13.5" customHeight="1">
      <c r="D663" s="131"/>
      <c r="F663" s="133"/>
    </row>
    <row r="664" ht="13.5" customHeight="1">
      <c r="D664" s="131"/>
      <c r="F664" s="133"/>
    </row>
    <row r="665" ht="13.5" customHeight="1">
      <c r="D665" s="131"/>
      <c r="F665" s="133"/>
    </row>
    <row r="666" ht="13.5" customHeight="1">
      <c r="D666" s="131"/>
      <c r="F666" s="133"/>
    </row>
    <row r="667" ht="13.5" customHeight="1">
      <c r="D667" s="131"/>
      <c r="F667" s="133"/>
    </row>
    <row r="668" ht="13.5" customHeight="1">
      <c r="D668" s="131"/>
      <c r="F668" s="133"/>
    </row>
    <row r="669" ht="13.5" customHeight="1">
      <c r="D669" s="131"/>
      <c r="F669" s="133"/>
    </row>
    <row r="670" ht="13.5" customHeight="1">
      <c r="D670" s="131"/>
      <c r="F670" s="133"/>
    </row>
    <row r="671" ht="13.5" customHeight="1">
      <c r="D671" s="131"/>
      <c r="F671" s="133"/>
    </row>
    <row r="672" ht="13.5" customHeight="1">
      <c r="D672" s="131"/>
      <c r="F672" s="133"/>
    </row>
    <row r="673" ht="13.5" customHeight="1">
      <c r="D673" s="131"/>
      <c r="F673" s="133"/>
    </row>
    <row r="674" ht="13.5" customHeight="1">
      <c r="D674" s="131"/>
      <c r="F674" s="133"/>
    </row>
    <row r="675" ht="13.5" customHeight="1">
      <c r="D675" s="131"/>
      <c r="F675" s="133"/>
    </row>
    <row r="676" ht="13.5" customHeight="1">
      <c r="D676" s="131"/>
      <c r="F676" s="133"/>
    </row>
    <row r="677" ht="13.5" customHeight="1">
      <c r="D677" s="131"/>
      <c r="F677" s="133"/>
    </row>
    <row r="678" ht="13.5" customHeight="1">
      <c r="D678" s="131"/>
      <c r="F678" s="133"/>
    </row>
    <row r="679" ht="13.5" customHeight="1">
      <c r="D679" s="131"/>
      <c r="F679" s="133"/>
    </row>
    <row r="680" ht="13.5" customHeight="1">
      <c r="D680" s="131"/>
      <c r="F680" s="133"/>
    </row>
    <row r="681" ht="13.5" customHeight="1">
      <c r="D681" s="131"/>
      <c r="F681" s="133"/>
    </row>
    <row r="682" ht="13.5" customHeight="1">
      <c r="D682" s="131"/>
      <c r="F682" s="133"/>
    </row>
    <row r="683" ht="13.5" customHeight="1">
      <c r="D683" s="131"/>
      <c r="F683" s="133"/>
    </row>
    <row r="684" ht="13.5" customHeight="1">
      <c r="D684" s="131"/>
      <c r="F684" s="133"/>
    </row>
    <row r="685" ht="13.5" customHeight="1">
      <c r="D685" s="131"/>
      <c r="F685" s="133"/>
    </row>
    <row r="686" ht="13.5" customHeight="1">
      <c r="D686" s="131"/>
      <c r="F686" s="133"/>
    </row>
    <row r="687" ht="13.5" customHeight="1">
      <c r="D687" s="131"/>
      <c r="F687" s="133"/>
    </row>
    <row r="688" ht="13.5" customHeight="1">
      <c r="D688" s="131"/>
      <c r="F688" s="133"/>
    </row>
    <row r="689" ht="13.5" customHeight="1">
      <c r="D689" s="131"/>
      <c r="F689" s="133"/>
    </row>
    <row r="690" ht="13.5" customHeight="1">
      <c r="D690" s="131"/>
      <c r="F690" s="133"/>
    </row>
    <row r="691" ht="13.5" customHeight="1">
      <c r="D691" s="131"/>
      <c r="F691" s="133"/>
    </row>
    <row r="692" ht="13.5" customHeight="1">
      <c r="D692" s="131"/>
      <c r="F692" s="133"/>
    </row>
    <row r="693" ht="13.5" customHeight="1">
      <c r="D693" s="131"/>
      <c r="F693" s="133"/>
    </row>
    <row r="694" ht="13.5" customHeight="1">
      <c r="D694" s="131"/>
      <c r="F694" s="133"/>
    </row>
    <row r="695" ht="13.5" customHeight="1">
      <c r="D695" s="131"/>
      <c r="F695" s="133"/>
    </row>
    <row r="696" ht="13.5" customHeight="1">
      <c r="D696" s="131"/>
      <c r="F696" s="133"/>
    </row>
    <row r="697" ht="13.5" customHeight="1">
      <c r="D697" s="131"/>
      <c r="F697" s="133"/>
    </row>
    <row r="698" ht="13.5" customHeight="1">
      <c r="D698" s="131"/>
      <c r="F698" s="133"/>
    </row>
    <row r="699" ht="13.5" customHeight="1">
      <c r="D699" s="131"/>
      <c r="F699" s="133"/>
    </row>
    <row r="700" ht="13.5" customHeight="1">
      <c r="D700" s="131"/>
      <c r="F700" s="133"/>
    </row>
    <row r="701" ht="13.5" customHeight="1">
      <c r="D701" s="131"/>
      <c r="F701" s="133"/>
    </row>
    <row r="702" ht="13.5" customHeight="1">
      <c r="D702" s="131"/>
      <c r="F702" s="133"/>
    </row>
    <row r="703" ht="13.5" customHeight="1">
      <c r="D703" s="131"/>
      <c r="F703" s="133"/>
    </row>
    <row r="704" ht="13.5" customHeight="1">
      <c r="D704" s="131"/>
      <c r="F704" s="133"/>
    </row>
    <row r="705" ht="13.5" customHeight="1">
      <c r="D705" s="131"/>
      <c r="F705" s="133"/>
    </row>
    <row r="706" ht="13.5" customHeight="1">
      <c r="D706" s="131"/>
      <c r="F706" s="133"/>
    </row>
    <row r="707" ht="13.5" customHeight="1">
      <c r="D707" s="131"/>
      <c r="F707" s="133"/>
    </row>
    <row r="708" ht="13.5" customHeight="1">
      <c r="D708" s="131"/>
      <c r="F708" s="133"/>
    </row>
    <row r="709" ht="13.5" customHeight="1">
      <c r="D709" s="131"/>
      <c r="F709" s="133"/>
    </row>
    <row r="710" ht="13.5" customHeight="1">
      <c r="D710" s="131"/>
      <c r="F710" s="133"/>
    </row>
    <row r="711" ht="13.5" customHeight="1">
      <c r="D711" s="131"/>
      <c r="F711" s="133"/>
    </row>
    <row r="712" ht="13.5" customHeight="1">
      <c r="D712" s="131"/>
      <c r="F712" s="133"/>
    </row>
    <row r="713" ht="13.5" customHeight="1">
      <c r="D713" s="131"/>
      <c r="F713" s="133"/>
    </row>
    <row r="714" ht="13.5" customHeight="1">
      <c r="D714" s="131"/>
      <c r="F714" s="133"/>
    </row>
    <row r="715" ht="13.5" customHeight="1">
      <c r="D715" s="131"/>
      <c r="F715" s="133"/>
    </row>
    <row r="716" ht="13.5" customHeight="1">
      <c r="D716" s="131"/>
      <c r="F716" s="133"/>
    </row>
    <row r="717" ht="13.5" customHeight="1">
      <c r="D717" s="131"/>
      <c r="F717" s="133"/>
    </row>
    <row r="718" ht="13.5" customHeight="1">
      <c r="D718" s="131"/>
      <c r="F718" s="133"/>
    </row>
    <row r="719" ht="13.5" customHeight="1">
      <c r="D719" s="131"/>
      <c r="F719" s="133"/>
    </row>
    <row r="720" ht="13.5" customHeight="1">
      <c r="D720" s="131"/>
      <c r="F720" s="133"/>
    </row>
    <row r="721" ht="13.5" customHeight="1">
      <c r="D721" s="131"/>
      <c r="F721" s="133"/>
    </row>
    <row r="722" ht="13.5" customHeight="1">
      <c r="D722" s="131"/>
      <c r="F722" s="133"/>
    </row>
    <row r="723" ht="13.5" customHeight="1">
      <c r="D723" s="131"/>
      <c r="F723" s="133"/>
    </row>
    <row r="724" ht="13.5" customHeight="1">
      <c r="D724" s="131"/>
      <c r="F724" s="133"/>
    </row>
    <row r="725" ht="13.5" customHeight="1">
      <c r="D725" s="131"/>
      <c r="F725" s="133"/>
    </row>
    <row r="726" ht="13.5" customHeight="1">
      <c r="D726" s="131"/>
      <c r="F726" s="133"/>
    </row>
    <row r="727" ht="13.5" customHeight="1">
      <c r="D727" s="131"/>
      <c r="F727" s="133"/>
    </row>
    <row r="728" ht="13.5" customHeight="1">
      <c r="D728" s="131"/>
      <c r="F728" s="133"/>
    </row>
    <row r="729" ht="13.5" customHeight="1">
      <c r="D729" s="131"/>
      <c r="F729" s="133"/>
    </row>
    <row r="730" ht="13.5" customHeight="1">
      <c r="D730" s="131"/>
      <c r="F730" s="133"/>
    </row>
    <row r="731" ht="13.5" customHeight="1">
      <c r="D731" s="131"/>
      <c r="F731" s="133"/>
    </row>
    <row r="732" ht="13.5" customHeight="1">
      <c r="D732" s="131"/>
      <c r="F732" s="133"/>
    </row>
    <row r="733" ht="13.5" customHeight="1">
      <c r="D733" s="131"/>
      <c r="F733" s="133"/>
    </row>
    <row r="734" ht="13.5" customHeight="1">
      <c r="D734" s="131"/>
      <c r="F734" s="133"/>
    </row>
    <row r="735" ht="13.5" customHeight="1">
      <c r="D735" s="131"/>
      <c r="F735" s="133"/>
    </row>
    <row r="736" ht="13.5" customHeight="1">
      <c r="D736" s="131"/>
      <c r="F736" s="133"/>
    </row>
    <row r="737" ht="13.5" customHeight="1">
      <c r="D737" s="131"/>
      <c r="F737" s="133"/>
    </row>
    <row r="738" ht="13.5" customHeight="1">
      <c r="D738" s="131"/>
      <c r="F738" s="133"/>
    </row>
    <row r="739" ht="13.5" customHeight="1">
      <c r="D739" s="131"/>
      <c r="F739" s="133"/>
    </row>
    <row r="740" ht="13.5" customHeight="1">
      <c r="D740" s="131"/>
      <c r="F740" s="133"/>
    </row>
    <row r="741" ht="13.5" customHeight="1">
      <c r="D741" s="131"/>
      <c r="F741" s="133"/>
    </row>
    <row r="742" ht="13.5" customHeight="1">
      <c r="D742" s="131"/>
      <c r="F742" s="133"/>
    </row>
    <row r="743" ht="13.5" customHeight="1">
      <c r="D743" s="131"/>
      <c r="F743" s="133"/>
    </row>
    <row r="744" ht="13.5" customHeight="1">
      <c r="D744" s="131"/>
      <c r="F744" s="133"/>
    </row>
    <row r="745" ht="13.5" customHeight="1">
      <c r="D745" s="131"/>
      <c r="F745" s="133"/>
    </row>
    <row r="746" ht="13.5" customHeight="1">
      <c r="D746" s="131"/>
      <c r="F746" s="133"/>
    </row>
    <row r="747" ht="13.5" customHeight="1">
      <c r="D747" s="131"/>
      <c r="F747" s="133"/>
    </row>
    <row r="748" ht="13.5" customHeight="1">
      <c r="D748" s="131"/>
      <c r="F748" s="133"/>
    </row>
    <row r="749" ht="13.5" customHeight="1">
      <c r="D749" s="131"/>
      <c r="F749" s="133"/>
    </row>
    <row r="750" ht="13.5" customHeight="1">
      <c r="D750" s="131"/>
      <c r="F750" s="133"/>
    </row>
    <row r="751" ht="13.5" customHeight="1">
      <c r="D751" s="131"/>
      <c r="F751" s="133"/>
    </row>
    <row r="752" ht="13.5" customHeight="1">
      <c r="D752" s="131"/>
      <c r="F752" s="133"/>
    </row>
    <row r="753" ht="13.5" customHeight="1">
      <c r="D753" s="131"/>
      <c r="F753" s="133"/>
    </row>
    <row r="754" ht="13.5" customHeight="1">
      <c r="D754" s="131"/>
      <c r="F754" s="133"/>
    </row>
    <row r="755" ht="13.5" customHeight="1">
      <c r="D755" s="131"/>
      <c r="F755" s="133"/>
    </row>
    <row r="756" ht="13.5" customHeight="1">
      <c r="D756" s="131"/>
      <c r="F756" s="133"/>
    </row>
    <row r="757" ht="13.5" customHeight="1">
      <c r="D757" s="131"/>
      <c r="F757" s="133"/>
    </row>
    <row r="758" ht="13.5" customHeight="1">
      <c r="D758" s="131"/>
      <c r="F758" s="133"/>
    </row>
    <row r="759" ht="13.5" customHeight="1">
      <c r="D759" s="131"/>
      <c r="F759" s="133"/>
    </row>
    <row r="760" ht="13.5" customHeight="1">
      <c r="D760" s="131"/>
      <c r="F760" s="133"/>
    </row>
    <row r="761" ht="13.5" customHeight="1">
      <c r="D761" s="131"/>
      <c r="F761" s="133"/>
    </row>
    <row r="762" ht="13.5" customHeight="1">
      <c r="D762" s="131"/>
      <c r="F762" s="133"/>
    </row>
    <row r="763" ht="13.5" customHeight="1">
      <c r="D763" s="131"/>
      <c r="F763" s="133"/>
    </row>
    <row r="764" ht="13.5" customHeight="1">
      <c r="D764" s="131"/>
      <c r="F764" s="133"/>
    </row>
    <row r="765" ht="13.5" customHeight="1">
      <c r="D765" s="131"/>
      <c r="F765" s="133"/>
    </row>
    <row r="766" ht="13.5" customHeight="1">
      <c r="D766" s="131"/>
      <c r="F766" s="133"/>
    </row>
    <row r="767" ht="13.5" customHeight="1">
      <c r="D767" s="131"/>
      <c r="F767" s="133"/>
    </row>
    <row r="768" ht="13.5" customHeight="1">
      <c r="D768" s="131"/>
      <c r="F768" s="133"/>
    </row>
    <row r="769" ht="13.5" customHeight="1">
      <c r="D769" s="131"/>
      <c r="F769" s="133"/>
    </row>
    <row r="770" ht="13.5" customHeight="1">
      <c r="D770" s="131"/>
      <c r="F770" s="133"/>
    </row>
    <row r="771" ht="13.5" customHeight="1">
      <c r="D771" s="131"/>
      <c r="F771" s="133"/>
    </row>
    <row r="772" ht="13.5" customHeight="1">
      <c r="D772" s="131"/>
      <c r="F772" s="133"/>
    </row>
    <row r="773" ht="13.5" customHeight="1">
      <c r="D773" s="131"/>
      <c r="F773" s="133"/>
    </row>
    <row r="774" ht="13.5" customHeight="1">
      <c r="D774" s="131"/>
      <c r="F774" s="133"/>
    </row>
    <row r="775" ht="13.5" customHeight="1">
      <c r="D775" s="131"/>
      <c r="F775" s="133"/>
    </row>
    <row r="776" ht="13.5" customHeight="1">
      <c r="D776" s="131"/>
      <c r="F776" s="133"/>
    </row>
    <row r="777" ht="13.5" customHeight="1">
      <c r="D777" s="131"/>
      <c r="F777" s="133"/>
    </row>
    <row r="778" ht="13.5" customHeight="1">
      <c r="D778" s="131"/>
      <c r="F778" s="133"/>
    </row>
    <row r="779" ht="13.5" customHeight="1">
      <c r="D779" s="131"/>
      <c r="F779" s="133"/>
    </row>
    <row r="780" ht="13.5" customHeight="1">
      <c r="D780" s="131"/>
      <c r="F780" s="133"/>
    </row>
    <row r="781" ht="13.5" customHeight="1">
      <c r="D781" s="131"/>
      <c r="F781" s="133"/>
    </row>
    <row r="782" ht="13.5" customHeight="1">
      <c r="D782" s="131"/>
      <c r="F782" s="133"/>
    </row>
    <row r="783" ht="13.5" customHeight="1">
      <c r="D783" s="131"/>
      <c r="F783" s="133"/>
    </row>
    <row r="784" ht="13.5" customHeight="1">
      <c r="D784" s="131"/>
      <c r="F784" s="133"/>
    </row>
    <row r="785" ht="13.5" customHeight="1">
      <c r="D785" s="131"/>
      <c r="F785" s="133"/>
    </row>
    <row r="786" ht="13.5" customHeight="1">
      <c r="D786" s="131"/>
      <c r="F786" s="133"/>
    </row>
    <row r="787" ht="13.5" customHeight="1">
      <c r="D787" s="131"/>
      <c r="F787" s="133"/>
    </row>
    <row r="788" ht="13.5" customHeight="1">
      <c r="D788" s="131"/>
      <c r="F788" s="133"/>
    </row>
    <row r="789" ht="13.5" customHeight="1">
      <c r="D789" s="131"/>
      <c r="F789" s="133"/>
    </row>
    <row r="790" ht="13.5" customHeight="1">
      <c r="D790" s="131"/>
      <c r="F790" s="133"/>
    </row>
    <row r="791" ht="13.5" customHeight="1">
      <c r="D791" s="131"/>
      <c r="F791" s="133"/>
    </row>
    <row r="792" ht="13.5" customHeight="1">
      <c r="D792" s="131"/>
      <c r="F792" s="133"/>
    </row>
    <row r="793" ht="13.5" customHeight="1">
      <c r="D793" s="131"/>
      <c r="F793" s="133"/>
    </row>
    <row r="794" ht="13.5" customHeight="1">
      <c r="D794" s="131"/>
      <c r="F794" s="133"/>
    </row>
    <row r="795" ht="13.5" customHeight="1">
      <c r="D795" s="131"/>
      <c r="F795" s="133"/>
    </row>
    <row r="796" ht="13.5" customHeight="1">
      <c r="D796" s="131"/>
      <c r="F796" s="133"/>
    </row>
    <row r="797" ht="13.5" customHeight="1">
      <c r="D797" s="131"/>
      <c r="F797" s="133"/>
    </row>
    <row r="798" ht="13.5" customHeight="1">
      <c r="D798" s="131"/>
      <c r="F798" s="133"/>
    </row>
    <row r="799" ht="13.5" customHeight="1">
      <c r="D799" s="131"/>
      <c r="F799" s="133"/>
    </row>
    <row r="800" ht="13.5" customHeight="1">
      <c r="D800" s="131"/>
      <c r="F800" s="133"/>
    </row>
    <row r="801" ht="13.5" customHeight="1">
      <c r="D801" s="131"/>
      <c r="F801" s="133"/>
    </row>
    <row r="802" ht="13.5" customHeight="1">
      <c r="D802" s="131"/>
      <c r="F802" s="133"/>
    </row>
    <row r="803" ht="13.5" customHeight="1">
      <c r="D803" s="131"/>
      <c r="F803" s="133"/>
    </row>
    <row r="804" ht="13.5" customHeight="1">
      <c r="D804" s="131"/>
      <c r="F804" s="133"/>
    </row>
    <row r="805" ht="13.5" customHeight="1">
      <c r="D805" s="131"/>
      <c r="F805" s="133"/>
    </row>
    <row r="806" ht="13.5" customHeight="1">
      <c r="D806" s="131"/>
      <c r="F806" s="133"/>
    </row>
    <row r="807" ht="13.5" customHeight="1">
      <c r="D807" s="131"/>
      <c r="F807" s="133"/>
    </row>
    <row r="808" ht="13.5" customHeight="1">
      <c r="D808" s="131"/>
      <c r="F808" s="133"/>
    </row>
    <row r="809" ht="13.5" customHeight="1">
      <c r="D809" s="131"/>
      <c r="F809" s="133"/>
    </row>
    <row r="810" ht="13.5" customHeight="1">
      <c r="D810" s="131"/>
      <c r="F810" s="133"/>
    </row>
    <row r="811" ht="13.5" customHeight="1">
      <c r="D811" s="131"/>
      <c r="F811" s="133"/>
    </row>
    <row r="812" ht="13.5" customHeight="1">
      <c r="D812" s="131"/>
      <c r="F812" s="133"/>
    </row>
    <row r="813" ht="13.5" customHeight="1">
      <c r="D813" s="131"/>
      <c r="F813" s="133"/>
    </row>
    <row r="814" ht="13.5" customHeight="1">
      <c r="D814" s="131"/>
      <c r="F814" s="133"/>
    </row>
    <row r="815" ht="13.5" customHeight="1">
      <c r="D815" s="131"/>
      <c r="F815" s="133"/>
    </row>
    <row r="816" ht="13.5" customHeight="1">
      <c r="D816" s="131"/>
      <c r="F816" s="133"/>
    </row>
    <row r="817" ht="13.5" customHeight="1">
      <c r="D817" s="131"/>
      <c r="F817" s="133"/>
    </row>
    <row r="818" ht="13.5" customHeight="1">
      <c r="D818" s="131"/>
      <c r="F818" s="133"/>
    </row>
    <row r="819" ht="13.5" customHeight="1">
      <c r="D819" s="131"/>
      <c r="F819" s="133"/>
    </row>
    <row r="820" ht="13.5" customHeight="1">
      <c r="D820" s="131"/>
      <c r="F820" s="133"/>
    </row>
    <row r="821" ht="13.5" customHeight="1">
      <c r="D821" s="131"/>
      <c r="F821" s="133"/>
    </row>
    <row r="822" ht="13.5" customHeight="1">
      <c r="D822" s="131"/>
      <c r="F822" s="133"/>
    </row>
    <row r="823" ht="13.5" customHeight="1">
      <c r="D823" s="131"/>
      <c r="F823" s="133"/>
    </row>
    <row r="824" ht="13.5" customHeight="1">
      <c r="D824" s="131"/>
      <c r="F824" s="133"/>
    </row>
    <row r="825" ht="13.5" customHeight="1">
      <c r="D825" s="131"/>
      <c r="F825" s="133"/>
    </row>
    <row r="826" ht="13.5" customHeight="1">
      <c r="D826" s="131"/>
      <c r="F826" s="133"/>
    </row>
    <row r="827" ht="13.5" customHeight="1">
      <c r="D827" s="131"/>
      <c r="F827" s="133"/>
    </row>
    <row r="828" ht="13.5" customHeight="1">
      <c r="D828" s="131"/>
      <c r="F828" s="133"/>
    </row>
    <row r="829" ht="13.5" customHeight="1">
      <c r="D829" s="131"/>
      <c r="F829" s="133"/>
    </row>
    <row r="830" ht="13.5" customHeight="1">
      <c r="D830" s="131"/>
      <c r="F830" s="133"/>
    </row>
    <row r="831" ht="13.5" customHeight="1">
      <c r="D831" s="131"/>
      <c r="F831" s="133"/>
    </row>
    <row r="832" ht="13.5" customHeight="1">
      <c r="D832" s="131"/>
      <c r="F832" s="133"/>
    </row>
    <row r="833" ht="13.5" customHeight="1">
      <c r="D833" s="131"/>
      <c r="F833" s="133"/>
    </row>
    <row r="834" ht="13.5" customHeight="1">
      <c r="D834" s="131"/>
      <c r="F834" s="133"/>
    </row>
    <row r="835" ht="13.5" customHeight="1">
      <c r="D835" s="131"/>
      <c r="F835" s="133"/>
    </row>
    <row r="836" ht="13.5" customHeight="1">
      <c r="D836" s="131"/>
      <c r="F836" s="133"/>
    </row>
    <row r="837" ht="13.5" customHeight="1">
      <c r="D837" s="131"/>
      <c r="F837" s="133"/>
    </row>
    <row r="838" ht="13.5" customHeight="1">
      <c r="D838" s="131"/>
      <c r="F838" s="133"/>
    </row>
    <row r="839" ht="13.5" customHeight="1">
      <c r="D839" s="131"/>
      <c r="F839" s="133"/>
    </row>
    <row r="840" ht="13.5" customHeight="1">
      <c r="D840" s="131"/>
      <c r="F840" s="133"/>
    </row>
    <row r="841" ht="13.5" customHeight="1">
      <c r="D841" s="131"/>
      <c r="F841" s="133"/>
    </row>
    <row r="842" ht="13.5" customHeight="1">
      <c r="D842" s="131"/>
      <c r="F842" s="133"/>
    </row>
    <row r="843" ht="13.5" customHeight="1">
      <c r="D843" s="131"/>
      <c r="F843" s="133"/>
    </row>
    <row r="844" ht="13.5" customHeight="1">
      <c r="D844" s="131"/>
      <c r="F844" s="133"/>
    </row>
    <row r="845" ht="13.5" customHeight="1">
      <c r="D845" s="131"/>
      <c r="F845" s="133"/>
    </row>
    <row r="846" ht="13.5" customHeight="1">
      <c r="D846" s="131"/>
      <c r="F846" s="133"/>
    </row>
    <row r="847" ht="13.5" customHeight="1">
      <c r="D847" s="131"/>
      <c r="F847" s="133"/>
    </row>
    <row r="848" ht="13.5" customHeight="1">
      <c r="D848" s="131"/>
      <c r="F848" s="133"/>
    </row>
    <row r="849" ht="13.5" customHeight="1">
      <c r="D849" s="131"/>
      <c r="F849" s="133"/>
    </row>
    <row r="850" ht="13.5" customHeight="1">
      <c r="D850" s="131"/>
      <c r="F850" s="133"/>
    </row>
    <row r="851" ht="13.5" customHeight="1">
      <c r="D851" s="131"/>
      <c r="F851" s="133"/>
    </row>
    <row r="852" ht="13.5" customHeight="1">
      <c r="D852" s="131"/>
      <c r="F852" s="133"/>
    </row>
    <row r="853" ht="13.5" customHeight="1">
      <c r="D853" s="131"/>
      <c r="F853" s="133"/>
    </row>
    <row r="854" ht="13.5" customHeight="1">
      <c r="D854" s="131"/>
      <c r="F854" s="133"/>
    </row>
    <row r="855" ht="13.5" customHeight="1">
      <c r="D855" s="131"/>
      <c r="F855" s="133"/>
    </row>
    <row r="856" ht="13.5" customHeight="1">
      <c r="D856" s="131"/>
      <c r="F856" s="133"/>
    </row>
    <row r="857" ht="13.5" customHeight="1">
      <c r="D857" s="131"/>
      <c r="F857" s="133"/>
    </row>
    <row r="858" ht="13.5" customHeight="1">
      <c r="D858" s="131"/>
      <c r="F858" s="133"/>
    </row>
    <row r="859" ht="13.5" customHeight="1">
      <c r="D859" s="131"/>
      <c r="F859" s="133"/>
    </row>
    <row r="860" ht="13.5" customHeight="1">
      <c r="D860" s="131"/>
      <c r="F860" s="133"/>
    </row>
    <row r="861" ht="13.5" customHeight="1">
      <c r="D861" s="131"/>
      <c r="F861" s="133"/>
    </row>
    <row r="862" ht="13.5" customHeight="1">
      <c r="D862" s="131"/>
      <c r="F862" s="133"/>
    </row>
    <row r="863" ht="13.5" customHeight="1">
      <c r="D863" s="131"/>
      <c r="F863" s="133"/>
    </row>
    <row r="864" ht="13.5" customHeight="1">
      <c r="D864" s="131"/>
      <c r="F864" s="133"/>
    </row>
    <row r="865" ht="13.5" customHeight="1">
      <c r="D865" s="131"/>
      <c r="F865" s="133"/>
    </row>
    <row r="866" ht="13.5" customHeight="1">
      <c r="D866" s="131"/>
      <c r="F866" s="133"/>
    </row>
    <row r="867" ht="13.5" customHeight="1">
      <c r="D867" s="131"/>
      <c r="F867" s="133"/>
    </row>
    <row r="868" ht="13.5" customHeight="1">
      <c r="D868" s="131"/>
      <c r="F868" s="133"/>
    </row>
    <row r="869" ht="13.5" customHeight="1">
      <c r="D869" s="131"/>
      <c r="F869" s="133"/>
    </row>
    <row r="870" ht="13.5" customHeight="1">
      <c r="D870" s="131"/>
      <c r="F870" s="133"/>
    </row>
    <row r="871" ht="13.5" customHeight="1">
      <c r="D871" s="131"/>
      <c r="F871" s="133"/>
    </row>
    <row r="872" ht="13.5" customHeight="1">
      <c r="D872" s="131"/>
      <c r="F872" s="133"/>
    </row>
    <row r="873" ht="13.5" customHeight="1">
      <c r="D873" s="131"/>
      <c r="F873" s="133"/>
    </row>
    <row r="874" ht="13.5" customHeight="1">
      <c r="D874" s="131"/>
      <c r="F874" s="133"/>
    </row>
    <row r="875" ht="13.5" customHeight="1">
      <c r="D875" s="131"/>
      <c r="F875" s="133"/>
    </row>
    <row r="876" ht="13.5" customHeight="1">
      <c r="D876" s="131"/>
      <c r="F876" s="133"/>
    </row>
    <row r="877" ht="13.5" customHeight="1">
      <c r="D877" s="131"/>
      <c r="F877" s="133"/>
    </row>
    <row r="878" ht="13.5" customHeight="1">
      <c r="D878" s="131"/>
      <c r="F878" s="133"/>
    </row>
    <row r="879" ht="13.5" customHeight="1">
      <c r="D879" s="131"/>
      <c r="F879" s="133"/>
    </row>
    <row r="880" ht="13.5" customHeight="1">
      <c r="D880" s="131"/>
      <c r="F880" s="133"/>
    </row>
    <row r="881" ht="13.5" customHeight="1">
      <c r="D881" s="131"/>
      <c r="F881" s="133"/>
    </row>
    <row r="882" ht="13.5" customHeight="1">
      <c r="D882" s="131"/>
      <c r="F882" s="133"/>
    </row>
    <row r="883" ht="13.5" customHeight="1">
      <c r="D883" s="131"/>
      <c r="F883" s="133"/>
    </row>
    <row r="884" ht="13.5" customHeight="1">
      <c r="D884" s="131"/>
      <c r="F884" s="133"/>
    </row>
    <row r="885" ht="13.5" customHeight="1">
      <c r="D885" s="131"/>
      <c r="F885" s="133"/>
    </row>
    <row r="886" ht="13.5" customHeight="1">
      <c r="D886" s="131"/>
      <c r="F886" s="133"/>
    </row>
    <row r="887" ht="13.5" customHeight="1">
      <c r="D887" s="131"/>
      <c r="F887" s="133"/>
    </row>
    <row r="888" ht="13.5" customHeight="1">
      <c r="D888" s="131"/>
      <c r="F888" s="133"/>
    </row>
    <row r="889" ht="13.5" customHeight="1">
      <c r="D889" s="131"/>
      <c r="F889" s="133"/>
    </row>
    <row r="890" ht="13.5" customHeight="1">
      <c r="D890" s="131"/>
      <c r="F890" s="133"/>
    </row>
    <row r="891" ht="13.5" customHeight="1">
      <c r="D891" s="131"/>
      <c r="F891" s="133"/>
    </row>
    <row r="892" ht="13.5" customHeight="1">
      <c r="D892" s="131"/>
      <c r="F892" s="133"/>
    </row>
    <row r="893" ht="13.5" customHeight="1">
      <c r="D893" s="131"/>
      <c r="F893" s="133"/>
    </row>
    <row r="894" ht="13.5" customHeight="1">
      <c r="D894" s="131"/>
      <c r="F894" s="133"/>
    </row>
    <row r="895" ht="13.5" customHeight="1">
      <c r="D895" s="131"/>
      <c r="F895" s="133"/>
    </row>
    <row r="896" ht="13.5" customHeight="1">
      <c r="D896" s="131"/>
      <c r="F896" s="133"/>
    </row>
    <row r="897" ht="13.5" customHeight="1">
      <c r="D897" s="131"/>
      <c r="F897" s="133"/>
    </row>
    <row r="898" ht="13.5" customHeight="1">
      <c r="D898" s="131"/>
      <c r="F898" s="133"/>
    </row>
    <row r="899" ht="13.5" customHeight="1">
      <c r="D899" s="131"/>
      <c r="F899" s="133"/>
    </row>
    <row r="900" ht="13.5" customHeight="1">
      <c r="D900" s="131"/>
      <c r="F900" s="133"/>
    </row>
    <row r="901" ht="13.5" customHeight="1">
      <c r="D901" s="131"/>
      <c r="F901" s="133"/>
    </row>
    <row r="902" ht="13.5" customHeight="1">
      <c r="D902" s="131"/>
      <c r="F902" s="133"/>
    </row>
    <row r="903" ht="13.5" customHeight="1">
      <c r="D903" s="131"/>
      <c r="F903" s="133"/>
    </row>
    <row r="904" ht="13.5" customHeight="1">
      <c r="D904" s="131"/>
      <c r="F904" s="133"/>
    </row>
    <row r="905" ht="13.5" customHeight="1">
      <c r="D905" s="131"/>
      <c r="F905" s="133"/>
    </row>
    <row r="906" ht="13.5" customHeight="1">
      <c r="D906" s="131"/>
      <c r="F906" s="133"/>
    </row>
    <row r="907" ht="13.5" customHeight="1">
      <c r="D907" s="131"/>
      <c r="F907" s="133"/>
    </row>
    <row r="908" ht="13.5" customHeight="1">
      <c r="D908" s="131"/>
      <c r="F908" s="133"/>
    </row>
    <row r="909" ht="13.5" customHeight="1">
      <c r="D909" s="131"/>
      <c r="F909" s="133"/>
    </row>
    <row r="910" ht="13.5" customHeight="1">
      <c r="D910" s="131"/>
      <c r="F910" s="133"/>
    </row>
    <row r="911" ht="13.5" customHeight="1">
      <c r="D911" s="131"/>
      <c r="F911" s="133"/>
    </row>
    <row r="912" ht="13.5" customHeight="1">
      <c r="D912" s="131"/>
      <c r="F912" s="133"/>
    </row>
    <row r="913" ht="13.5" customHeight="1">
      <c r="D913" s="131"/>
      <c r="F913" s="133"/>
    </row>
    <row r="914" ht="13.5" customHeight="1">
      <c r="D914" s="131"/>
      <c r="F914" s="133"/>
    </row>
    <row r="915" ht="13.5" customHeight="1">
      <c r="D915" s="131"/>
      <c r="F915" s="133"/>
    </row>
    <row r="916" ht="13.5" customHeight="1">
      <c r="D916" s="131"/>
      <c r="F916" s="133"/>
    </row>
    <row r="917" ht="13.5" customHeight="1">
      <c r="D917" s="131"/>
      <c r="F917" s="133"/>
    </row>
    <row r="918" ht="13.5" customHeight="1">
      <c r="D918" s="131"/>
      <c r="F918" s="133"/>
    </row>
    <row r="919" ht="13.5" customHeight="1">
      <c r="D919" s="131"/>
      <c r="F919" s="133"/>
    </row>
    <row r="920" ht="13.5" customHeight="1">
      <c r="D920" s="131"/>
      <c r="F920" s="133"/>
    </row>
    <row r="921" ht="13.5" customHeight="1">
      <c r="D921" s="131"/>
      <c r="F921" s="133"/>
    </row>
    <row r="922" ht="13.5" customHeight="1">
      <c r="D922" s="131"/>
      <c r="F922" s="133"/>
    </row>
    <row r="923" ht="13.5" customHeight="1">
      <c r="D923" s="131"/>
      <c r="F923" s="133"/>
    </row>
    <row r="924" ht="13.5" customHeight="1">
      <c r="D924" s="131"/>
      <c r="F924" s="133"/>
    </row>
    <row r="925" ht="13.5" customHeight="1">
      <c r="D925" s="131"/>
      <c r="F925" s="133"/>
    </row>
    <row r="926" ht="13.5" customHeight="1">
      <c r="D926" s="131"/>
      <c r="F926" s="133"/>
    </row>
    <row r="927" ht="13.5" customHeight="1">
      <c r="D927" s="131"/>
      <c r="F927" s="133"/>
    </row>
    <row r="928" ht="13.5" customHeight="1">
      <c r="D928" s="131"/>
      <c r="F928" s="133"/>
    </row>
    <row r="929" ht="13.5" customHeight="1">
      <c r="D929" s="131"/>
      <c r="F929" s="133"/>
    </row>
    <row r="930" ht="13.5" customHeight="1">
      <c r="D930" s="131"/>
      <c r="F930" s="133"/>
    </row>
    <row r="931" ht="13.5" customHeight="1">
      <c r="D931" s="131"/>
      <c r="F931" s="133"/>
    </row>
    <row r="932" ht="13.5" customHeight="1">
      <c r="D932" s="131"/>
      <c r="F932" s="133"/>
    </row>
    <row r="933" ht="13.5" customHeight="1">
      <c r="D933" s="131"/>
      <c r="F933" s="133"/>
    </row>
    <row r="934" ht="13.5" customHeight="1">
      <c r="D934" s="131"/>
      <c r="F934" s="133"/>
    </row>
    <row r="935" ht="13.5" customHeight="1">
      <c r="D935" s="131"/>
      <c r="F935" s="133"/>
    </row>
    <row r="936" ht="13.5" customHeight="1">
      <c r="D936" s="131"/>
      <c r="F936" s="133"/>
    </row>
    <row r="937" ht="13.5" customHeight="1">
      <c r="D937" s="131"/>
      <c r="F937" s="133"/>
    </row>
    <row r="938" ht="13.5" customHeight="1">
      <c r="D938" s="131"/>
      <c r="F938" s="133"/>
    </row>
    <row r="939" ht="13.5" customHeight="1">
      <c r="D939" s="131"/>
      <c r="F939" s="133"/>
    </row>
    <row r="940" ht="13.5" customHeight="1">
      <c r="D940" s="131"/>
      <c r="F940" s="133"/>
    </row>
    <row r="941" ht="13.5" customHeight="1">
      <c r="D941" s="131"/>
      <c r="F941" s="133"/>
    </row>
    <row r="942" ht="13.5" customHeight="1">
      <c r="D942" s="131"/>
      <c r="F942" s="133"/>
    </row>
    <row r="943" ht="13.5" customHeight="1">
      <c r="D943" s="131"/>
      <c r="F943" s="133"/>
    </row>
    <row r="944" ht="13.5" customHeight="1">
      <c r="D944" s="131"/>
      <c r="F944" s="133"/>
    </row>
    <row r="945" ht="13.5" customHeight="1">
      <c r="D945" s="131"/>
      <c r="F945" s="133"/>
    </row>
    <row r="946" ht="13.5" customHeight="1">
      <c r="D946" s="131"/>
      <c r="F946" s="133"/>
    </row>
    <row r="947" ht="13.5" customHeight="1">
      <c r="D947" s="131"/>
      <c r="F947" s="133"/>
    </row>
    <row r="948" ht="13.5" customHeight="1">
      <c r="D948" s="131"/>
      <c r="F948" s="133"/>
    </row>
    <row r="949" ht="13.5" customHeight="1">
      <c r="D949" s="131"/>
      <c r="F949" s="133"/>
    </row>
    <row r="950" ht="13.5" customHeight="1">
      <c r="D950" s="131"/>
      <c r="F950" s="133"/>
    </row>
    <row r="951" ht="13.5" customHeight="1">
      <c r="D951" s="131"/>
      <c r="F951" s="133"/>
    </row>
    <row r="952" ht="13.5" customHeight="1">
      <c r="D952" s="131"/>
      <c r="F952" s="133"/>
    </row>
    <row r="953" ht="13.5" customHeight="1">
      <c r="D953" s="131"/>
      <c r="F953" s="133"/>
    </row>
    <row r="954" ht="13.5" customHeight="1">
      <c r="D954" s="131"/>
      <c r="F954" s="133"/>
    </row>
    <row r="955" ht="13.5" customHeight="1">
      <c r="D955" s="131"/>
      <c r="F955" s="133"/>
    </row>
    <row r="956" ht="13.5" customHeight="1">
      <c r="D956" s="131"/>
      <c r="F956" s="133"/>
    </row>
    <row r="957" ht="13.5" customHeight="1">
      <c r="D957" s="131"/>
      <c r="F957" s="133"/>
    </row>
    <row r="958" ht="13.5" customHeight="1">
      <c r="D958" s="131"/>
      <c r="F958" s="133"/>
    </row>
    <row r="959" ht="13.5" customHeight="1">
      <c r="D959" s="131"/>
      <c r="F959" s="133"/>
    </row>
    <row r="960" ht="13.5" customHeight="1">
      <c r="D960" s="131"/>
      <c r="F960" s="133"/>
    </row>
    <row r="961" ht="13.5" customHeight="1">
      <c r="D961" s="131"/>
      <c r="F961" s="133"/>
    </row>
    <row r="962" ht="13.5" customHeight="1">
      <c r="D962" s="131"/>
      <c r="F962" s="133"/>
    </row>
    <row r="963" ht="13.5" customHeight="1">
      <c r="D963" s="131"/>
      <c r="F963" s="133"/>
    </row>
    <row r="964" ht="13.5" customHeight="1">
      <c r="D964" s="131"/>
      <c r="F964" s="133"/>
    </row>
    <row r="965" ht="13.5" customHeight="1">
      <c r="D965" s="131"/>
      <c r="F965" s="133"/>
    </row>
    <row r="966" ht="13.5" customHeight="1">
      <c r="D966" s="131"/>
      <c r="F966" s="133"/>
    </row>
    <row r="967" ht="13.5" customHeight="1">
      <c r="D967" s="131"/>
      <c r="F967" s="133"/>
    </row>
    <row r="968" ht="13.5" customHeight="1">
      <c r="D968" s="131"/>
      <c r="F968" s="133"/>
    </row>
    <row r="969" ht="13.5" customHeight="1">
      <c r="D969" s="131"/>
      <c r="F969" s="133"/>
    </row>
    <row r="970" ht="13.5" customHeight="1">
      <c r="D970" s="131"/>
      <c r="F970" s="133"/>
    </row>
    <row r="971" ht="13.5" customHeight="1">
      <c r="D971" s="131"/>
      <c r="F971" s="133"/>
    </row>
    <row r="972" ht="13.5" customHeight="1">
      <c r="D972" s="131"/>
      <c r="F972" s="133"/>
    </row>
    <row r="973" ht="13.5" customHeight="1">
      <c r="D973" s="131"/>
      <c r="F973" s="133"/>
    </row>
    <row r="974" ht="13.5" customHeight="1">
      <c r="D974" s="131"/>
      <c r="F974" s="133"/>
    </row>
    <row r="975" ht="13.5" customHeight="1">
      <c r="D975" s="131"/>
      <c r="F975" s="133"/>
    </row>
    <row r="976" ht="13.5" customHeight="1">
      <c r="D976" s="131"/>
      <c r="F976" s="133"/>
    </row>
    <row r="977" ht="13.5" customHeight="1">
      <c r="D977" s="131"/>
      <c r="F977" s="133"/>
    </row>
    <row r="978" ht="13.5" customHeight="1">
      <c r="D978" s="131"/>
      <c r="F978" s="133"/>
    </row>
    <row r="979" ht="13.5" customHeight="1">
      <c r="D979" s="131"/>
      <c r="F979" s="133"/>
    </row>
    <row r="980" ht="13.5" customHeight="1">
      <c r="D980" s="131"/>
      <c r="F980" s="133"/>
    </row>
    <row r="981" ht="13.5" customHeight="1">
      <c r="D981" s="131"/>
      <c r="F981" s="133"/>
    </row>
    <row r="982" ht="13.5" customHeight="1">
      <c r="D982" s="131"/>
      <c r="F982" s="133"/>
    </row>
    <row r="983" ht="13.5" customHeight="1">
      <c r="D983" s="131"/>
      <c r="F983" s="133"/>
    </row>
    <row r="984" ht="13.5" customHeight="1">
      <c r="D984" s="131"/>
      <c r="F984" s="133"/>
    </row>
    <row r="985" ht="13.5" customHeight="1">
      <c r="D985" s="131"/>
      <c r="F985" s="133"/>
    </row>
    <row r="986" ht="13.5" customHeight="1">
      <c r="D986" s="131"/>
      <c r="F986" s="133"/>
    </row>
    <row r="987" ht="13.5" customHeight="1">
      <c r="D987" s="131"/>
      <c r="F987" s="133"/>
    </row>
    <row r="988" ht="13.5" customHeight="1">
      <c r="D988" s="131"/>
      <c r="F988" s="133"/>
    </row>
    <row r="989" ht="13.5" customHeight="1">
      <c r="D989" s="131"/>
      <c r="F989" s="133"/>
    </row>
    <row r="990" ht="13.5" customHeight="1">
      <c r="D990" s="131"/>
      <c r="F990" s="133"/>
    </row>
    <row r="991" ht="13.5" customHeight="1">
      <c r="D991" s="131"/>
      <c r="F991" s="133"/>
    </row>
    <row r="992" ht="13.5" customHeight="1">
      <c r="D992" s="131"/>
      <c r="F992" s="133"/>
    </row>
    <row r="993" ht="13.5" customHeight="1">
      <c r="D993" s="131"/>
      <c r="F993" s="133"/>
    </row>
    <row r="994" ht="13.5" customHeight="1">
      <c r="D994" s="131"/>
      <c r="F994" s="133"/>
    </row>
    <row r="995" ht="13.5" customHeight="1">
      <c r="D995" s="131"/>
      <c r="F995" s="133"/>
    </row>
    <row r="996" ht="13.5" customHeight="1">
      <c r="D996" s="131"/>
      <c r="F996" s="133"/>
    </row>
    <row r="997" ht="13.5" customHeight="1">
      <c r="D997" s="131"/>
      <c r="F997" s="133"/>
    </row>
    <row r="998" ht="13.5" customHeight="1">
      <c r="D998" s="131"/>
      <c r="F998" s="133"/>
    </row>
    <row r="999" ht="13.5" customHeight="1">
      <c r="D999" s="131"/>
      <c r="F999" s="133"/>
    </row>
    <row r="1000" ht="13.5" customHeight="1">
      <c r="D1000" s="131"/>
      <c r="F1000" s="133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1.38"/>
    <col customWidth="1" min="3" max="3" width="11.25"/>
    <col customWidth="1" min="4" max="4" width="9.5"/>
    <col customWidth="1" min="5" max="26" width="8.0"/>
  </cols>
  <sheetData>
    <row r="1" ht="13.5" customHeight="1">
      <c r="A1" s="129" t="s">
        <v>67</v>
      </c>
      <c r="B1" s="130" t="s">
        <v>68</v>
      </c>
    </row>
    <row r="2" ht="13.5" customHeight="1">
      <c r="A2" s="5" t="s">
        <v>148</v>
      </c>
    </row>
    <row r="3" ht="13.5" customHeight="1">
      <c r="A3" s="5" t="s">
        <v>130</v>
      </c>
    </row>
    <row r="4" ht="13.5" customHeight="1">
      <c r="C4" s="5">
        <v>1309.0</v>
      </c>
    </row>
    <row r="5" ht="13.5" customHeight="1">
      <c r="A5" s="5" t="s">
        <v>131</v>
      </c>
      <c r="B5" s="5" t="s">
        <v>9</v>
      </c>
      <c r="C5" s="5" t="s">
        <v>9</v>
      </c>
      <c r="D5" s="131" t="s">
        <v>132</v>
      </c>
      <c r="E5" s="5" t="s">
        <v>133</v>
      </c>
      <c r="F5" s="5" t="s">
        <v>134</v>
      </c>
    </row>
    <row r="6" ht="13.5" customHeight="1">
      <c r="A6" s="132">
        <v>0.0</v>
      </c>
      <c r="B6" s="131">
        <v>0.017</v>
      </c>
      <c r="C6" s="131">
        <f t="shared" ref="C6:C31" si="1">B6</f>
        <v>0.017</v>
      </c>
      <c r="D6" s="131">
        <f t="shared" ref="D6:D31" si="2">$B$35+$B$36*$A6+$B$37*$A6^2+$B$38*$A6^3</f>
        <v>-0.151818898</v>
      </c>
      <c r="E6" s="131">
        <f t="shared" ref="E6:E31" si="3">$D6-$C6</f>
        <v>-0.168818898</v>
      </c>
      <c r="F6" s="133">
        <f t="shared" ref="F6:F31" si="4">$E6^2</f>
        <v>0.02849982031</v>
      </c>
    </row>
    <row r="7" ht="13.5" customHeight="1">
      <c r="A7" s="132">
        <v>1.0</v>
      </c>
      <c r="B7" s="131">
        <v>1.2733</v>
      </c>
      <c r="C7" s="131">
        <f t="shared" si="1"/>
        <v>1.2733</v>
      </c>
      <c r="D7" s="131">
        <f t="shared" si="2"/>
        <v>1.193747452</v>
      </c>
      <c r="E7" s="131">
        <f t="shared" si="3"/>
        <v>-0.07955254837</v>
      </c>
      <c r="F7" s="133">
        <f t="shared" si="4"/>
        <v>0.006328607952</v>
      </c>
    </row>
    <row r="8" ht="13.5" customHeight="1">
      <c r="A8" s="132">
        <v>2.0</v>
      </c>
      <c r="B8" s="131">
        <v>2.5308</v>
      </c>
      <c r="C8" s="131">
        <f t="shared" si="1"/>
        <v>2.5308</v>
      </c>
      <c r="D8" s="131">
        <f t="shared" si="2"/>
        <v>2.528957906</v>
      </c>
      <c r="E8" s="131">
        <f t="shared" si="3"/>
        <v>-0.001842093908</v>
      </c>
      <c r="F8" s="133">
        <f t="shared" si="4"/>
        <v>0.000003393309964</v>
      </c>
    </row>
    <row r="9" ht="13.5" customHeight="1">
      <c r="A9" s="132">
        <v>3.0</v>
      </c>
      <c r="B9" s="131">
        <v>3.7823</v>
      </c>
      <c r="C9" s="131">
        <f t="shared" si="1"/>
        <v>3.7823</v>
      </c>
      <c r="D9" s="131">
        <f t="shared" si="2"/>
        <v>3.850251225</v>
      </c>
      <c r="E9" s="131">
        <f t="shared" si="3"/>
        <v>0.06795122481</v>
      </c>
      <c r="F9" s="133">
        <f t="shared" si="4"/>
        <v>0.004617368953</v>
      </c>
    </row>
    <row r="10" ht="13.5" customHeight="1">
      <c r="A10" s="132">
        <v>4.0</v>
      </c>
      <c r="B10" s="131">
        <v>5.0319</v>
      </c>
      <c r="C10" s="131">
        <f t="shared" si="1"/>
        <v>5.0319</v>
      </c>
      <c r="D10" s="131">
        <f t="shared" si="2"/>
        <v>5.154066167</v>
      </c>
      <c r="E10" s="131">
        <f t="shared" si="3"/>
        <v>0.1221661671</v>
      </c>
      <c r="F10" s="133">
        <f t="shared" si="4"/>
        <v>0.01492457239</v>
      </c>
    </row>
    <row r="11" ht="13.5" customHeight="1">
      <c r="A11" s="132">
        <v>5.0</v>
      </c>
      <c r="B11" s="131">
        <v>6.2874</v>
      </c>
      <c r="C11" s="131">
        <f t="shared" si="1"/>
        <v>6.2874</v>
      </c>
      <c r="D11" s="131">
        <f t="shared" si="2"/>
        <v>6.436841492</v>
      </c>
      <c r="E11" s="131">
        <f t="shared" si="3"/>
        <v>0.1494414925</v>
      </c>
      <c r="F11" s="133">
        <f t="shared" si="4"/>
        <v>0.02233275967</v>
      </c>
    </row>
    <row r="12" ht="13.5" customHeight="1">
      <c r="A12" s="132">
        <v>6.0</v>
      </c>
      <c r="B12" s="131">
        <v>7.5391</v>
      </c>
      <c r="C12" s="131">
        <f t="shared" si="1"/>
        <v>7.5391</v>
      </c>
      <c r="D12" s="131">
        <f t="shared" si="2"/>
        <v>7.69501596</v>
      </c>
      <c r="E12" s="131">
        <f t="shared" si="3"/>
        <v>0.1559159602</v>
      </c>
      <c r="F12" s="133">
        <f t="shared" si="4"/>
        <v>0.02430978664</v>
      </c>
    </row>
    <row r="13" ht="13.5" customHeight="1">
      <c r="A13" s="132">
        <v>7.0</v>
      </c>
      <c r="B13" s="131">
        <v>8.7924</v>
      </c>
      <c r="C13" s="131">
        <f t="shared" si="1"/>
        <v>8.7924</v>
      </c>
      <c r="D13" s="131">
        <f t="shared" si="2"/>
        <v>8.92502833</v>
      </c>
      <c r="E13" s="131">
        <f t="shared" si="3"/>
        <v>0.1326283296</v>
      </c>
      <c r="F13" s="133">
        <f t="shared" si="4"/>
        <v>0.01759027382</v>
      </c>
    </row>
    <row r="14" ht="13.5" customHeight="1">
      <c r="A14" s="132">
        <v>8.0</v>
      </c>
      <c r="B14" s="131">
        <v>10.0286</v>
      </c>
      <c r="C14" s="131">
        <f t="shared" si="1"/>
        <v>10.0286</v>
      </c>
      <c r="D14" s="131">
        <f t="shared" si="2"/>
        <v>10.12331736</v>
      </c>
      <c r="E14" s="131">
        <f t="shared" si="3"/>
        <v>0.09471736018</v>
      </c>
      <c r="F14" s="133">
        <f t="shared" si="4"/>
        <v>0.00897137832</v>
      </c>
    </row>
    <row r="15" ht="13.5" customHeight="1">
      <c r="A15" s="132">
        <v>9.0</v>
      </c>
      <c r="B15" s="131">
        <v>11.276</v>
      </c>
      <c r="C15" s="131">
        <f t="shared" si="1"/>
        <v>11.276</v>
      </c>
      <c r="D15" s="131">
        <f t="shared" si="2"/>
        <v>11.28632181</v>
      </c>
      <c r="E15" s="131">
        <f t="shared" si="3"/>
        <v>0.01032181123</v>
      </c>
      <c r="F15" s="133">
        <f t="shared" si="4"/>
        <v>0.000106539787</v>
      </c>
    </row>
    <row r="16" ht="13.5" customHeight="1">
      <c r="A16" s="132">
        <v>10.0</v>
      </c>
      <c r="B16" s="131">
        <v>12.4908</v>
      </c>
      <c r="C16" s="131">
        <f t="shared" si="1"/>
        <v>12.4908</v>
      </c>
      <c r="D16" s="131">
        <f t="shared" si="2"/>
        <v>12.41048044</v>
      </c>
      <c r="E16" s="131">
        <f t="shared" si="3"/>
        <v>-0.08031955786</v>
      </c>
      <c r="F16" s="133">
        <f t="shared" si="4"/>
        <v>0.006451231375</v>
      </c>
    </row>
    <row r="17" ht="13.5" customHeight="1">
      <c r="A17" s="132">
        <v>11.0</v>
      </c>
      <c r="B17" s="131">
        <v>13.6477</v>
      </c>
      <c r="C17" s="131">
        <f t="shared" si="1"/>
        <v>13.6477</v>
      </c>
      <c r="D17" s="131">
        <f t="shared" si="2"/>
        <v>13.49223201</v>
      </c>
      <c r="E17" s="131">
        <f t="shared" si="3"/>
        <v>-0.1554679877</v>
      </c>
      <c r="F17" s="133">
        <f t="shared" si="4"/>
        <v>0.0241702952</v>
      </c>
    </row>
    <row r="18" ht="13.5" customHeight="1">
      <c r="A18" s="132">
        <v>12.0</v>
      </c>
      <c r="B18" s="131">
        <v>14.7109</v>
      </c>
      <c r="C18" s="131">
        <f t="shared" si="1"/>
        <v>14.7109</v>
      </c>
      <c r="D18" s="131">
        <f t="shared" si="2"/>
        <v>14.52801528</v>
      </c>
      <c r="E18" s="131">
        <f t="shared" si="3"/>
        <v>-0.182884719</v>
      </c>
      <c r="F18" s="133">
        <f t="shared" si="4"/>
        <v>0.03344682043</v>
      </c>
    </row>
    <row r="19" ht="13.5" customHeight="1">
      <c r="A19" s="132">
        <v>13.0</v>
      </c>
      <c r="B19" s="131">
        <v>15.6925</v>
      </c>
      <c r="C19" s="131">
        <f t="shared" si="1"/>
        <v>15.6925</v>
      </c>
      <c r="D19" s="131">
        <f t="shared" si="2"/>
        <v>15.51426901</v>
      </c>
      <c r="E19" s="131">
        <f t="shared" si="3"/>
        <v>-0.1782309922</v>
      </c>
      <c r="F19" s="133">
        <f t="shared" si="4"/>
        <v>0.03176628659</v>
      </c>
    </row>
    <row r="20" ht="13.5" customHeight="1">
      <c r="A20" s="132">
        <v>14.0</v>
      </c>
      <c r="B20" s="131">
        <v>16.6042</v>
      </c>
      <c r="C20" s="131">
        <f t="shared" si="1"/>
        <v>16.6042</v>
      </c>
      <c r="D20" s="131">
        <f t="shared" si="2"/>
        <v>16.44743195</v>
      </c>
      <c r="E20" s="131">
        <f t="shared" si="3"/>
        <v>-0.1567680481</v>
      </c>
      <c r="F20" s="133">
        <f t="shared" si="4"/>
        <v>0.02457622092</v>
      </c>
    </row>
    <row r="21" ht="13.5" customHeight="1">
      <c r="A21" s="132">
        <v>15.0</v>
      </c>
      <c r="B21" s="131">
        <v>17.45</v>
      </c>
      <c r="C21" s="131">
        <f t="shared" si="1"/>
        <v>17.45</v>
      </c>
      <c r="D21" s="131">
        <f t="shared" si="2"/>
        <v>17.32394287</v>
      </c>
      <c r="E21" s="131">
        <f t="shared" si="3"/>
        <v>-0.1260571273</v>
      </c>
      <c r="F21" s="133">
        <f t="shared" si="4"/>
        <v>0.01589039935</v>
      </c>
    </row>
    <row r="22" ht="13.5" customHeight="1">
      <c r="A22" s="132">
        <v>16.0</v>
      </c>
      <c r="B22" s="131">
        <v>18.2227</v>
      </c>
      <c r="C22" s="131">
        <f t="shared" si="1"/>
        <v>18.2227</v>
      </c>
      <c r="D22" s="131">
        <f t="shared" si="2"/>
        <v>18.14024053</v>
      </c>
      <c r="E22" s="131">
        <f t="shared" si="3"/>
        <v>-0.08245947041</v>
      </c>
      <c r="F22" s="133">
        <f t="shared" si="4"/>
        <v>0.00679956426</v>
      </c>
    </row>
    <row r="23" ht="13.5" customHeight="1">
      <c r="A23" s="132">
        <v>17.0</v>
      </c>
      <c r="B23" s="131">
        <v>18.9252</v>
      </c>
      <c r="C23" s="131">
        <f t="shared" si="1"/>
        <v>18.9252</v>
      </c>
      <c r="D23" s="131">
        <f t="shared" si="2"/>
        <v>18.89276368</v>
      </c>
      <c r="E23" s="131">
        <f t="shared" si="3"/>
        <v>-0.03243631802</v>
      </c>
      <c r="F23" s="133">
        <f t="shared" si="4"/>
        <v>0.001052114727</v>
      </c>
    </row>
    <row r="24" ht="13.5" customHeight="1">
      <c r="A24" s="132">
        <v>18.0</v>
      </c>
      <c r="B24" s="131">
        <v>19.5146</v>
      </c>
      <c r="C24" s="131">
        <f t="shared" si="1"/>
        <v>19.5146</v>
      </c>
      <c r="D24" s="131">
        <f t="shared" si="2"/>
        <v>19.57795109</v>
      </c>
      <c r="E24" s="131">
        <f t="shared" si="3"/>
        <v>0.06335108922</v>
      </c>
      <c r="F24" s="133">
        <f t="shared" si="4"/>
        <v>0.004013360505</v>
      </c>
    </row>
    <row r="25" ht="13.5" customHeight="1">
      <c r="A25" s="132">
        <v>19.0</v>
      </c>
      <c r="B25" s="131">
        <v>20.052</v>
      </c>
      <c r="C25" s="131">
        <f t="shared" si="1"/>
        <v>20.052</v>
      </c>
      <c r="D25" s="131">
        <f t="shared" si="2"/>
        <v>20.19224151</v>
      </c>
      <c r="E25" s="131">
        <f t="shared" si="3"/>
        <v>0.1402415107</v>
      </c>
      <c r="F25" s="133">
        <f t="shared" si="4"/>
        <v>0.01966768132</v>
      </c>
    </row>
    <row r="26" ht="13.5" customHeight="1">
      <c r="A26" s="132">
        <v>20.0</v>
      </c>
      <c r="B26" s="131">
        <v>20.5392</v>
      </c>
      <c r="C26" s="131">
        <f t="shared" si="1"/>
        <v>20.5392</v>
      </c>
      <c r="D26" s="131">
        <f t="shared" si="2"/>
        <v>20.73207371</v>
      </c>
      <c r="E26" s="131">
        <f t="shared" si="3"/>
        <v>0.1928737057</v>
      </c>
      <c r="F26" s="133">
        <f t="shared" si="4"/>
        <v>0.03720026636</v>
      </c>
    </row>
    <row r="27" ht="13.5" customHeight="1">
      <c r="A27" s="132">
        <v>21.0</v>
      </c>
      <c r="B27" s="131">
        <v>20.9799</v>
      </c>
      <c r="C27" s="131">
        <f t="shared" si="1"/>
        <v>20.9799</v>
      </c>
      <c r="D27" s="131">
        <f t="shared" si="2"/>
        <v>21.19388643</v>
      </c>
      <c r="E27" s="131">
        <f t="shared" si="3"/>
        <v>0.2139864337</v>
      </c>
      <c r="F27" s="133">
        <f t="shared" si="4"/>
        <v>0.04579019383</v>
      </c>
    </row>
    <row r="28" ht="13.5" customHeight="1">
      <c r="A28" s="132">
        <v>22.0</v>
      </c>
      <c r="B28" s="131">
        <v>21.4001</v>
      </c>
      <c r="C28" s="131">
        <f t="shared" si="1"/>
        <v>21.4001</v>
      </c>
      <c r="D28" s="131">
        <f t="shared" si="2"/>
        <v>21.57411845</v>
      </c>
      <c r="E28" s="131">
        <f t="shared" si="3"/>
        <v>0.1740184541</v>
      </c>
      <c r="F28" s="133">
        <f t="shared" si="4"/>
        <v>0.03028242237</v>
      </c>
    </row>
    <row r="29" ht="13.5" customHeight="1">
      <c r="A29" s="132">
        <v>23.0</v>
      </c>
      <c r="B29" s="131">
        <v>21.7802</v>
      </c>
      <c r="C29" s="131">
        <f t="shared" si="1"/>
        <v>21.7802</v>
      </c>
      <c r="D29" s="131">
        <f t="shared" si="2"/>
        <v>21.86920853</v>
      </c>
      <c r="E29" s="131">
        <f t="shared" si="3"/>
        <v>0.08900852618</v>
      </c>
      <c r="F29" s="133">
        <f t="shared" si="4"/>
        <v>0.007922517732</v>
      </c>
    </row>
    <row r="30" ht="13.5" customHeight="1">
      <c r="A30" s="132">
        <v>24.0</v>
      </c>
      <c r="B30" s="131">
        <v>22.1434</v>
      </c>
      <c r="C30" s="131">
        <f t="shared" si="1"/>
        <v>22.1434</v>
      </c>
      <c r="D30" s="131">
        <f t="shared" si="2"/>
        <v>22.07559541</v>
      </c>
      <c r="E30" s="131">
        <f t="shared" si="3"/>
        <v>-0.06780459067</v>
      </c>
      <c r="F30" s="133">
        <f t="shared" si="4"/>
        <v>0.004597462516</v>
      </c>
    </row>
    <row r="31" ht="13.5" customHeight="1">
      <c r="A31" s="132">
        <v>25.0</v>
      </c>
      <c r="B31" s="131">
        <v>22.4894</v>
      </c>
      <c r="C31" s="131">
        <f t="shared" si="1"/>
        <v>22.4894</v>
      </c>
      <c r="D31" s="131">
        <f t="shared" si="2"/>
        <v>22.18971786</v>
      </c>
      <c r="E31" s="131">
        <f t="shared" si="3"/>
        <v>-0.2996821371</v>
      </c>
      <c r="F31" s="133">
        <f t="shared" si="4"/>
        <v>0.08980938327</v>
      </c>
    </row>
    <row r="32" ht="13.5" customHeight="1">
      <c r="A32" s="132"/>
      <c r="F32" s="133">
        <f>SUM(F6:F31)</f>
        <v>0.5111207219</v>
      </c>
    </row>
    <row r="33" ht="13.5" customHeight="1">
      <c r="A33" s="132"/>
    </row>
    <row r="34" ht="13.5" customHeight="1">
      <c r="A34" s="5" t="s">
        <v>135</v>
      </c>
    </row>
    <row r="35" ht="13.5" customHeight="1">
      <c r="A35" s="5" t="s">
        <v>136</v>
      </c>
      <c r="B35" s="134">
        <v>-0.1518188979600541</v>
      </c>
    </row>
    <row r="36" ht="13.5" customHeight="1">
      <c r="A36" s="5" t="s">
        <v>137</v>
      </c>
      <c r="B36" s="134">
        <v>1.3495572169409347</v>
      </c>
    </row>
    <row r="37" ht="13.5" customHeight="1">
      <c r="A37" s="5" t="s">
        <v>138</v>
      </c>
      <c r="B37" s="134">
        <v>-0.003397327248395018</v>
      </c>
    </row>
    <row r="38" ht="13.5" customHeight="1">
      <c r="A38" s="5" t="s">
        <v>139</v>
      </c>
      <c r="B38" s="134">
        <v>-5.935401044715343E-4</v>
      </c>
    </row>
    <row r="39" ht="13.5" customHeight="1"/>
    <row r="40" ht="13.5" customHeight="1"/>
    <row r="41" ht="13.5" customHeight="1">
      <c r="A41" s="5" t="s">
        <v>131</v>
      </c>
      <c r="B41" s="5" t="s">
        <v>9</v>
      </c>
      <c r="C41" s="5" t="s">
        <v>140</v>
      </c>
      <c r="D41" s="131" t="s">
        <v>132</v>
      </c>
      <c r="E41" s="5" t="s">
        <v>133</v>
      </c>
      <c r="F41" s="5" t="s">
        <v>134</v>
      </c>
    </row>
    <row r="42" ht="13.5" customHeight="1">
      <c r="A42" s="132">
        <v>0.0</v>
      </c>
      <c r="B42" s="131">
        <v>0.017</v>
      </c>
      <c r="C42" s="131">
        <f t="shared" ref="C42:C67" si="5">B42</f>
        <v>0.017</v>
      </c>
      <c r="D42" s="131">
        <f t="shared" ref="D42:D67" si="6">$B$71+$B$72*$C42+$B$73*$C42^2+$B$74*$C42^3+$B$75*$C42^4</f>
        <v>-0.1024386962</v>
      </c>
      <c r="E42" s="131">
        <f t="shared" ref="E42:E67" si="7">$D42-$A42</f>
        <v>-0.1024386962</v>
      </c>
      <c r="F42" s="133">
        <f t="shared" ref="F42:F67" si="8">$E42^2</f>
        <v>0.01049368648</v>
      </c>
    </row>
    <row r="43" ht="13.5" customHeight="1">
      <c r="A43" s="132">
        <v>1.0</v>
      </c>
      <c r="B43" s="131">
        <v>1.2733</v>
      </c>
      <c r="C43" s="131">
        <f t="shared" si="5"/>
        <v>1.2733</v>
      </c>
      <c r="D43" s="131">
        <f t="shared" si="6"/>
        <v>1.039247563</v>
      </c>
      <c r="E43" s="131">
        <f t="shared" si="7"/>
        <v>0.03924756279</v>
      </c>
      <c r="F43" s="133">
        <f t="shared" si="8"/>
        <v>0.001540371185</v>
      </c>
    </row>
    <row r="44" ht="13.5" customHeight="1">
      <c r="A44" s="132">
        <v>2.0</v>
      </c>
      <c r="B44" s="131">
        <v>2.5308</v>
      </c>
      <c r="C44" s="131">
        <f t="shared" si="5"/>
        <v>2.5308</v>
      </c>
      <c r="D44" s="131">
        <f t="shared" si="6"/>
        <v>2.150443588</v>
      </c>
      <c r="E44" s="131">
        <f t="shared" si="7"/>
        <v>0.1504435877</v>
      </c>
      <c r="F44" s="133">
        <f t="shared" si="8"/>
        <v>0.02263327307</v>
      </c>
    </row>
    <row r="45" ht="13.5" customHeight="1">
      <c r="A45" s="132">
        <v>3.0</v>
      </c>
      <c r="B45" s="131">
        <v>3.7823</v>
      </c>
      <c r="C45" s="131">
        <f t="shared" si="5"/>
        <v>3.7823</v>
      </c>
      <c r="D45" s="131">
        <f t="shared" si="6"/>
        <v>3.215307723</v>
      </c>
      <c r="E45" s="131">
        <f t="shared" si="7"/>
        <v>0.215307723</v>
      </c>
      <c r="F45" s="133">
        <f t="shared" si="8"/>
        <v>0.0463574156</v>
      </c>
    </row>
    <row r="46" ht="13.5" customHeight="1">
      <c r="A46" s="132">
        <v>4.0</v>
      </c>
      <c r="B46" s="131">
        <v>5.0319</v>
      </c>
      <c r="C46" s="131">
        <f t="shared" si="5"/>
        <v>5.0319</v>
      </c>
      <c r="D46" s="131">
        <f t="shared" si="6"/>
        <v>4.233738453</v>
      </c>
      <c r="E46" s="131">
        <f t="shared" si="7"/>
        <v>0.2337384532</v>
      </c>
      <c r="F46" s="133">
        <f t="shared" si="8"/>
        <v>0.05463366453</v>
      </c>
    </row>
    <row r="47" ht="13.5" customHeight="1">
      <c r="A47" s="132">
        <v>5.0</v>
      </c>
      <c r="B47" s="131">
        <v>6.2874</v>
      </c>
      <c r="C47" s="131">
        <f t="shared" si="5"/>
        <v>6.2874</v>
      </c>
      <c r="D47" s="131">
        <f t="shared" si="6"/>
        <v>5.213527561</v>
      </c>
      <c r="E47" s="131">
        <f t="shared" si="7"/>
        <v>0.2135275613</v>
      </c>
      <c r="F47" s="133">
        <f t="shared" si="8"/>
        <v>0.04559401943</v>
      </c>
    </row>
    <row r="48" ht="13.5" customHeight="1">
      <c r="A48" s="132">
        <v>6.0</v>
      </c>
      <c r="B48" s="131">
        <v>7.5391</v>
      </c>
      <c r="C48" s="131">
        <f t="shared" si="5"/>
        <v>7.5391</v>
      </c>
      <c r="D48" s="131">
        <f t="shared" si="6"/>
        <v>6.154275617</v>
      </c>
      <c r="E48" s="131">
        <f t="shared" si="7"/>
        <v>0.1542756171</v>
      </c>
      <c r="F48" s="133">
        <f t="shared" si="8"/>
        <v>0.02380096603</v>
      </c>
    </row>
    <row r="49" ht="13.5" customHeight="1">
      <c r="A49" s="132">
        <v>7.0</v>
      </c>
      <c r="B49" s="131">
        <v>8.7924</v>
      </c>
      <c r="C49" s="131">
        <f t="shared" si="5"/>
        <v>8.7924</v>
      </c>
      <c r="D49" s="131">
        <f t="shared" si="6"/>
        <v>7.073068291</v>
      </c>
      <c r="E49" s="131">
        <f t="shared" si="7"/>
        <v>0.07306829083</v>
      </c>
      <c r="F49" s="133">
        <f t="shared" si="8"/>
        <v>0.005338975125</v>
      </c>
    </row>
    <row r="50" ht="13.5" customHeight="1">
      <c r="A50" s="132">
        <v>8.0</v>
      </c>
      <c r="B50" s="131">
        <v>10.0286</v>
      </c>
      <c r="C50" s="131">
        <f t="shared" si="5"/>
        <v>10.0286</v>
      </c>
      <c r="D50" s="131">
        <f t="shared" si="6"/>
        <v>7.974724027</v>
      </c>
      <c r="E50" s="131">
        <f t="shared" si="7"/>
        <v>-0.02527597313</v>
      </c>
      <c r="F50" s="133">
        <f t="shared" si="8"/>
        <v>0.0006388748174</v>
      </c>
    </row>
    <row r="51" ht="13.5" customHeight="1">
      <c r="A51" s="132">
        <v>9.0</v>
      </c>
      <c r="B51" s="131">
        <v>11.276</v>
      </c>
      <c r="C51" s="131">
        <f t="shared" si="5"/>
        <v>11.276</v>
      </c>
      <c r="D51" s="131">
        <f t="shared" si="6"/>
        <v>8.903625893</v>
      </c>
      <c r="E51" s="131">
        <f t="shared" si="7"/>
        <v>-0.09637410665</v>
      </c>
      <c r="F51" s="133">
        <f t="shared" si="8"/>
        <v>0.009287968433</v>
      </c>
    </row>
    <row r="52" ht="13.5" customHeight="1">
      <c r="A52" s="132">
        <v>10.0</v>
      </c>
      <c r="B52" s="131">
        <v>12.4908</v>
      </c>
      <c r="C52" s="131">
        <f t="shared" si="5"/>
        <v>12.4908</v>
      </c>
      <c r="D52" s="131">
        <f t="shared" si="6"/>
        <v>9.854549689</v>
      </c>
      <c r="E52" s="131">
        <f t="shared" si="7"/>
        <v>-0.145450311</v>
      </c>
      <c r="F52" s="133">
        <f t="shared" si="8"/>
        <v>0.02115579296</v>
      </c>
    </row>
    <row r="53" ht="13.5" customHeight="1">
      <c r="A53" s="132">
        <v>11.0</v>
      </c>
      <c r="B53" s="131">
        <v>13.6477</v>
      </c>
      <c r="C53" s="131">
        <f t="shared" si="5"/>
        <v>13.6477</v>
      </c>
      <c r="D53" s="131">
        <f t="shared" si="6"/>
        <v>10.83224726</v>
      </c>
      <c r="E53" s="131">
        <f t="shared" si="7"/>
        <v>-0.1677527417</v>
      </c>
      <c r="F53" s="133">
        <f t="shared" si="8"/>
        <v>0.02814098235</v>
      </c>
    </row>
    <row r="54" ht="13.5" customHeight="1">
      <c r="A54" s="132">
        <v>12.0</v>
      </c>
      <c r="B54" s="131">
        <v>14.7109</v>
      </c>
      <c r="C54" s="131">
        <f t="shared" si="5"/>
        <v>14.7109</v>
      </c>
      <c r="D54" s="131">
        <f t="shared" si="6"/>
        <v>11.82059166</v>
      </c>
      <c r="E54" s="131">
        <f t="shared" si="7"/>
        <v>-0.1794083441</v>
      </c>
      <c r="F54" s="133">
        <f t="shared" si="8"/>
        <v>0.03218735395</v>
      </c>
    </row>
    <row r="55" ht="13.5" customHeight="1">
      <c r="A55" s="132">
        <v>13.0</v>
      </c>
      <c r="B55" s="131">
        <v>15.6925</v>
      </c>
      <c r="C55" s="131">
        <f t="shared" si="5"/>
        <v>15.6925</v>
      </c>
      <c r="D55" s="131">
        <f t="shared" si="6"/>
        <v>12.83422111</v>
      </c>
      <c r="E55" s="131">
        <f t="shared" si="7"/>
        <v>-0.1657788929</v>
      </c>
      <c r="F55" s="133">
        <f t="shared" si="8"/>
        <v>0.02748264134</v>
      </c>
    </row>
    <row r="56" ht="13.5" customHeight="1">
      <c r="A56" s="132">
        <v>14.0</v>
      </c>
      <c r="B56" s="131">
        <v>16.6042</v>
      </c>
      <c r="C56" s="131">
        <f t="shared" si="5"/>
        <v>16.6042</v>
      </c>
      <c r="D56" s="131">
        <f t="shared" si="6"/>
        <v>13.88430486</v>
      </c>
      <c r="E56" s="131">
        <f t="shared" si="7"/>
        <v>-0.1156951353</v>
      </c>
      <c r="F56" s="133">
        <f t="shared" si="8"/>
        <v>0.01338536432</v>
      </c>
    </row>
    <row r="57" ht="13.5" customHeight="1">
      <c r="A57" s="132">
        <v>15.0</v>
      </c>
      <c r="B57" s="131">
        <v>17.45</v>
      </c>
      <c r="C57" s="131">
        <f t="shared" si="5"/>
        <v>17.45</v>
      </c>
      <c r="D57" s="131">
        <f t="shared" si="6"/>
        <v>14.97079594</v>
      </c>
      <c r="E57" s="131">
        <f t="shared" si="7"/>
        <v>-0.02920406407</v>
      </c>
      <c r="F57" s="133">
        <f t="shared" si="8"/>
        <v>0.0008528773579</v>
      </c>
    </row>
    <row r="58" ht="13.5" customHeight="1">
      <c r="A58" s="132">
        <v>16.0</v>
      </c>
      <c r="B58" s="131">
        <v>18.2227</v>
      </c>
      <c r="C58" s="131">
        <f t="shared" si="5"/>
        <v>18.2227</v>
      </c>
      <c r="D58" s="131">
        <f t="shared" si="6"/>
        <v>16.07350982</v>
      </c>
      <c r="E58" s="131">
        <f t="shared" si="7"/>
        <v>0.07350982305</v>
      </c>
      <c r="F58" s="133">
        <f t="shared" si="8"/>
        <v>0.005403694084</v>
      </c>
    </row>
    <row r="59" ht="13.5" customHeight="1">
      <c r="A59" s="132">
        <v>17.0</v>
      </c>
      <c r="B59" s="131">
        <v>18.9252</v>
      </c>
      <c r="C59" s="131">
        <f t="shared" si="5"/>
        <v>18.9252</v>
      </c>
      <c r="D59" s="131">
        <f t="shared" si="6"/>
        <v>17.17992517</v>
      </c>
      <c r="E59" s="131">
        <f t="shared" si="7"/>
        <v>0.1799251698</v>
      </c>
      <c r="F59" s="133">
        <f t="shared" si="8"/>
        <v>0.03237306673</v>
      </c>
    </row>
    <row r="60" ht="13.5" customHeight="1">
      <c r="A60" s="132">
        <v>18.0</v>
      </c>
      <c r="B60" s="131">
        <v>19.5146</v>
      </c>
      <c r="C60" s="131">
        <f t="shared" si="5"/>
        <v>19.5146</v>
      </c>
      <c r="D60" s="131">
        <f t="shared" si="6"/>
        <v>18.19322997</v>
      </c>
      <c r="E60" s="131">
        <f t="shared" si="7"/>
        <v>0.1932299657</v>
      </c>
      <c r="F60" s="133">
        <f t="shared" si="8"/>
        <v>0.03733781963</v>
      </c>
    </row>
    <row r="61" ht="13.5" customHeight="1">
      <c r="A61" s="132">
        <v>19.0</v>
      </c>
      <c r="B61" s="131">
        <v>20.052</v>
      </c>
      <c r="C61" s="131">
        <f t="shared" si="5"/>
        <v>20.052</v>
      </c>
      <c r="D61" s="131">
        <f t="shared" si="6"/>
        <v>19.19114468</v>
      </c>
      <c r="E61" s="131">
        <f t="shared" si="7"/>
        <v>0.191144682</v>
      </c>
      <c r="F61" s="133">
        <f t="shared" si="8"/>
        <v>0.03653628946</v>
      </c>
    </row>
    <row r="62" ht="13.5" customHeight="1">
      <c r="A62" s="132">
        <v>20.0</v>
      </c>
      <c r="B62" s="131">
        <v>20.5392</v>
      </c>
      <c r="C62" s="131">
        <f t="shared" si="5"/>
        <v>20.5392</v>
      </c>
      <c r="D62" s="131">
        <f t="shared" si="6"/>
        <v>20.16168307</v>
      </c>
      <c r="E62" s="131">
        <f t="shared" si="7"/>
        <v>0.1616830723</v>
      </c>
      <c r="F62" s="133">
        <f t="shared" si="8"/>
        <v>0.02614141586</v>
      </c>
    </row>
    <row r="63" ht="13.5" customHeight="1">
      <c r="A63" s="132">
        <v>21.0</v>
      </c>
      <c r="B63" s="131">
        <v>20.9799</v>
      </c>
      <c r="C63" s="131">
        <f t="shared" si="5"/>
        <v>20.9799</v>
      </c>
      <c r="D63" s="131">
        <f t="shared" si="6"/>
        <v>21.09723724</v>
      </c>
      <c r="E63" s="131">
        <f t="shared" si="7"/>
        <v>0.09723724085</v>
      </c>
      <c r="F63" s="133">
        <f t="shared" si="8"/>
        <v>0.009455081008</v>
      </c>
    </row>
    <row r="64" ht="13.5" customHeight="1">
      <c r="A64" s="132">
        <v>22.0</v>
      </c>
      <c r="B64" s="131">
        <v>21.4001</v>
      </c>
      <c r="C64" s="131">
        <f t="shared" si="5"/>
        <v>21.4001</v>
      </c>
      <c r="D64" s="131">
        <f t="shared" si="6"/>
        <v>22.04337688</v>
      </c>
      <c r="E64" s="131">
        <f t="shared" si="7"/>
        <v>0.04337687785</v>
      </c>
      <c r="F64" s="133">
        <f t="shared" si="8"/>
        <v>0.001881553532</v>
      </c>
    </row>
    <row r="65" ht="13.5" customHeight="1">
      <c r="A65" s="132">
        <v>23.0</v>
      </c>
      <c r="B65" s="131">
        <v>21.7802</v>
      </c>
      <c r="C65" s="131">
        <f t="shared" si="5"/>
        <v>21.7802</v>
      </c>
      <c r="D65" s="131">
        <f t="shared" si="6"/>
        <v>22.94718989</v>
      </c>
      <c r="E65" s="131">
        <f t="shared" si="7"/>
        <v>-0.05281010954</v>
      </c>
      <c r="F65" s="133">
        <f t="shared" si="8"/>
        <v>0.002788907669</v>
      </c>
    </row>
    <row r="66" ht="13.5" customHeight="1">
      <c r="A66" s="132">
        <v>24.0</v>
      </c>
      <c r="B66" s="131">
        <v>22.1434</v>
      </c>
      <c r="C66" s="131">
        <f t="shared" si="5"/>
        <v>22.1434</v>
      </c>
      <c r="D66" s="131">
        <f t="shared" si="6"/>
        <v>23.85548644</v>
      </c>
      <c r="E66" s="131">
        <f t="shared" si="7"/>
        <v>-0.144513564</v>
      </c>
      <c r="F66" s="133">
        <f t="shared" si="8"/>
        <v>0.02088417018</v>
      </c>
    </row>
    <row r="67" ht="13.5" customHeight="1">
      <c r="A67" s="132">
        <v>25.0</v>
      </c>
      <c r="B67" s="131">
        <v>22.4894</v>
      </c>
      <c r="C67" s="131">
        <f t="shared" si="5"/>
        <v>22.4894</v>
      </c>
      <c r="D67" s="131">
        <f t="shared" si="6"/>
        <v>24.76319704</v>
      </c>
      <c r="E67" s="131">
        <f t="shared" si="7"/>
        <v>-0.2368029576</v>
      </c>
      <c r="F67" s="133">
        <f t="shared" si="8"/>
        <v>0.05607564074</v>
      </c>
    </row>
    <row r="68" ht="13.5" customHeight="1">
      <c r="B68" s="131"/>
      <c r="D68" s="131"/>
      <c r="F68" s="131">
        <f>SUM(F42:F67)</f>
        <v>0.5724018659</v>
      </c>
    </row>
    <row r="69" ht="14.25" customHeight="1">
      <c r="D69" s="131"/>
    </row>
    <row r="70" ht="14.25" customHeight="1">
      <c r="A70" s="5" t="s">
        <v>150</v>
      </c>
      <c r="D70" s="131"/>
      <c r="H70" s="5" t="s">
        <v>141</v>
      </c>
      <c r="J70" s="135">
        <v>1309.0</v>
      </c>
    </row>
    <row r="71" ht="13.5" customHeight="1">
      <c r="A71" s="5" t="s">
        <v>136</v>
      </c>
      <c r="B71" s="134">
        <v>-0.11803949501777801</v>
      </c>
      <c r="D71" s="131"/>
      <c r="H71" s="5" t="s">
        <v>142</v>
      </c>
      <c r="J71" s="131">
        <f>$B$35+$B$36*J70/100+$B$37*J70^2*0.0001+$B$38*J70^3*0.000001</f>
        <v>15.60048073</v>
      </c>
    </row>
    <row r="72" ht="14.25" customHeight="1">
      <c r="A72" s="5" t="s">
        <v>137</v>
      </c>
      <c r="B72" s="134">
        <v>0.9177824870578407</v>
      </c>
      <c r="D72" s="131"/>
    </row>
    <row r="73" ht="14.25" customHeight="1">
      <c r="A73" s="5" t="s">
        <v>138</v>
      </c>
      <c r="B73" s="134">
        <v>-0.005176182199351401</v>
      </c>
      <c r="D73" s="131"/>
      <c r="H73" s="5" t="s">
        <v>143</v>
      </c>
      <c r="J73" s="136">
        <v>15.77386</v>
      </c>
    </row>
    <row r="74" ht="13.5" customHeight="1">
      <c r="A74" s="5" t="s">
        <v>139</v>
      </c>
      <c r="B74" s="134">
        <v>-0.0015423558598533192</v>
      </c>
      <c r="D74" s="131"/>
      <c r="H74" s="5" t="s">
        <v>144</v>
      </c>
      <c r="J74" s="81">
        <f>$B$71*100+$B$72*J73*100+$B$73*J73^2*100+$B$74*J73^3*100+$B$75*J73^4*100</f>
        <v>1292.335941</v>
      </c>
    </row>
    <row r="75" ht="13.5" customHeight="1">
      <c r="A75" s="5" t="s">
        <v>151</v>
      </c>
      <c r="B75" s="134">
        <v>9.539404735663546E-5</v>
      </c>
      <c r="D75" s="131"/>
    </row>
    <row r="76" ht="13.5" customHeight="1">
      <c r="D76" s="131"/>
    </row>
    <row r="77" ht="13.5" customHeight="1">
      <c r="D77" s="131"/>
    </row>
    <row r="78" ht="13.5" customHeight="1">
      <c r="D78" s="131"/>
    </row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5"/>
    <col customWidth="1" min="3" max="3" width="11.0"/>
    <col customWidth="1" min="4" max="4" width="10.5"/>
    <col customWidth="1" min="5" max="10" width="8.0"/>
    <col customWidth="1" min="11" max="11" width="10.5"/>
    <col customWidth="1" min="12" max="26" width="8.0"/>
  </cols>
  <sheetData>
    <row r="1" ht="13.5" customHeight="1">
      <c r="A1" s="129" t="s">
        <v>69</v>
      </c>
      <c r="B1" s="130" t="s">
        <v>70</v>
      </c>
    </row>
    <row r="2" ht="13.5" customHeight="1">
      <c r="A2" s="5" t="s">
        <v>145</v>
      </c>
    </row>
    <row r="3" ht="13.5" customHeight="1">
      <c r="A3" s="5" t="s">
        <v>149</v>
      </c>
    </row>
    <row r="4" ht="13.5" customHeight="1"/>
    <row r="5" ht="13.5" customHeight="1">
      <c r="A5" s="5" t="s">
        <v>131</v>
      </c>
      <c r="B5" s="5" t="s">
        <v>9</v>
      </c>
      <c r="C5" s="5" t="s">
        <v>140</v>
      </c>
      <c r="D5" s="131" t="s">
        <v>132</v>
      </c>
      <c r="E5" s="5" t="s">
        <v>133</v>
      </c>
      <c r="F5" s="133" t="s">
        <v>134</v>
      </c>
    </row>
    <row r="6" ht="13.5" customHeight="1">
      <c r="A6" s="132">
        <v>0.0</v>
      </c>
      <c r="B6" s="131">
        <v>1.0E-4</v>
      </c>
      <c r="C6" s="131">
        <f t="shared" ref="C6:C28" si="1">B6*2</f>
        <v>0.0002</v>
      </c>
      <c r="D6" s="131">
        <f t="shared" ref="D6:D28" si="2">$B$32+$B$33*$A6+$B$34*$A6^2+$B$35*$A6^3</f>
        <v>0.04119009236</v>
      </c>
      <c r="E6" s="131">
        <f t="shared" ref="E6:E28" si="3">$D6-$C6</f>
        <v>0.04099009236</v>
      </c>
      <c r="F6" s="133">
        <f t="shared" ref="F6:F28" si="4">$E6^2</f>
        <v>0.001680187672</v>
      </c>
    </row>
    <row r="7" ht="13.5" customHeight="1">
      <c r="A7" s="132">
        <v>1.0</v>
      </c>
      <c r="B7" s="131">
        <v>0.3</v>
      </c>
      <c r="C7" s="131">
        <f t="shared" si="1"/>
        <v>0.6</v>
      </c>
      <c r="D7" s="131">
        <f t="shared" si="2"/>
        <v>0.6083933399</v>
      </c>
      <c r="E7" s="131">
        <f t="shared" si="3"/>
        <v>0.008393339902</v>
      </c>
      <c r="F7" s="133">
        <f t="shared" si="4"/>
        <v>0.00007044815471</v>
      </c>
    </row>
    <row r="8" ht="13.5" customHeight="1">
      <c r="A8" s="132">
        <v>2.0</v>
      </c>
      <c r="B8" s="131">
        <v>0.6011</v>
      </c>
      <c r="C8" s="131">
        <f t="shared" si="1"/>
        <v>1.2022</v>
      </c>
      <c r="D8" s="131">
        <f t="shared" si="2"/>
        <v>1.18936596</v>
      </c>
      <c r="E8" s="131">
        <f t="shared" si="3"/>
        <v>-0.01283404007</v>
      </c>
      <c r="F8" s="133">
        <f t="shared" si="4"/>
        <v>0.0001647125845</v>
      </c>
    </row>
    <row r="9" ht="13.5" customHeight="1">
      <c r="A9" s="132">
        <v>3.0</v>
      </c>
      <c r="B9" s="131">
        <v>0.9059</v>
      </c>
      <c r="C9" s="131">
        <f t="shared" si="1"/>
        <v>1.8118</v>
      </c>
      <c r="D9" s="131">
        <f t="shared" si="2"/>
        <v>1.782063494</v>
      </c>
      <c r="E9" s="131">
        <f t="shared" si="3"/>
        <v>-0.02973650556</v>
      </c>
      <c r="F9" s="133">
        <f t="shared" si="4"/>
        <v>0.000884259763</v>
      </c>
    </row>
    <row r="10" ht="13.5" customHeight="1">
      <c r="A10" s="132">
        <v>4.0</v>
      </c>
      <c r="B10" s="131">
        <v>1.2074</v>
      </c>
      <c r="C10" s="131">
        <f t="shared" si="1"/>
        <v>2.4148</v>
      </c>
      <c r="D10" s="131">
        <f t="shared" si="2"/>
        <v>2.384441485</v>
      </c>
      <c r="E10" s="131">
        <f t="shared" si="3"/>
        <v>-0.03035851458</v>
      </c>
      <c r="F10" s="133">
        <f t="shared" si="4"/>
        <v>0.0009216394073</v>
      </c>
    </row>
    <row r="11" ht="13.5" customHeight="1">
      <c r="A11" s="132">
        <v>5.0</v>
      </c>
      <c r="B11" s="131">
        <v>1.5114</v>
      </c>
      <c r="C11" s="131">
        <f t="shared" si="1"/>
        <v>3.0228</v>
      </c>
      <c r="D11" s="131">
        <f t="shared" si="2"/>
        <v>2.994455475</v>
      </c>
      <c r="E11" s="131">
        <f t="shared" si="3"/>
        <v>-0.02834452512</v>
      </c>
      <c r="F11" s="133">
        <f t="shared" si="4"/>
        <v>0.0008034121043</v>
      </c>
    </row>
    <row r="12" ht="13.5" customHeight="1">
      <c r="A12" s="132">
        <v>6.0</v>
      </c>
      <c r="B12" s="131">
        <v>1.8146</v>
      </c>
      <c r="C12" s="131">
        <f t="shared" si="1"/>
        <v>3.6292</v>
      </c>
      <c r="D12" s="131">
        <f t="shared" si="2"/>
        <v>3.610061005</v>
      </c>
      <c r="E12" s="131">
        <f t="shared" si="3"/>
        <v>-0.0191389952</v>
      </c>
      <c r="F12" s="133">
        <f t="shared" si="4"/>
        <v>0.0003663011371</v>
      </c>
    </row>
    <row r="13" ht="13.5" customHeight="1">
      <c r="A13" s="132">
        <v>7.0</v>
      </c>
      <c r="B13" s="131">
        <v>2.118</v>
      </c>
      <c r="C13" s="131">
        <f t="shared" si="1"/>
        <v>4.236</v>
      </c>
      <c r="D13" s="131">
        <f t="shared" si="2"/>
        <v>4.229213617</v>
      </c>
      <c r="E13" s="131">
        <f t="shared" si="3"/>
        <v>-0.00678638281</v>
      </c>
      <c r="F13" s="133">
        <f t="shared" si="4"/>
        <v>0.00004605499165</v>
      </c>
    </row>
    <row r="14" ht="13.5" customHeight="1">
      <c r="A14" s="132">
        <v>8.0</v>
      </c>
      <c r="B14" s="131">
        <v>2.4217</v>
      </c>
      <c r="C14" s="131">
        <f t="shared" si="1"/>
        <v>4.8434</v>
      </c>
      <c r="D14" s="131">
        <f t="shared" si="2"/>
        <v>4.849868854</v>
      </c>
      <c r="E14" s="131">
        <f t="shared" si="3"/>
        <v>0.006468854033</v>
      </c>
      <c r="F14" s="133">
        <f t="shared" si="4"/>
        <v>0.00004184607249</v>
      </c>
    </row>
    <row r="15" ht="13.5" customHeight="1">
      <c r="A15" s="132">
        <v>9.0</v>
      </c>
      <c r="B15" s="131">
        <v>2.7239</v>
      </c>
      <c r="C15" s="131">
        <f t="shared" si="1"/>
        <v>5.4478</v>
      </c>
      <c r="D15" s="131">
        <f t="shared" si="2"/>
        <v>5.469982257</v>
      </c>
      <c r="E15" s="131">
        <f t="shared" si="3"/>
        <v>0.02218225733</v>
      </c>
      <c r="F15" s="133">
        <f t="shared" si="4"/>
        <v>0.0004920525402</v>
      </c>
    </row>
    <row r="16" ht="13.5" customHeight="1">
      <c r="A16" s="132">
        <v>10.0</v>
      </c>
      <c r="B16" s="131">
        <v>3.028</v>
      </c>
      <c r="C16" s="131">
        <f t="shared" si="1"/>
        <v>6.056</v>
      </c>
      <c r="D16" s="131">
        <f t="shared" si="2"/>
        <v>6.087509369</v>
      </c>
      <c r="E16" s="131">
        <f t="shared" si="3"/>
        <v>0.03150936907</v>
      </c>
      <c r="F16" s="133">
        <f t="shared" si="4"/>
        <v>0.0009928403393</v>
      </c>
    </row>
    <row r="17" ht="13.5" customHeight="1">
      <c r="A17" s="132">
        <v>11.0</v>
      </c>
      <c r="B17" s="131">
        <v>3.331</v>
      </c>
      <c r="C17" s="131">
        <f t="shared" si="1"/>
        <v>6.662</v>
      </c>
      <c r="D17" s="131">
        <f t="shared" si="2"/>
        <v>6.700405731</v>
      </c>
      <c r="E17" s="131">
        <f t="shared" si="3"/>
        <v>0.03840573126</v>
      </c>
      <c r="F17" s="133">
        <f t="shared" si="4"/>
        <v>0.001475000193</v>
      </c>
    </row>
    <row r="18" ht="13.5" customHeight="1">
      <c r="A18" s="132">
        <v>12.0</v>
      </c>
      <c r="B18" s="131">
        <v>3.6352</v>
      </c>
      <c r="C18" s="131">
        <f t="shared" si="1"/>
        <v>7.2704</v>
      </c>
      <c r="D18" s="131">
        <f t="shared" si="2"/>
        <v>7.306626886</v>
      </c>
      <c r="E18" s="131">
        <f t="shared" si="3"/>
        <v>0.03622688588</v>
      </c>
      <c r="F18" s="133">
        <f t="shared" si="4"/>
        <v>0.001312387261</v>
      </c>
    </row>
    <row r="19" ht="13.5" customHeight="1">
      <c r="A19" s="132">
        <v>13.0</v>
      </c>
      <c r="B19" s="131">
        <v>3.939</v>
      </c>
      <c r="C19" s="131">
        <f t="shared" si="1"/>
        <v>7.878</v>
      </c>
      <c r="D19" s="131">
        <f t="shared" si="2"/>
        <v>7.904128375</v>
      </c>
      <c r="E19" s="131">
        <f t="shared" si="3"/>
        <v>0.02612837494</v>
      </c>
      <c r="F19" s="133">
        <f t="shared" si="4"/>
        <v>0.0006826919769</v>
      </c>
    </row>
    <row r="20" ht="13.5" customHeight="1">
      <c r="A20" s="132">
        <v>14.0</v>
      </c>
      <c r="B20" s="131">
        <v>4.2422</v>
      </c>
      <c r="C20" s="131">
        <f t="shared" si="1"/>
        <v>8.4844</v>
      </c>
      <c r="D20" s="131">
        <f t="shared" si="2"/>
        <v>8.49086574</v>
      </c>
      <c r="E20" s="131">
        <f t="shared" si="3"/>
        <v>0.006465740425</v>
      </c>
      <c r="F20" s="133">
        <f t="shared" si="4"/>
        <v>0.00004180579924</v>
      </c>
    </row>
    <row r="21" ht="13.5" customHeight="1">
      <c r="A21" s="132">
        <v>15.0</v>
      </c>
      <c r="B21" s="131">
        <v>4.5394</v>
      </c>
      <c r="C21" s="131">
        <f t="shared" si="1"/>
        <v>9.0788</v>
      </c>
      <c r="D21" s="131">
        <f t="shared" si="2"/>
        <v>9.064794524</v>
      </c>
      <c r="E21" s="131">
        <f t="shared" si="3"/>
        <v>-0.01400547567</v>
      </c>
      <c r="F21" s="133">
        <f t="shared" si="4"/>
        <v>0.0001961533486</v>
      </c>
    </row>
    <row r="22" ht="13.5" customHeight="1">
      <c r="A22" s="132">
        <v>16.0</v>
      </c>
      <c r="B22" s="131">
        <v>4.8302</v>
      </c>
      <c r="C22" s="131">
        <f t="shared" si="1"/>
        <v>9.6604</v>
      </c>
      <c r="D22" s="131">
        <f t="shared" si="2"/>
        <v>9.623870269</v>
      </c>
      <c r="E22" s="131">
        <f t="shared" si="3"/>
        <v>-0.03652973134</v>
      </c>
      <c r="F22" s="133">
        <f t="shared" si="4"/>
        <v>0.001334421272</v>
      </c>
    </row>
    <row r="23" ht="13.5" customHeight="1">
      <c r="A23" s="132">
        <v>17.0</v>
      </c>
      <c r="B23" s="131">
        <v>5.1036</v>
      </c>
      <c r="C23" s="131">
        <f t="shared" si="1"/>
        <v>10.2072</v>
      </c>
      <c r="D23" s="131">
        <f t="shared" si="2"/>
        <v>10.16604852</v>
      </c>
      <c r="E23" s="131">
        <f t="shared" si="3"/>
        <v>-0.04115148459</v>
      </c>
      <c r="F23" s="133">
        <f t="shared" si="4"/>
        <v>0.001693444684</v>
      </c>
    </row>
    <row r="24" ht="13.5" customHeight="1">
      <c r="A24" s="132">
        <v>18.0</v>
      </c>
      <c r="B24" s="131">
        <v>5.3575</v>
      </c>
      <c r="C24" s="131">
        <f t="shared" si="1"/>
        <v>10.715</v>
      </c>
      <c r="D24" s="131">
        <f t="shared" si="2"/>
        <v>10.68928481</v>
      </c>
      <c r="E24" s="131">
        <f t="shared" si="3"/>
        <v>-0.02571519344</v>
      </c>
      <c r="F24" s="133">
        <f t="shared" si="4"/>
        <v>0.0006612711737</v>
      </c>
    </row>
    <row r="25" ht="13.5" customHeight="1">
      <c r="A25" s="132">
        <v>19.0</v>
      </c>
      <c r="B25" s="131">
        <v>5.6015</v>
      </c>
      <c r="C25" s="131">
        <f t="shared" si="1"/>
        <v>11.203</v>
      </c>
      <c r="D25" s="131">
        <f t="shared" si="2"/>
        <v>11.19153468</v>
      </c>
      <c r="E25" s="131">
        <f t="shared" si="3"/>
        <v>-0.01146531588</v>
      </c>
      <c r="F25" s="133">
        <f t="shared" si="4"/>
        <v>0.0001314534683</v>
      </c>
    </row>
    <row r="26" ht="13.5" customHeight="1">
      <c r="A26" s="132">
        <v>20.0</v>
      </c>
      <c r="B26" s="131">
        <v>5.8364</v>
      </c>
      <c r="C26" s="131">
        <f t="shared" si="1"/>
        <v>11.6728</v>
      </c>
      <c r="D26" s="131">
        <f t="shared" si="2"/>
        <v>11.67075369</v>
      </c>
      <c r="E26" s="131">
        <f t="shared" si="3"/>
        <v>-0.002046309927</v>
      </c>
      <c r="F26" s="133">
        <f t="shared" si="4"/>
        <v>0.000004187384318</v>
      </c>
    </row>
    <row r="27" ht="13.5" customHeight="1">
      <c r="A27" s="132">
        <v>21.0</v>
      </c>
      <c r="B27" s="131">
        <v>6.0538</v>
      </c>
      <c r="C27" s="131">
        <f t="shared" si="1"/>
        <v>12.1076</v>
      </c>
      <c r="D27" s="131">
        <f t="shared" si="2"/>
        <v>12.12489737</v>
      </c>
      <c r="E27" s="131">
        <f t="shared" si="3"/>
        <v>0.01729736642</v>
      </c>
      <c r="F27" s="133">
        <f t="shared" si="4"/>
        <v>0.0002991988852</v>
      </c>
    </row>
    <row r="28" ht="13.5" customHeight="1">
      <c r="A28" s="132">
        <v>22.0</v>
      </c>
      <c r="B28" s="131">
        <v>6.2639</v>
      </c>
      <c r="C28" s="131">
        <f t="shared" si="1"/>
        <v>12.5278</v>
      </c>
      <c r="D28" s="131">
        <f t="shared" si="2"/>
        <v>12.55192126</v>
      </c>
      <c r="E28" s="131">
        <f t="shared" si="3"/>
        <v>0.02412125517</v>
      </c>
      <c r="F28" s="133">
        <f t="shared" si="4"/>
        <v>0.0005818349508</v>
      </c>
    </row>
    <row r="29" ht="13.5" customHeight="1">
      <c r="F29" s="131">
        <f>SUM(F6:F28)</f>
        <v>0.01487760516</v>
      </c>
    </row>
    <row r="30" ht="13.5" customHeight="1"/>
    <row r="31" ht="13.5" customHeight="1">
      <c r="A31" s="5" t="s">
        <v>135</v>
      </c>
    </row>
    <row r="32" ht="13.5" customHeight="1">
      <c r="A32" s="5" t="s">
        <v>136</v>
      </c>
      <c r="B32" s="134">
        <v>0.04119009236027241</v>
      </c>
    </row>
    <row r="33" ht="13.5" customHeight="1">
      <c r="A33" s="5" t="s">
        <v>137</v>
      </c>
      <c r="B33" s="134">
        <v>0.559637075297106</v>
      </c>
    </row>
    <row r="34" ht="13.5" customHeight="1">
      <c r="A34" s="5" t="s">
        <v>138</v>
      </c>
      <c r="B34" s="134">
        <v>0.007906915245367</v>
      </c>
    </row>
    <row r="35" ht="13.5" customHeight="1">
      <c r="A35" s="5" t="s">
        <v>139</v>
      </c>
      <c r="B35" s="134">
        <v>-3.407430007970405E-4</v>
      </c>
    </row>
    <row r="36" ht="13.5" customHeight="1"/>
    <row r="37" ht="13.5" customHeight="1"/>
    <row r="38" ht="13.5" customHeight="1">
      <c r="A38" s="5" t="s">
        <v>131</v>
      </c>
      <c r="B38" s="5" t="s">
        <v>9</v>
      </c>
      <c r="C38" s="5" t="s">
        <v>140</v>
      </c>
      <c r="D38" s="131" t="s">
        <v>132</v>
      </c>
      <c r="E38" s="5" t="s">
        <v>133</v>
      </c>
      <c r="F38" s="133" t="s">
        <v>134</v>
      </c>
    </row>
    <row r="39" ht="13.5" customHeight="1">
      <c r="A39" s="132">
        <v>0.0</v>
      </c>
      <c r="B39" s="131">
        <v>1.0E-4</v>
      </c>
      <c r="C39" s="131">
        <f t="shared" ref="C39:C61" si="5">B39*2</f>
        <v>0.0002</v>
      </c>
      <c r="D39" s="131">
        <f t="shared" ref="D39:D61" si="6">$B$65+$B$66*$C39+$B$67*$C39^2+$B$68*$C39^3</f>
        <v>-0.09524798137</v>
      </c>
      <c r="E39" s="131">
        <f t="shared" ref="E39:E61" si="7">$D39-$A39</f>
        <v>-0.09524798137</v>
      </c>
      <c r="F39" s="133">
        <f t="shared" ref="F39:F61" si="8">$E39^2</f>
        <v>0.009072177955</v>
      </c>
    </row>
    <row r="40" ht="13.5" customHeight="1">
      <c r="A40" s="132">
        <v>1.0</v>
      </c>
      <c r="B40" s="131">
        <v>0.3</v>
      </c>
      <c r="C40" s="131">
        <f t="shared" si="5"/>
        <v>0.6</v>
      </c>
      <c r="D40" s="131">
        <f t="shared" si="6"/>
        <v>0.9810286882</v>
      </c>
      <c r="E40" s="131">
        <f t="shared" si="7"/>
        <v>-0.0189713118</v>
      </c>
      <c r="F40" s="133">
        <f t="shared" si="8"/>
        <v>0.0003599106715</v>
      </c>
    </row>
    <row r="41" ht="13.5" customHeight="1">
      <c r="A41" s="132">
        <v>2.0</v>
      </c>
      <c r="B41" s="131">
        <v>0.6011</v>
      </c>
      <c r="C41" s="131">
        <f t="shared" si="5"/>
        <v>1.2022</v>
      </c>
      <c r="D41" s="131">
        <f t="shared" si="6"/>
        <v>2.031090494</v>
      </c>
      <c r="E41" s="131">
        <f t="shared" si="7"/>
        <v>0.03109049413</v>
      </c>
      <c r="F41" s="133">
        <f t="shared" si="8"/>
        <v>0.0009666188256</v>
      </c>
    </row>
    <row r="42" ht="13.5" customHeight="1">
      <c r="A42" s="132">
        <v>3.0</v>
      </c>
      <c r="B42" s="131">
        <v>0.9059</v>
      </c>
      <c r="C42" s="131">
        <f t="shared" si="5"/>
        <v>1.8118</v>
      </c>
      <c r="D42" s="131">
        <f t="shared" si="6"/>
        <v>3.067486846</v>
      </c>
      <c r="E42" s="131">
        <f t="shared" si="7"/>
        <v>0.06748684601</v>
      </c>
      <c r="F42" s="133">
        <f t="shared" si="8"/>
        <v>0.004554474385</v>
      </c>
    </row>
    <row r="43" ht="13.5" customHeight="1">
      <c r="A43" s="132">
        <v>4.0</v>
      </c>
      <c r="B43" s="131">
        <v>1.2074</v>
      </c>
      <c r="C43" s="131">
        <f t="shared" si="5"/>
        <v>2.4148</v>
      </c>
      <c r="D43" s="131">
        <f t="shared" si="6"/>
        <v>4.070904648</v>
      </c>
      <c r="E43" s="131">
        <f t="shared" si="7"/>
        <v>0.07090464826</v>
      </c>
      <c r="F43" s="133">
        <f t="shared" si="8"/>
        <v>0.005027469145</v>
      </c>
    </row>
    <row r="44" ht="13.5" customHeight="1">
      <c r="A44" s="132">
        <v>5.0</v>
      </c>
      <c r="B44" s="131">
        <v>1.5114</v>
      </c>
      <c r="C44" s="131">
        <f t="shared" si="5"/>
        <v>3.0228</v>
      </c>
      <c r="D44" s="131">
        <f t="shared" si="6"/>
        <v>5.065320576</v>
      </c>
      <c r="E44" s="131">
        <f t="shared" si="7"/>
        <v>0.06532057605</v>
      </c>
      <c r="F44" s="133">
        <f t="shared" si="8"/>
        <v>0.004266777656</v>
      </c>
    </row>
    <row r="45" ht="13.5" customHeight="1">
      <c r="A45" s="132">
        <v>6.0</v>
      </c>
      <c r="B45" s="131">
        <v>1.8146</v>
      </c>
      <c r="C45" s="131">
        <f t="shared" si="5"/>
        <v>3.6292</v>
      </c>
      <c r="D45" s="131">
        <f t="shared" si="6"/>
        <v>6.04437442</v>
      </c>
      <c r="E45" s="131">
        <f t="shared" si="7"/>
        <v>0.04437441996</v>
      </c>
      <c r="F45" s="133">
        <f t="shared" si="8"/>
        <v>0.001969089147</v>
      </c>
    </row>
    <row r="46" ht="13.5" customHeight="1">
      <c r="A46" s="132">
        <v>7.0</v>
      </c>
      <c r="B46" s="131">
        <v>2.118</v>
      </c>
      <c r="C46" s="131">
        <f t="shared" si="5"/>
        <v>4.236</v>
      </c>
      <c r="D46" s="131">
        <f t="shared" si="6"/>
        <v>7.015920948</v>
      </c>
      <c r="E46" s="131">
        <f t="shared" si="7"/>
        <v>0.01592094796</v>
      </c>
      <c r="F46" s="133">
        <f t="shared" si="8"/>
        <v>0.0002534765841</v>
      </c>
    </row>
    <row r="47" ht="13.5" customHeight="1">
      <c r="A47" s="132">
        <v>8.0</v>
      </c>
      <c r="B47" s="131">
        <v>2.4217</v>
      </c>
      <c r="C47" s="131">
        <f t="shared" si="5"/>
        <v>4.8434</v>
      </c>
      <c r="D47" s="131">
        <f t="shared" si="6"/>
        <v>7.984854899</v>
      </c>
      <c r="E47" s="131">
        <f t="shared" si="7"/>
        <v>-0.01514510109</v>
      </c>
      <c r="F47" s="133">
        <f t="shared" si="8"/>
        <v>0.000229374087</v>
      </c>
    </row>
    <row r="48" ht="13.5" customHeight="1">
      <c r="A48" s="132">
        <v>9.0</v>
      </c>
      <c r="B48" s="131">
        <v>2.7239</v>
      </c>
      <c r="C48" s="131">
        <f t="shared" si="5"/>
        <v>5.4478</v>
      </c>
      <c r="D48" s="131">
        <f t="shared" si="6"/>
        <v>8.950012583</v>
      </c>
      <c r="E48" s="131">
        <f t="shared" si="7"/>
        <v>-0.04998741723</v>
      </c>
      <c r="F48" s="133">
        <f t="shared" si="8"/>
        <v>0.002498741882</v>
      </c>
    </row>
    <row r="49" ht="13.5" customHeight="1">
      <c r="A49" s="132">
        <v>10.0</v>
      </c>
      <c r="B49" s="131">
        <v>3.028</v>
      </c>
      <c r="C49" s="131">
        <f t="shared" si="5"/>
        <v>6.056</v>
      </c>
      <c r="D49" s="131">
        <f t="shared" si="6"/>
        <v>9.926847986</v>
      </c>
      <c r="E49" s="131">
        <f t="shared" si="7"/>
        <v>-0.07315201425</v>
      </c>
      <c r="F49" s="133">
        <f t="shared" si="8"/>
        <v>0.005351217189</v>
      </c>
    </row>
    <row r="50" ht="13.5" customHeight="1">
      <c r="A50" s="132">
        <v>11.0</v>
      </c>
      <c r="B50" s="131">
        <v>3.331</v>
      </c>
      <c r="C50" s="131">
        <f t="shared" si="5"/>
        <v>6.662</v>
      </c>
      <c r="D50" s="131">
        <f t="shared" si="6"/>
        <v>10.91032564</v>
      </c>
      <c r="E50" s="131">
        <f t="shared" si="7"/>
        <v>-0.08967435689</v>
      </c>
      <c r="F50" s="133">
        <f t="shared" si="8"/>
        <v>0.008041490284</v>
      </c>
    </row>
    <row r="51" ht="13.5" customHeight="1">
      <c r="A51" s="132">
        <v>12.0</v>
      </c>
      <c r="B51" s="131">
        <v>3.6352</v>
      </c>
      <c r="C51" s="131">
        <f t="shared" si="5"/>
        <v>7.2704</v>
      </c>
      <c r="D51" s="131">
        <f t="shared" si="6"/>
        <v>11.912524</v>
      </c>
      <c r="E51" s="131">
        <f t="shared" si="7"/>
        <v>-0.08747600055</v>
      </c>
      <c r="F51" s="133">
        <f t="shared" si="8"/>
        <v>0.007652050673</v>
      </c>
    </row>
    <row r="52" ht="13.5" customHeight="1">
      <c r="A52" s="132">
        <v>13.0</v>
      </c>
      <c r="B52" s="131">
        <v>3.939</v>
      </c>
      <c r="C52" s="131">
        <f t="shared" si="5"/>
        <v>7.878</v>
      </c>
      <c r="D52" s="131">
        <f t="shared" si="6"/>
        <v>12.93283684</v>
      </c>
      <c r="E52" s="131">
        <f t="shared" si="7"/>
        <v>-0.06716315988</v>
      </c>
      <c r="F52" s="133">
        <f t="shared" si="8"/>
        <v>0.004510890045</v>
      </c>
    </row>
    <row r="53" ht="13.5" customHeight="1">
      <c r="A53" s="132">
        <v>14.0</v>
      </c>
      <c r="B53" s="131">
        <v>4.2422</v>
      </c>
      <c r="C53" s="131">
        <f t="shared" si="5"/>
        <v>8.4844</v>
      </c>
      <c r="D53" s="131">
        <f t="shared" si="6"/>
        <v>13.9750875</v>
      </c>
      <c r="E53" s="131">
        <f t="shared" si="7"/>
        <v>-0.02491250043</v>
      </c>
      <c r="F53" s="133">
        <f t="shared" si="8"/>
        <v>0.0006206326777</v>
      </c>
    </row>
    <row r="54" ht="13.5" customHeight="1">
      <c r="A54" s="132">
        <v>15.0</v>
      </c>
      <c r="B54" s="131">
        <v>4.5394</v>
      </c>
      <c r="C54" s="131">
        <f t="shared" si="5"/>
        <v>9.0788</v>
      </c>
      <c r="D54" s="131">
        <f t="shared" si="6"/>
        <v>15.0243537</v>
      </c>
      <c r="E54" s="131">
        <f t="shared" si="7"/>
        <v>0.02435369769</v>
      </c>
      <c r="F54" s="133">
        <f t="shared" si="8"/>
        <v>0.0005931025911</v>
      </c>
    </row>
    <row r="55" ht="13.5" customHeight="1">
      <c r="A55" s="132">
        <v>16.0</v>
      </c>
      <c r="B55" s="131">
        <v>4.8302</v>
      </c>
      <c r="C55" s="131">
        <f t="shared" si="5"/>
        <v>9.6604</v>
      </c>
      <c r="D55" s="131">
        <f t="shared" si="6"/>
        <v>16.08168313</v>
      </c>
      <c r="E55" s="131">
        <f t="shared" si="7"/>
        <v>0.08168312592</v>
      </c>
      <c r="F55" s="133">
        <f t="shared" si="8"/>
        <v>0.006672133061</v>
      </c>
    </row>
    <row r="56" ht="13.5" customHeight="1">
      <c r="A56" s="132">
        <v>17.0</v>
      </c>
      <c r="B56" s="131">
        <v>5.1036</v>
      </c>
      <c r="C56" s="131">
        <f t="shared" si="5"/>
        <v>10.2072</v>
      </c>
      <c r="D56" s="131">
        <f t="shared" si="6"/>
        <v>17.10704214</v>
      </c>
      <c r="E56" s="131">
        <f t="shared" si="7"/>
        <v>0.1070421389</v>
      </c>
      <c r="F56" s="133">
        <f t="shared" si="8"/>
        <v>0.01145801951</v>
      </c>
    </row>
    <row r="57" ht="13.5" customHeight="1">
      <c r="A57" s="132">
        <v>18.0</v>
      </c>
      <c r="B57" s="131">
        <v>5.3575</v>
      </c>
      <c r="C57" s="131">
        <f t="shared" si="5"/>
        <v>10.715</v>
      </c>
      <c r="D57" s="131">
        <f t="shared" si="6"/>
        <v>18.08942878</v>
      </c>
      <c r="E57" s="131">
        <f t="shared" si="7"/>
        <v>0.08942877848</v>
      </c>
      <c r="F57" s="133">
        <f t="shared" si="8"/>
        <v>0.00799750642</v>
      </c>
    </row>
    <row r="58" ht="13.5" customHeight="1">
      <c r="A58" s="132">
        <v>19.0</v>
      </c>
      <c r="B58" s="131">
        <v>5.6015</v>
      </c>
      <c r="C58" s="131">
        <f t="shared" si="5"/>
        <v>11.203</v>
      </c>
      <c r="D58" s="131">
        <f t="shared" si="6"/>
        <v>19.06344401</v>
      </c>
      <c r="E58" s="131">
        <f t="shared" si="7"/>
        <v>0.0634440135</v>
      </c>
      <c r="F58" s="133">
        <f t="shared" si="8"/>
        <v>0.004025142849</v>
      </c>
    </row>
    <row r="59" ht="13.5" customHeight="1">
      <c r="A59" s="132">
        <v>20.0</v>
      </c>
      <c r="B59" s="131">
        <v>5.8364</v>
      </c>
      <c r="C59" s="131">
        <f t="shared" si="5"/>
        <v>11.6728</v>
      </c>
      <c r="D59" s="131">
        <f t="shared" si="6"/>
        <v>20.0311075</v>
      </c>
      <c r="E59" s="131">
        <f t="shared" si="7"/>
        <v>0.03110750234</v>
      </c>
      <c r="F59" s="133">
        <f t="shared" si="8"/>
        <v>0.0009676767016</v>
      </c>
    </row>
    <row r="60" ht="13.5" customHeight="1">
      <c r="A60" s="132">
        <v>21.0</v>
      </c>
      <c r="B60" s="131">
        <v>6.0538</v>
      </c>
      <c r="C60" s="131">
        <f t="shared" si="5"/>
        <v>12.1076</v>
      </c>
      <c r="D60" s="131">
        <f t="shared" si="6"/>
        <v>20.95475491</v>
      </c>
      <c r="E60" s="131">
        <f t="shared" si="7"/>
        <v>-0.04524508809</v>
      </c>
      <c r="F60" s="133">
        <f t="shared" si="8"/>
        <v>0.002047117997</v>
      </c>
    </row>
    <row r="61" ht="13.5" customHeight="1">
      <c r="A61" s="132">
        <v>22.0</v>
      </c>
      <c r="B61" s="131">
        <v>6.2639</v>
      </c>
      <c r="C61" s="131">
        <f t="shared" si="5"/>
        <v>12.5278</v>
      </c>
      <c r="D61" s="131">
        <f t="shared" si="6"/>
        <v>21.87466048</v>
      </c>
      <c r="E61" s="131">
        <f t="shared" si="7"/>
        <v>-0.1253395221</v>
      </c>
      <c r="F61" s="133">
        <f t="shared" si="8"/>
        <v>0.01570999581</v>
      </c>
    </row>
    <row r="62" ht="13.5" customHeight="1">
      <c r="F62" s="131">
        <f>SUM(F39:F61)</f>
        <v>0.1048450861</v>
      </c>
    </row>
    <row r="63" ht="14.25" customHeight="1"/>
    <row r="64" ht="14.25" customHeight="1">
      <c r="A64" s="5" t="s">
        <v>135</v>
      </c>
      <c r="I64" s="5" t="s">
        <v>141</v>
      </c>
      <c r="K64" s="135">
        <v>1221.0</v>
      </c>
    </row>
    <row r="65" ht="13.5" customHeight="1">
      <c r="A65" s="5" t="s">
        <v>136</v>
      </c>
      <c r="B65" s="134">
        <v>-0.09561241343701785</v>
      </c>
      <c r="I65" s="5" t="s">
        <v>142</v>
      </c>
      <c r="K65" s="131">
        <f>$B$32+$B$33*K64/100+$B$34*K64^2*0.0001+$B$35*K64^3*0.000001</f>
        <v>7.432893895</v>
      </c>
    </row>
    <row r="66" ht="14.25" customHeight="1">
      <c r="A66" s="5" t="s">
        <v>137</v>
      </c>
      <c r="B66" s="134">
        <v>1.8221700006609365</v>
      </c>
    </row>
    <row r="67" ht="14.25" customHeight="1">
      <c r="A67" s="5" t="s">
        <v>138</v>
      </c>
      <c r="B67" s="134">
        <v>-0.048333455141302564</v>
      </c>
      <c r="I67" s="5" t="s">
        <v>143</v>
      </c>
      <c r="K67" s="136">
        <v>7.4</v>
      </c>
    </row>
    <row r="68" ht="13.5" customHeight="1">
      <c r="A68" s="5" t="s">
        <v>139</v>
      </c>
      <c r="B68" s="134">
        <v>0.0034219680052985277</v>
      </c>
      <c r="I68" s="5" t="s">
        <v>144</v>
      </c>
      <c r="K68" s="81">
        <f>$B$65*100+$B$66*K67*100+$B67*K67^2*100+$B$68*K67^3*100</f>
        <v>1212.836915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0.75"/>
    <col customWidth="1" min="3" max="3" width="11.5"/>
    <col customWidth="1" min="4" max="4" width="9.25"/>
    <col customWidth="1" min="5" max="26" width="8.0"/>
  </cols>
  <sheetData>
    <row r="1" ht="13.5" customHeight="1">
      <c r="A1" s="129" t="s">
        <v>71</v>
      </c>
      <c r="B1" s="130" t="s">
        <v>72</v>
      </c>
    </row>
    <row r="2" ht="13.5" customHeight="1">
      <c r="A2" s="5" t="s">
        <v>152</v>
      </c>
    </row>
    <row r="3" ht="13.5" customHeight="1">
      <c r="A3" s="5" t="s">
        <v>153</v>
      </c>
    </row>
    <row r="4" ht="13.5" customHeight="1"/>
    <row r="5" ht="13.5" customHeight="1">
      <c r="A5" s="5" t="s">
        <v>131</v>
      </c>
      <c r="B5" s="5" t="s">
        <v>9</v>
      </c>
      <c r="C5" s="5" t="s">
        <v>140</v>
      </c>
      <c r="D5" s="131" t="s">
        <v>132</v>
      </c>
      <c r="E5" s="5" t="s">
        <v>133</v>
      </c>
      <c r="F5" s="133" t="s">
        <v>134</v>
      </c>
    </row>
    <row r="6" ht="13.5" customHeight="1">
      <c r="A6" s="132">
        <v>0.0</v>
      </c>
      <c r="B6" s="131">
        <v>1.0E-4</v>
      </c>
      <c r="C6" s="131">
        <f t="shared" ref="C6:C8" si="1">B6*8</f>
        <v>0.0008</v>
      </c>
      <c r="D6" s="131">
        <f t="shared" ref="D6:D8" si="2">$B$12+$B$13*$A6</f>
        <v>0.02839980158</v>
      </c>
      <c r="E6" s="131">
        <f t="shared" ref="E6:E8" si="3">$D6-$C6</f>
        <v>0.02759980158</v>
      </c>
      <c r="F6" s="133">
        <f t="shared" ref="F6:F8" si="4">$E6^2</f>
        <v>0.0007617490473</v>
      </c>
    </row>
    <row r="7" ht="13.5" customHeight="1">
      <c r="A7" s="132">
        <v>1.0</v>
      </c>
      <c r="B7" s="131">
        <v>0.2403</v>
      </c>
      <c r="C7" s="131">
        <f t="shared" si="1"/>
        <v>1.9224</v>
      </c>
      <c r="D7" s="131">
        <f t="shared" si="2"/>
        <v>1.867199775</v>
      </c>
      <c r="E7" s="131">
        <f t="shared" si="3"/>
        <v>-0.05520022542</v>
      </c>
      <c r="F7" s="133">
        <f t="shared" si="4"/>
        <v>0.003047064886</v>
      </c>
    </row>
    <row r="8" ht="13.5" customHeight="1">
      <c r="A8" s="132">
        <v>2.0</v>
      </c>
      <c r="B8" s="131">
        <v>0.4598</v>
      </c>
      <c r="C8" s="131">
        <f t="shared" si="1"/>
        <v>3.6784</v>
      </c>
      <c r="D8" s="131">
        <f t="shared" si="2"/>
        <v>3.705999748</v>
      </c>
      <c r="E8" s="131">
        <f t="shared" si="3"/>
        <v>0.02759974758</v>
      </c>
      <c r="F8" s="133">
        <f t="shared" si="4"/>
        <v>0.0007617460667</v>
      </c>
    </row>
    <row r="9" ht="13.5" customHeight="1">
      <c r="F9" s="133">
        <f>SUM(F6:F8)</f>
        <v>0.00457056</v>
      </c>
    </row>
    <row r="10" ht="13.5" customHeight="1"/>
    <row r="11" ht="13.5" customHeight="1">
      <c r="A11" s="5" t="s">
        <v>154</v>
      </c>
    </row>
    <row r="12" ht="13.5" customHeight="1">
      <c r="A12" s="5" t="s">
        <v>136</v>
      </c>
      <c r="B12" s="134">
        <v>0.028399801580499137</v>
      </c>
    </row>
    <row r="13" ht="13.5" customHeight="1">
      <c r="A13" s="5" t="s">
        <v>137</v>
      </c>
      <c r="B13" s="134">
        <v>1.8387999730016102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>
      <c r="A20" s="5" t="s">
        <v>131</v>
      </c>
      <c r="B20" s="5" t="s">
        <v>9</v>
      </c>
      <c r="C20" s="5" t="s">
        <v>140</v>
      </c>
      <c r="D20" s="131" t="s">
        <v>132</v>
      </c>
      <c r="E20" s="5" t="s">
        <v>133</v>
      </c>
      <c r="F20" s="133" t="s">
        <v>134</v>
      </c>
    </row>
    <row r="21" ht="13.5" customHeight="1">
      <c r="A21" s="132">
        <v>0.0</v>
      </c>
      <c r="B21" s="131">
        <v>1.0E-4</v>
      </c>
      <c r="C21" s="131">
        <f t="shared" ref="C21:C23" si="5">B21*8</f>
        <v>0.0008</v>
      </c>
      <c r="D21" s="131">
        <f t="shared" ref="D21:D23" si="6">$B$27+$B$28*$C21</f>
        <v>-0.01432425702</v>
      </c>
      <c r="E21" s="131">
        <f t="shared" ref="E21:E23" si="7">$D21-$A21</f>
        <v>-0.01432425702</v>
      </c>
      <c r="F21" s="133">
        <f t="shared" ref="F21:F23" si="8">$E21^2</f>
        <v>0.0002051843392</v>
      </c>
    </row>
    <row r="22" ht="13.5" customHeight="1">
      <c r="A22" s="132">
        <v>1.0</v>
      </c>
      <c r="B22" s="131">
        <v>0.2403</v>
      </c>
      <c r="C22" s="131">
        <f t="shared" si="5"/>
        <v>1.9224</v>
      </c>
      <c r="D22" s="131">
        <f t="shared" si="6"/>
        <v>1.029999091</v>
      </c>
      <c r="E22" s="131">
        <f t="shared" si="7"/>
        <v>0.02999909087</v>
      </c>
      <c r="F22" s="133">
        <f t="shared" si="8"/>
        <v>0.0008999454533</v>
      </c>
    </row>
    <row r="23" ht="13.5" customHeight="1">
      <c r="A23" s="132">
        <v>2.0</v>
      </c>
      <c r="B23" s="131">
        <v>0.4598</v>
      </c>
      <c r="C23" s="131">
        <f t="shared" si="5"/>
        <v>3.6784</v>
      </c>
      <c r="D23" s="131">
        <f t="shared" si="6"/>
        <v>1.984324548</v>
      </c>
      <c r="E23" s="131">
        <f t="shared" si="7"/>
        <v>-0.01567545175</v>
      </c>
      <c r="F23" s="133">
        <f t="shared" si="8"/>
        <v>0.0002457197874</v>
      </c>
    </row>
    <row r="24" ht="13.5" customHeight="1">
      <c r="F24" s="133">
        <f>SUM(F21:F23)</f>
        <v>0.00135084958</v>
      </c>
    </row>
    <row r="25" ht="13.5" customHeight="1"/>
    <row r="26" ht="13.5" customHeight="1">
      <c r="A26" s="5" t="s">
        <v>154</v>
      </c>
    </row>
    <row r="27" ht="13.5" customHeight="1">
      <c r="A27" s="5" t="s">
        <v>136</v>
      </c>
      <c r="B27" s="134">
        <v>-0.014759029437581728</v>
      </c>
    </row>
    <row r="28" ht="13.5" customHeight="1">
      <c r="A28" s="5" t="s">
        <v>137</v>
      </c>
      <c r="B28" s="134">
        <v>0.5434655224258779</v>
      </c>
    </row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4.25" customHeight="1"/>
    <row r="38" ht="14.25" customHeight="1">
      <c r="I38" s="5" t="s">
        <v>141</v>
      </c>
      <c r="K38" s="135">
        <v>52.0</v>
      </c>
    </row>
    <row r="39" ht="13.5" customHeight="1">
      <c r="I39" s="5" t="s">
        <v>142</v>
      </c>
      <c r="K39" s="131">
        <f>$B$12+$B$13*K38/100</f>
        <v>0.9845757875</v>
      </c>
    </row>
    <row r="40" ht="14.25" customHeight="1"/>
    <row r="41" ht="14.25" customHeight="1">
      <c r="I41" s="5" t="s">
        <v>143</v>
      </c>
      <c r="K41" s="136">
        <v>1.0</v>
      </c>
    </row>
    <row r="42" ht="13.5" customHeight="1">
      <c r="I42" s="5" t="s">
        <v>144</v>
      </c>
      <c r="K42" s="81">
        <f>$B$27*100+$B$28*K41*100</f>
        <v>52.8706493</v>
      </c>
    </row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0.5"/>
    <col customWidth="1" min="3" max="3" width="10.75"/>
    <col customWidth="1" min="4" max="4" width="8.0"/>
    <col customWidth="1" min="5" max="5" width="10.38"/>
    <col customWidth="1" min="6" max="26" width="8.0"/>
  </cols>
  <sheetData>
    <row r="1" ht="13.5" customHeight="1">
      <c r="A1" s="129" t="s">
        <v>73</v>
      </c>
      <c r="B1" s="130" t="s">
        <v>70</v>
      </c>
    </row>
    <row r="2" ht="13.5" customHeight="1">
      <c r="A2" s="5" t="s">
        <v>145</v>
      </c>
    </row>
    <row r="3" ht="13.5" customHeight="1">
      <c r="A3" s="5" t="s">
        <v>149</v>
      </c>
    </row>
    <row r="4" ht="13.5" customHeight="1"/>
    <row r="5" ht="13.5" customHeight="1">
      <c r="A5" s="5" t="s">
        <v>131</v>
      </c>
      <c r="B5" s="5" t="s">
        <v>9</v>
      </c>
      <c r="C5" s="5" t="s">
        <v>140</v>
      </c>
      <c r="D5" s="131" t="s">
        <v>132</v>
      </c>
      <c r="E5" s="5" t="s">
        <v>133</v>
      </c>
      <c r="F5" s="133" t="s">
        <v>134</v>
      </c>
    </row>
    <row r="6" ht="13.5" customHeight="1">
      <c r="A6" s="132">
        <v>0.0</v>
      </c>
      <c r="B6" s="131">
        <v>0.001</v>
      </c>
      <c r="C6" s="131">
        <f t="shared" ref="C6:C28" si="1">B6*2</f>
        <v>0.002</v>
      </c>
      <c r="D6" s="131">
        <f t="shared" ref="D6:D28" si="2">$B$32+$B$33*$A6+$B$34*$A6^2+$B$35*$A6^3</f>
        <v>0.04118917065</v>
      </c>
      <c r="E6" s="131">
        <f t="shared" ref="E6:E28" si="3">$D6-$C6</f>
        <v>0.03918917065</v>
      </c>
      <c r="F6" s="133">
        <f t="shared" ref="F6:F28" si="4">$E6^2</f>
        <v>0.001535791096</v>
      </c>
    </row>
    <row r="7" ht="13.5" customHeight="1">
      <c r="A7" s="132">
        <v>1.0</v>
      </c>
      <c r="B7" s="131">
        <v>0.3043</v>
      </c>
      <c r="C7" s="131">
        <f t="shared" si="1"/>
        <v>0.6086</v>
      </c>
      <c r="D7" s="131">
        <f t="shared" si="2"/>
        <v>0.6083192003</v>
      </c>
      <c r="E7" s="131">
        <f t="shared" si="3"/>
        <v>-0.0002807997375</v>
      </c>
      <c r="F7" s="133">
        <f t="shared" si="4"/>
        <v>0.0000000788484926</v>
      </c>
    </row>
    <row r="8" ht="13.5" customHeight="1">
      <c r="A8" s="132">
        <v>2.0</v>
      </c>
      <c r="B8" s="131">
        <v>0.6016</v>
      </c>
      <c r="C8" s="131">
        <f t="shared" si="1"/>
        <v>1.2032</v>
      </c>
      <c r="D8" s="131">
        <f t="shared" si="2"/>
        <v>1.189102396</v>
      </c>
      <c r="E8" s="131">
        <f t="shared" si="3"/>
        <v>-0.01409760391</v>
      </c>
      <c r="F8" s="133">
        <f t="shared" si="4"/>
        <v>0.000198742436</v>
      </c>
    </row>
    <row r="9" ht="13.5" customHeight="1">
      <c r="A9" s="132">
        <v>3.0</v>
      </c>
      <c r="B9" s="131">
        <v>0.9054</v>
      </c>
      <c r="C9" s="131">
        <f t="shared" si="1"/>
        <v>1.8108</v>
      </c>
      <c r="D9" s="131">
        <f t="shared" si="2"/>
        <v>1.781501551</v>
      </c>
      <c r="E9" s="131">
        <f t="shared" si="3"/>
        <v>-0.02929844883</v>
      </c>
      <c r="F9" s="133">
        <f t="shared" si="4"/>
        <v>0.0008583991036</v>
      </c>
    </row>
    <row r="10" ht="13.5" customHeight="1">
      <c r="A10" s="132">
        <v>4.0</v>
      </c>
      <c r="B10" s="131">
        <v>1.2077</v>
      </c>
      <c r="C10" s="131">
        <f t="shared" si="1"/>
        <v>2.4154</v>
      </c>
      <c r="D10" s="131">
        <f t="shared" si="2"/>
        <v>2.383479459</v>
      </c>
      <c r="E10" s="131">
        <f t="shared" si="3"/>
        <v>-0.03192054145</v>
      </c>
      <c r="F10" s="133">
        <f t="shared" si="4"/>
        <v>0.001018920966</v>
      </c>
    </row>
    <row r="11" ht="13.5" customHeight="1">
      <c r="A11" s="132">
        <v>5.0</v>
      </c>
      <c r="B11" s="131">
        <v>1.5121</v>
      </c>
      <c r="C11" s="131">
        <f t="shared" si="1"/>
        <v>3.0242</v>
      </c>
      <c r="D11" s="131">
        <f t="shared" si="2"/>
        <v>2.992998911</v>
      </c>
      <c r="E11" s="131">
        <f t="shared" si="3"/>
        <v>-0.03120108873</v>
      </c>
      <c r="F11" s="133">
        <f t="shared" si="4"/>
        <v>0.0009735079379</v>
      </c>
    </row>
    <row r="12" ht="13.5" customHeight="1">
      <c r="A12" s="132">
        <v>6.0</v>
      </c>
      <c r="B12" s="131">
        <v>1.8133</v>
      </c>
      <c r="C12" s="131">
        <f t="shared" si="1"/>
        <v>3.6266</v>
      </c>
      <c r="D12" s="131">
        <f t="shared" si="2"/>
        <v>3.608022702</v>
      </c>
      <c r="E12" s="131">
        <f t="shared" si="3"/>
        <v>-0.01857729764</v>
      </c>
      <c r="F12" s="133">
        <f t="shared" si="4"/>
        <v>0.0003451159874</v>
      </c>
    </row>
    <row r="13" ht="13.5" customHeight="1">
      <c r="A13" s="132">
        <v>7.0</v>
      </c>
      <c r="B13" s="131">
        <v>2.1162</v>
      </c>
      <c r="C13" s="131">
        <f t="shared" si="1"/>
        <v>4.2324</v>
      </c>
      <c r="D13" s="131">
        <f t="shared" si="2"/>
        <v>4.226513625</v>
      </c>
      <c r="E13" s="131">
        <f t="shared" si="3"/>
        <v>-0.005886375123</v>
      </c>
      <c r="F13" s="133">
        <f t="shared" si="4"/>
        <v>0.00003464941209</v>
      </c>
    </row>
    <row r="14" ht="13.5" customHeight="1">
      <c r="A14" s="132">
        <v>8.0</v>
      </c>
      <c r="B14" s="131">
        <v>2.4188</v>
      </c>
      <c r="C14" s="131">
        <f t="shared" si="1"/>
        <v>4.8376</v>
      </c>
      <c r="D14" s="131">
        <f t="shared" si="2"/>
        <v>4.846434472</v>
      </c>
      <c r="E14" s="131">
        <f t="shared" si="3"/>
        <v>0.008834471847</v>
      </c>
      <c r="F14" s="133">
        <f t="shared" si="4"/>
        <v>0.00007804789282</v>
      </c>
    </row>
    <row r="15" ht="13.5" customHeight="1">
      <c r="A15" s="132">
        <v>9.0</v>
      </c>
      <c r="B15" s="131">
        <v>2.7214</v>
      </c>
      <c r="C15" s="131">
        <f t="shared" si="1"/>
        <v>5.4428</v>
      </c>
      <c r="D15" s="131">
        <f t="shared" si="2"/>
        <v>5.465748036</v>
      </c>
      <c r="E15" s="131">
        <f t="shared" si="3"/>
        <v>0.02294803632</v>
      </c>
      <c r="F15" s="133">
        <f t="shared" si="4"/>
        <v>0.0005266123708</v>
      </c>
    </row>
    <row r="16" ht="13.5" customHeight="1">
      <c r="A16" s="132">
        <v>10.0</v>
      </c>
      <c r="B16" s="131">
        <v>3.025</v>
      </c>
      <c r="C16" s="131">
        <f t="shared" si="1"/>
        <v>6.05</v>
      </c>
      <c r="D16" s="131">
        <f t="shared" si="2"/>
        <v>6.082417111</v>
      </c>
      <c r="E16" s="131">
        <f t="shared" si="3"/>
        <v>0.03241711133</v>
      </c>
      <c r="F16" s="133">
        <f t="shared" si="4"/>
        <v>0.001050869107</v>
      </c>
    </row>
    <row r="17" ht="13.5" customHeight="1">
      <c r="A17" s="132">
        <v>11.0</v>
      </c>
      <c r="B17" s="131">
        <v>3.329</v>
      </c>
      <c r="C17" s="131">
        <f t="shared" si="1"/>
        <v>6.658</v>
      </c>
      <c r="D17" s="131">
        <f t="shared" si="2"/>
        <v>6.69440449</v>
      </c>
      <c r="E17" s="131">
        <f t="shared" si="3"/>
        <v>0.03640448992</v>
      </c>
      <c r="F17" s="133">
        <f t="shared" si="4"/>
        <v>0.001325286886</v>
      </c>
    </row>
    <row r="18" ht="13.5" customHeight="1">
      <c r="A18" s="132">
        <v>12.0</v>
      </c>
      <c r="B18" s="131">
        <v>3.6313</v>
      </c>
      <c r="C18" s="131">
        <f t="shared" si="1"/>
        <v>7.2626</v>
      </c>
      <c r="D18" s="131">
        <f t="shared" si="2"/>
        <v>7.299672965</v>
      </c>
      <c r="E18" s="131">
        <f t="shared" si="3"/>
        <v>0.03707296513</v>
      </c>
      <c r="F18" s="133">
        <f t="shared" si="4"/>
        <v>0.001374404743</v>
      </c>
    </row>
    <row r="19" ht="13.5" customHeight="1">
      <c r="A19" s="132">
        <v>13.0</v>
      </c>
      <c r="B19" s="131">
        <v>3.9349</v>
      </c>
      <c r="C19" s="131">
        <f t="shared" si="1"/>
        <v>7.8698</v>
      </c>
      <c r="D19" s="131">
        <f t="shared" si="2"/>
        <v>7.89618533</v>
      </c>
      <c r="E19" s="131">
        <f t="shared" si="3"/>
        <v>0.02638533</v>
      </c>
      <c r="F19" s="133">
        <f t="shared" si="4"/>
        <v>0.0006961856392</v>
      </c>
    </row>
    <row r="20" ht="13.5" customHeight="1">
      <c r="A20" s="132">
        <v>14.0</v>
      </c>
      <c r="B20" s="131">
        <v>4.2381</v>
      </c>
      <c r="C20" s="131">
        <f t="shared" si="1"/>
        <v>8.4762</v>
      </c>
      <c r="D20" s="131">
        <f t="shared" si="2"/>
        <v>8.481904378</v>
      </c>
      <c r="E20" s="131">
        <f t="shared" si="3"/>
        <v>0.005704377574</v>
      </c>
      <c r="F20" s="133">
        <f t="shared" si="4"/>
        <v>0.00003253992351</v>
      </c>
    </row>
    <row r="21" ht="13.5" customHeight="1">
      <c r="A21" s="132">
        <v>15.0</v>
      </c>
      <c r="B21" s="131">
        <v>4.5354</v>
      </c>
      <c r="C21" s="131">
        <f t="shared" si="1"/>
        <v>9.0708</v>
      </c>
      <c r="D21" s="131">
        <f t="shared" si="2"/>
        <v>9.054792901</v>
      </c>
      <c r="E21" s="131">
        <f t="shared" si="3"/>
        <v>-0.01600709911</v>
      </c>
      <c r="F21" s="133">
        <f t="shared" si="4"/>
        <v>0.0002562272219</v>
      </c>
    </row>
    <row r="22" ht="13.5" customHeight="1">
      <c r="A22" s="132">
        <v>16.0</v>
      </c>
      <c r="B22" s="131">
        <v>4.8238</v>
      </c>
      <c r="C22" s="131">
        <f t="shared" si="1"/>
        <v>9.6476</v>
      </c>
      <c r="D22" s="131">
        <f t="shared" si="2"/>
        <v>9.612813693</v>
      </c>
      <c r="E22" s="131">
        <f t="shared" si="3"/>
        <v>-0.03478630701</v>
      </c>
      <c r="F22" s="133">
        <f t="shared" si="4"/>
        <v>0.001210087155</v>
      </c>
    </row>
    <row r="23" ht="13.5" customHeight="1">
      <c r="A23" s="132">
        <v>17.0</v>
      </c>
      <c r="B23" s="131">
        <v>5.0948</v>
      </c>
      <c r="C23" s="131">
        <f t="shared" si="1"/>
        <v>10.1896</v>
      </c>
      <c r="D23" s="131">
        <f t="shared" si="2"/>
        <v>10.15392955</v>
      </c>
      <c r="E23" s="131">
        <f t="shared" si="3"/>
        <v>-0.03567045308</v>
      </c>
      <c r="F23" s="133">
        <f t="shared" si="4"/>
        <v>0.001272381223</v>
      </c>
    </row>
    <row r="24" ht="13.5" customHeight="1">
      <c r="A24" s="132">
        <v>18.0</v>
      </c>
      <c r="B24" s="131">
        <v>5.3534</v>
      </c>
      <c r="C24" s="131">
        <f t="shared" si="1"/>
        <v>10.7068</v>
      </c>
      <c r="D24" s="131">
        <f t="shared" si="2"/>
        <v>10.67610326</v>
      </c>
      <c r="E24" s="131">
        <f t="shared" si="3"/>
        <v>-0.03069674429</v>
      </c>
      <c r="F24" s="133">
        <f t="shared" si="4"/>
        <v>0.0009422901103</v>
      </c>
    </row>
    <row r="25" ht="13.5" customHeight="1">
      <c r="A25" s="132">
        <v>19.0</v>
      </c>
      <c r="B25" s="131">
        <v>5.5971</v>
      </c>
      <c r="C25" s="131">
        <f t="shared" si="1"/>
        <v>11.1942</v>
      </c>
      <c r="D25" s="131">
        <f t="shared" si="2"/>
        <v>11.17729761</v>
      </c>
      <c r="E25" s="131">
        <f t="shared" si="3"/>
        <v>-0.0169023876</v>
      </c>
      <c r="F25" s="133">
        <f t="shared" si="4"/>
        <v>0.0002856907066</v>
      </c>
    </row>
    <row r="26" ht="13.5" customHeight="1">
      <c r="A26" s="132">
        <v>20.0</v>
      </c>
      <c r="B26" s="131">
        <v>5.8262</v>
      </c>
      <c r="C26" s="131">
        <f t="shared" si="1"/>
        <v>11.6524</v>
      </c>
      <c r="D26" s="131">
        <f t="shared" si="2"/>
        <v>11.65547541</v>
      </c>
      <c r="E26" s="131">
        <f t="shared" si="3"/>
        <v>0.00307541004</v>
      </c>
      <c r="F26" s="133">
        <f t="shared" si="4"/>
        <v>0.000009458146911</v>
      </c>
    </row>
    <row r="27" ht="13.5" customHeight="1">
      <c r="A27" s="132">
        <v>21.0</v>
      </c>
      <c r="B27" s="131">
        <v>6.0457</v>
      </c>
      <c r="C27" s="131">
        <f t="shared" si="1"/>
        <v>12.0914</v>
      </c>
      <c r="D27" s="131">
        <f t="shared" si="2"/>
        <v>12.10859944</v>
      </c>
      <c r="E27" s="131">
        <f t="shared" si="3"/>
        <v>0.01719944167</v>
      </c>
      <c r="F27" s="133">
        <f t="shared" si="4"/>
        <v>0.0002958207936</v>
      </c>
    </row>
    <row r="28" ht="13.5" customHeight="1">
      <c r="A28" s="132">
        <v>22.0</v>
      </c>
      <c r="B28" s="131">
        <v>6.2553</v>
      </c>
      <c r="C28" s="131">
        <f t="shared" si="1"/>
        <v>12.5106</v>
      </c>
      <c r="D28" s="131">
        <f t="shared" si="2"/>
        <v>12.5346325</v>
      </c>
      <c r="E28" s="131">
        <f t="shared" si="3"/>
        <v>0.02403250032</v>
      </c>
      <c r="F28" s="133">
        <f t="shared" si="4"/>
        <v>0.0005775610716</v>
      </c>
    </row>
    <row r="29" ht="13.5" customHeight="1">
      <c r="F29" s="131">
        <f>SUM(F6:F28)</f>
        <v>0.01489866878</v>
      </c>
    </row>
    <row r="30" ht="13.5" customHeight="1"/>
    <row r="31" ht="13.5" customHeight="1">
      <c r="A31" s="5" t="s">
        <v>135</v>
      </c>
    </row>
    <row r="32" ht="13.5" customHeight="1">
      <c r="A32" s="5" t="s">
        <v>136</v>
      </c>
      <c r="B32" s="134">
        <v>0.04118917064944812</v>
      </c>
    </row>
    <row r="33" ht="13.5" customHeight="1">
      <c r="A33" s="5" t="s">
        <v>137</v>
      </c>
      <c r="B33" s="134">
        <v>0.5596243775190483</v>
      </c>
    </row>
    <row r="34" ht="13.5" customHeight="1">
      <c r="A34" s="5" t="s">
        <v>138</v>
      </c>
      <c r="B34" s="134">
        <v>0.007845186587208163</v>
      </c>
    </row>
    <row r="35" ht="13.5" customHeight="1">
      <c r="A35" s="5" t="s">
        <v>139</v>
      </c>
      <c r="B35" s="134">
        <v>-3.395344932342674E-4</v>
      </c>
    </row>
    <row r="36" ht="13.5" customHeight="1"/>
    <row r="37" ht="13.5" customHeight="1"/>
    <row r="38" ht="13.5" customHeight="1">
      <c r="A38" s="5" t="s">
        <v>131</v>
      </c>
      <c r="B38" s="5" t="s">
        <v>9</v>
      </c>
      <c r="C38" s="5" t="s">
        <v>140</v>
      </c>
      <c r="D38" s="131" t="s">
        <v>132</v>
      </c>
      <c r="E38" s="5" t="s">
        <v>133</v>
      </c>
      <c r="F38" s="133" t="s">
        <v>134</v>
      </c>
    </row>
    <row r="39" ht="13.5" customHeight="1">
      <c r="A39" s="132">
        <v>0.0</v>
      </c>
      <c r="B39" s="131">
        <v>0.001</v>
      </c>
      <c r="C39" s="131">
        <f t="shared" ref="C39:C61" si="5">B39*2</f>
        <v>0.002</v>
      </c>
      <c r="D39" s="131">
        <f t="shared" ref="D39:D61" si="6">$B$65+$B$66*$C39+$B$67*$C39^2+$B$68*$C39^3</f>
        <v>-0.100862244</v>
      </c>
      <c r="E39" s="131">
        <f t="shared" ref="E39:E61" si="7">$D39-$A39</f>
        <v>-0.100862244</v>
      </c>
      <c r="F39" s="133">
        <f t="shared" ref="F39:F61" si="8">$E39^2</f>
        <v>0.01017319226</v>
      </c>
    </row>
    <row r="40" ht="13.5" customHeight="1">
      <c r="A40" s="132">
        <v>1.0</v>
      </c>
      <c r="B40" s="131">
        <v>0.3043</v>
      </c>
      <c r="C40" s="131">
        <f t="shared" si="5"/>
        <v>0.6086</v>
      </c>
      <c r="D40" s="131">
        <f t="shared" si="6"/>
        <v>0.9899863611</v>
      </c>
      <c r="E40" s="131">
        <f t="shared" si="7"/>
        <v>-0.01001363894</v>
      </c>
      <c r="F40" s="133">
        <f t="shared" si="8"/>
        <v>0.0001002729649</v>
      </c>
    </row>
    <row r="41" ht="13.5" customHeight="1">
      <c r="A41" s="132">
        <v>2.0</v>
      </c>
      <c r="B41" s="131">
        <v>0.6016</v>
      </c>
      <c r="C41" s="131">
        <f t="shared" si="5"/>
        <v>1.2032</v>
      </c>
      <c r="D41" s="131">
        <f t="shared" si="6"/>
        <v>2.028863004</v>
      </c>
      <c r="E41" s="131">
        <f t="shared" si="7"/>
        <v>0.02886300412</v>
      </c>
      <c r="F41" s="133">
        <f t="shared" si="8"/>
        <v>0.0008330730068</v>
      </c>
    </row>
    <row r="42" ht="13.5" customHeight="1">
      <c r="A42" s="132">
        <v>3.0</v>
      </c>
      <c r="B42" s="131">
        <v>0.9054</v>
      </c>
      <c r="C42" s="131">
        <f t="shared" si="5"/>
        <v>1.8108</v>
      </c>
      <c r="D42" s="131">
        <f t="shared" si="6"/>
        <v>3.063935352</v>
      </c>
      <c r="E42" s="131">
        <f t="shared" si="7"/>
        <v>0.06393535225</v>
      </c>
      <c r="F42" s="133">
        <f t="shared" si="8"/>
        <v>0.004087729268</v>
      </c>
    </row>
    <row r="43" ht="13.5" customHeight="1">
      <c r="A43" s="132">
        <v>4.0</v>
      </c>
      <c r="B43" s="131">
        <v>1.2077</v>
      </c>
      <c r="C43" s="131">
        <f t="shared" si="5"/>
        <v>2.4154</v>
      </c>
      <c r="D43" s="131">
        <f t="shared" si="6"/>
        <v>4.071865979</v>
      </c>
      <c r="E43" s="131">
        <f t="shared" si="7"/>
        <v>0.07186597926</v>
      </c>
      <c r="F43" s="133">
        <f t="shared" si="8"/>
        <v>0.005164718975</v>
      </c>
    </row>
    <row r="44" ht="13.5" customHeight="1">
      <c r="A44" s="132">
        <v>5.0</v>
      </c>
      <c r="B44" s="131">
        <v>1.5121</v>
      </c>
      <c r="C44" s="131">
        <f t="shared" si="5"/>
        <v>3.0242</v>
      </c>
      <c r="D44" s="131">
        <f t="shared" si="6"/>
        <v>5.0692401</v>
      </c>
      <c r="E44" s="131">
        <f t="shared" si="7"/>
        <v>0.06924009965</v>
      </c>
      <c r="F44" s="133">
        <f t="shared" si="8"/>
        <v>0.004794191399</v>
      </c>
    </row>
    <row r="45" ht="13.5" customHeight="1">
      <c r="A45" s="132">
        <v>6.0</v>
      </c>
      <c r="B45" s="131">
        <v>1.8133</v>
      </c>
      <c r="C45" s="131">
        <f t="shared" si="5"/>
        <v>3.6266</v>
      </c>
      <c r="D45" s="131">
        <f t="shared" si="6"/>
        <v>6.043364535</v>
      </c>
      <c r="E45" s="131">
        <f t="shared" si="7"/>
        <v>0.0433645351</v>
      </c>
      <c r="F45" s="133">
        <f t="shared" si="8"/>
        <v>0.001880482904</v>
      </c>
    </row>
    <row r="46" ht="13.5" customHeight="1">
      <c r="A46" s="132">
        <v>7.0</v>
      </c>
      <c r="B46" s="131">
        <v>2.1162</v>
      </c>
      <c r="C46" s="131">
        <f t="shared" si="5"/>
        <v>4.2324</v>
      </c>
      <c r="D46" s="131">
        <f t="shared" si="6"/>
        <v>7.014776881</v>
      </c>
      <c r="E46" s="131">
        <f t="shared" si="7"/>
        <v>0.01477688149</v>
      </c>
      <c r="F46" s="133">
        <f t="shared" si="8"/>
        <v>0.0002183562265</v>
      </c>
    </row>
    <row r="47" ht="13.5" customHeight="1">
      <c r="A47" s="132">
        <v>8.0</v>
      </c>
      <c r="B47" s="131">
        <v>2.4188</v>
      </c>
      <c r="C47" s="131">
        <f t="shared" si="5"/>
        <v>4.8376</v>
      </c>
      <c r="D47" s="131">
        <f t="shared" si="6"/>
        <v>7.981597996</v>
      </c>
      <c r="E47" s="131">
        <f t="shared" si="7"/>
        <v>-0.01840200378</v>
      </c>
      <c r="F47" s="133">
        <f t="shared" si="8"/>
        <v>0.0003386337429</v>
      </c>
    </row>
    <row r="48" ht="13.5" customHeight="1">
      <c r="A48" s="132">
        <v>9.0</v>
      </c>
      <c r="B48" s="131">
        <v>2.7214</v>
      </c>
      <c r="C48" s="131">
        <f t="shared" si="5"/>
        <v>5.4428</v>
      </c>
      <c r="D48" s="131">
        <f t="shared" si="6"/>
        <v>8.949388493</v>
      </c>
      <c r="E48" s="131">
        <f t="shared" si="7"/>
        <v>-0.05061150693</v>
      </c>
      <c r="F48" s="133">
        <f t="shared" si="8"/>
        <v>0.002561524634</v>
      </c>
    </row>
    <row r="49" ht="13.5" customHeight="1">
      <c r="A49" s="132">
        <v>10.0</v>
      </c>
      <c r="B49" s="131">
        <v>3.025</v>
      </c>
      <c r="C49" s="131">
        <f t="shared" si="5"/>
        <v>6.05</v>
      </c>
      <c r="D49" s="131">
        <f t="shared" si="6"/>
        <v>9.925974509</v>
      </c>
      <c r="E49" s="131">
        <f t="shared" si="7"/>
        <v>-0.07402549145</v>
      </c>
      <c r="F49" s="133">
        <f t="shared" si="8"/>
        <v>0.005479773385</v>
      </c>
    </row>
    <row r="50" ht="13.5" customHeight="1">
      <c r="A50" s="132">
        <v>11.0</v>
      </c>
      <c r="B50" s="131">
        <v>3.329</v>
      </c>
      <c r="C50" s="131">
        <f t="shared" si="5"/>
        <v>6.658</v>
      </c>
      <c r="D50" s="131">
        <f t="shared" si="6"/>
        <v>10.91411179</v>
      </c>
      <c r="E50" s="131">
        <f t="shared" si="7"/>
        <v>-0.08588820923</v>
      </c>
      <c r="F50" s="133">
        <f t="shared" si="8"/>
        <v>0.007376784485</v>
      </c>
    </row>
    <row r="51" ht="13.5" customHeight="1">
      <c r="A51" s="132">
        <v>12.0</v>
      </c>
      <c r="B51" s="131">
        <v>3.6313</v>
      </c>
      <c r="C51" s="131">
        <f t="shared" si="5"/>
        <v>7.2626</v>
      </c>
      <c r="D51" s="131">
        <f t="shared" si="6"/>
        <v>11.91151827</v>
      </c>
      <c r="E51" s="131">
        <f t="shared" si="7"/>
        <v>-0.08848173012</v>
      </c>
      <c r="F51" s="133">
        <f t="shared" si="8"/>
        <v>0.007829016566</v>
      </c>
    </row>
    <row r="52" ht="13.5" customHeight="1">
      <c r="A52" s="132">
        <v>13.0</v>
      </c>
      <c r="B52" s="131">
        <v>3.9349</v>
      </c>
      <c r="C52" s="131">
        <f t="shared" si="5"/>
        <v>7.8698</v>
      </c>
      <c r="D52" s="131">
        <f t="shared" si="6"/>
        <v>12.93268913</v>
      </c>
      <c r="E52" s="131">
        <f t="shared" si="7"/>
        <v>-0.06731087385</v>
      </c>
      <c r="F52" s="133">
        <f t="shared" si="8"/>
        <v>0.004530753738</v>
      </c>
    </row>
    <row r="53" ht="13.5" customHeight="1">
      <c r="A53" s="132">
        <v>14.0</v>
      </c>
      <c r="B53" s="131">
        <v>4.2381</v>
      </c>
      <c r="C53" s="131">
        <f t="shared" si="5"/>
        <v>8.4762</v>
      </c>
      <c r="D53" s="131">
        <f t="shared" si="6"/>
        <v>13.97661604</v>
      </c>
      <c r="E53" s="131">
        <f t="shared" si="7"/>
        <v>-0.02338395599</v>
      </c>
      <c r="F53" s="133">
        <f t="shared" si="8"/>
        <v>0.0005468093979</v>
      </c>
    </row>
    <row r="54" ht="13.5" customHeight="1">
      <c r="A54" s="132">
        <v>15.0</v>
      </c>
      <c r="B54" s="131">
        <v>4.5354</v>
      </c>
      <c r="C54" s="131">
        <f t="shared" si="5"/>
        <v>9.0708</v>
      </c>
      <c r="D54" s="131">
        <f t="shared" si="6"/>
        <v>15.02807759</v>
      </c>
      <c r="E54" s="131">
        <f t="shared" si="7"/>
        <v>0.02807758656</v>
      </c>
      <c r="F54" s="133">
        <f t="shared" si="8"/>
        <v>0.0007883508671</v>
      </c>
    </row>
    <row r="55" ht="13.5" customHeight="1">
      <c r="A55" s="132">
        <v>16.0</v>
      </c>
      <c r="B55" s="131">
        <v>4.8238</v>
      </c>
      <c r="C55" s="131">
        <f t="shared" si="5"/>
        <v>9.6476</v>
      </c>
      <c r="D55" s="131">
        <f t="shared" si="6"/>
        <v>16.07856169</v>
      </c>
      <c r="E55" s="131">
        <f t="shared" si="7"/>
        <v>0.07856169365</v>
      </c>
      <c r="F55" s="133">
        <f t="shared" si="8"/>
        <v>0.00617193971</v>
      </c>
    </row>
    <row r="56" ht="13.5" customHeight="1">
      <c r="A56" s="132">
        <v>17.0</v>
      </c>
      <c r="B56" s="131">
        <v>5.0948</v>
      </c>
      <c r="C56" s="131">
        <f t="shared" si="5"/>
        <v>10.1896</v>
      </c>
      <c r="D56" s="131">
        <f t="shared" si="6"/>
        <v>17.09662905</v>
      </c>
      <c r="E56" s="131">
        <f t="shared" si="7"/>
        <v>0.09662905257</v>
      </c>
      <c r="F56" s="133">
        <f t="shared" si="8"/>
        <v>0.009337173801</v>
      </c>
    </row>
    <row r="57" ht="13.5" customHeight="1">
      <c r="A57" s="132">
        <v>18.0</v>
      </c>
      <c r="B57" s="131">
        <v>5.3534</v>
      </c>
      <c r="C57" s="131">
        <f t="shared" si="5"/>
        <v>10.7068</v>
      </c>
      <c r="D57" s="131">
        <f t="shared" si="6"/>
        <v>18.09918113</v>
      </c>
      <c r="E57" s="131">
        <f t="shared" si="7"/>
        <v>0.09918112933</v>
      </c>
      <c r="F57" s="133">
        <f t="shared" si="8"/>
        <v>0.009836896414</v>
      </c>
    </row>
    <row r="58" ht="13.5" customHeight="1">
      <c r="A58" s="132">
        <v>19.0</v>
      </c>
      <c r="B58" s="131">
        <v>5.5971</v>
      </c>
      <c r="C58" s="131">
        <f t="shared" si="5"/>
        <v>11.1942</v>
      </c>
      <c r="D58" s="131">
        <f t="shared" si="6"/>
        <v>19.07435325</v>
      </c>
      <c r="E58" s="131">
        <f t="shared" si="7"/>
        <v>0.07435324801</v>
      </c>
      <c r="F58" s="133">
        <f t="shared" si="8"/>
        <v>0.00552840549</v>
      </c>
    </row>
    <row r="59" ht="13.5" customHeight="1">
      <c r="A59" s="132">
        <v>20.0</v>
      </c>
      <c r="B59" s="131">
        <v>5.8262</v>
      </c>
      <c r="C59" s="131">
        <f t="shared" si="5"/>
        <v>11.6524</v>
      </c>
      <c r="D59" s="131">
        <f t="shared" si="6"/>
        <v>20.02017994</v>
      </c>
      <c r="E59" s="131">
        <f t="shared" si="7"/>
        <v>0.02017993605</v>
      </c>
      <c r="F59" s="133">
        <f t="shared" si="8"/>
        <v>0.0004072298189</v>
      </c>
    </row>
    <row r="60" ht="13.5" customHeight="1">
      <c r="A60" s="132">
        <v>21.0</v>
      </c>
      <c r="B60" s="131">
        <v>6.0457</v>
      </c>
      <c r="C60" s="131">
        <f t="shared" si="5"/>
        <v>12.0914</v>
      </c>
      <c r="D60" s="131">
        <f t="shared" si="6"/>
        <v>20.95469031</v>
      </c>
      <c r="E60" s="131">
        <f t="shared" si="7"/>
        <v>-0.04530968566</v>
      </c>
      <c r="F60" s="133">
        <f t="shared" si="8"/>
        <v>0.002052967614</v>
      </c>
    </row>
    <row r="61" ht="13.5" customHeight="1">
      <c r="A61" s="132">
        <v>22.0</v>
      </c>
      <c r="B61" s="131">
        <v>6.2553</v>
      </c>
      <c r="C61" s="131">
        <f t="shared" si="5"/>
        <v>12.5106</v>
      </c>
      <c r="D61" s="131">
        <f t="shared" si="6"/>
        <v>21.87455242</v>
      </c>
      <c r="E61" s="131">
        <f t="shared" si="7"/>
        <v>-0.1254475757</v>
      </c>
      <c r="F61" s="133">
        <f t="shared" si="8"/>
        <v>0.01573709424</v>
      </c>
    </row>
    <row r="62" ht="13.5" customHeight="1">
      <c r="F62" s="131">
        <f>SUM(F39:F61)</f>
        <v>0.1057753709</v>
      </c>
    </row>
    <row r="63" ht="14.25" customHeight="1"/>
    <row r="64" ht="14.25" customHeight="1">
      <c r="A64" s="5" t="s">
        <v>135</v>
      </c>
      <c r="I64" s="5" t="s">
        <v>141</v>
      </c>
      <c r="K64" s="135">
        <v>1354.0</v>
      </c>
    </row>
    <row r="65" ht="13.5" customHeight="1">
      <c r="A65" s="5" t="s">
        <v>136</v>
      </c>
      <c r="B65" s="134">
        <v>-0.10451569827424988</v>
      </c>
      <c r="I65" s="5" t="s">
        <v>142</v>
      </c>
      <c r="K65" s="131">
        <f>$B$32+$B$33*K64/100+$B$34*K64^2*0.0001+$B$35*K64^3*0.000001</f>
        <v>8.21394403</v>
      </c>
    </row>
    <row r="66" ht="14.25" customHeight="1">
      <c r="A66" s="5" t="s">
        <v>137</v>
      </c>
      <c r="B66" s="134">
        <v>1.826824764421151</v>
      </c>
    </row>
    <row r="67" ht="14.25" customHeight="1">
      <c r="A67" s="5" t="s">
        <v>138</v>
      </c>
      <c r="B67" s="134">
        <v>-0.04881920042714134</v>
      </c>
      <c r="I67" s="5" t="s">
        <v>143</v>
      </c>
      <c r="K67" s="136">
        <v>8.2</v>
      </c>
    </row>
    <row r="68" ht="13.5" customHeight="1">
      <c r="A68" s="5" t="s">
        <v>139</v>
      </c>
      <c r="B68" s="134">
        <v>0.003455055358327027</v>
      </c>
      <c r="I68" s="5" t="s">
        <v>144</v>
      </c>
      <c r="K68" s="81">
        <f>$B$65*100+$B$66*K67*100+$B$67*K67^2*100+$B$68*K67^3*100</f>
        <v>1349.78513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3" width="10.5"/>
    <col customWidth="1" min="4" max="5" width="8.0"/>
    <col customWidth="1" min="6" max="6" width="10.5"/>
    <col customWidth="1" min="7" max="26" width="8.0"/>
  </cols>
  <sheetData>
    <row r="1" ht="13.5" customHeight="1">
      <c r="A1" s="129" t="s">
        <v>74</v>
      </c>
      <c r="B1" s="130" t="s">
        <v>75</v>
      </c>
    </row>
    <row r="2" ht="13.5" customHeight="1">
      <c r="A2" s="5" t="s">
        <v>155</v>
      </c>
    </row>
    <row r="3" ht="13.5" customHeight="1">
      <c r="A3" s="5" t="s">
        <v>153</v>
      </c>
    </row>
    <row r="4" ht="13.5" customHeight="1"/>
    <row r="5" ht="13.5" customHeight="1">
      <c r="A5" s="5" t="s">
        <v>131</v>
      </c>
      <c r="B5" s="5" t="s">
        <v>9</v>
      </c>
      <c r="C5" s="5" t="s">
        <v>140</v>
      </c>
      <c r="D5" s="131" t="s">
        <v>132</v>
      </c>
      <c r="E5" s="5" t="s">
        <v>133</v>
      </c>
      <c r="F5" s="133" t="s">
        <v>134</v>
      </c>
    </row>
    <row r="6" ht="13.5" customHeight="1">
      <c r="A6" s="132">
        <v>0.0</v>
      </c>
      <c r="B6" s="131">
        <v>-0.0019</v>
      </c>
      <c r="C6" s="131">
        <f t="shared" ref="C6:C16" si="1">B6*4</f>
        <v>-0.0076</v>
      </c>
      <c r="D6" s="131">
        <f t="shared" ref="D6:D16" si="2">$B$20+$B$21*$A6+$B$22*$A6^2+$B$23*$A6^3</f>
        <v>-0.03469997332</v>
      </c>
      <c r="E6" s="131">
        <f t="shared" ref="E6:E16" si="3">$D6-$C6</f>
        <v>-0.02709997332</v>
      </c>
      <c r="F6" s="133">
        <f t="shared" ref="F6:F16" si="4">$E6^2</f>
        <v>0.000734408554</v>
      </c>
    </row>
    <row r="7" ht="13.5" customHeight="1">
      <c r="A7" s="132">
        <v>1.0</v>
      </c>
      <c r="B7" s="131">
        <v>0.1759</v>
      </c>
      <c r="C7" s="131">
        <f t="shared" si="1"/>
        <v>0.7036</v>
      </c>
      <c r="D7" s="131">
        <f t="shared" si="2"/>
        <v>0.7141196714</v>
      </c>
      <c r="E7" s="131">
        <f t="shared" si="3"/>
        <v>0.01051967136</v>
      </c>
      <c r="F7" s="133">
        <f t="shared" si="4"/>
        <v>0.0001106634856</v>
      </c>
    </row>
    <row r="8" ht="13.5" customHeight="1">
      <c r="A8" s="132">
        <v>2.0</v>
      </c>
      <c r="B8" s="131">
        <v>0.3533</v>
      </c>
      <c r="C8" s="131">
        <f t="shared" si="1"/>
        <v>1.4132</v>
      </c>
      <c r="D8" s="131">
        <f t="shared" si="2"/>
        <v>1.448648029</v>
      </c>
      <c r="E8" s="131">
        <f t="shared" si="3"/>
        <v>0.03544802891</v>
      </c>
      <c r="F8" s="133">
        <f t="shared" si="4"/>
        <v>0.001256562754</v>
      </c>
    </row>
    <row r="9" ht="13.5" customHeight="1">
      <c r="A9" s="132">
        <v>3.0</v>
      </c>
      <c r="B9" s="131">
        <v>0.5292</v>
      </c>
      <c r="C9" s="131">
        <f t="shared" si="1"/>
        <v>2.1168</v>
      </c>
      <c r="D9" s="131">
        <f t="shared" si="2"/>
        <v>2.153389906</v>
      </c>
      <c r="E9" s="131">
        <f t="shared" si="3"/>
        <v>0.03658990604</v>
      </c>
      <c r="F9" s="133">
        <f t="shared" si="4"/>
        <v>0.001338821224</v>
      </c>
    </row>
    <row r="10" ht="13.5" customHeight="1">
      <c r="A10" s="132">
        <v>4.0</v>
      </c>
      <c r="B10" s="131">
        <v>0.703</v>
      </c>
      <c r="C10" s="131">
        <f t="shared" si="1"/>
        <v>2.812</v>
      </c>
      <c r="D10" s="131">
        <f t="shared" si="2"/>
        <v>2.812850109</v>
      </c>
      <c r="E10" s="131">
        <f t="shared" si="3"/>
        <v>0.000850109462</v>
      </c>
      <c r="F10" s="133">
        <f t="shared" si="4"/>
        <v>0.0000007226860973</v>
      </c>
    </row>
    <row r="11" ht="13.5" customHeight="1">
      <c r="A11" s="132">
        <v>5.0</v>
      </c>
      <c r="B11" s="131">
        <v>0.8707</v>
      </c>
      <c r="C11" s="131">
        <f t="shared" si="1"/>
        <v>3.4828</v>
      </c>
      <c r="D11" s="131">
        <f t="shared" si="2"/>
        <v>3.411533446</v>
      </c>
      <c r="E11" s="131">
        <f t="shared" si="3"/>
        <v>-0.07126655411</v>
      </c>
      <c r="F11" s="133">
        <f t="shared" si="4"/>
        <v>0.005078921734</v>
      </c>
    </row>
    <row r="12" ht="13.5" customHeight="1">
      <c r="A12" s="132">
        <v>6.0</v>
      </c>
      <c r="B12" s="131">
        <v>0.9964</v>
      </c>
      <c r="C12" s="131">
        <f t="shared" si="1"/>
        <v>3.9856</v>
      </c>
      <c r="D12" s="131">
        <f t="shared" si="2"/>
        <v>3.933944722</v>
      </c>
      <c r="E12" s="131">
        <f t="shared" si="3"/>
        <v>-0.05165527795</v>
      </c>
      <c r="F12" s="133">
        <f t="shared" si="4"/>
        <v>0.00266826774</v>
      </c>
    </row>
    <row r="13" ht="13.5" customHeight="1">
      <c r="A13" s="132">
        <v>7.0</v>
      </c>
      <c r="B13" s="131">
        <v>1.088</v>
      </c>
      <c r="C13" s="131">
        <f t="shared" si="1"/>
        <v>4.352</v>
      </c>
      <c r="D13" s="131">
        <f t="shared" si="2"/>
        <v>4.364588745</v>
      </c>
      <c r="E13" s="131">
        <f t="shared" si="3"/>
        <v>0.01258874465</v>
      </c>
      <c r="F13" s="133">
        <f t="shared" si="4"/>
        <v>0.0001584764918</v>
      </c>
    </row>
    <row r="14" ht="13.5" customHeight="1">
      <c r="A14" s="132">
        <v>8.0</v>
      </c>
      <c r="B14" s="131">
        <v>1.1579</v>
      </c>
      <c r="C14" s="131">
        <f t="shared" si="1"/>
        <v>4.6316</v>
      </c>
      <c r="D14" s="131">
        <f t="shared" si="2"/>
        <v>4.68797032</v>
      </c>
      <c r="E14" s="131">
        <f t="shared" si="3"/>
        <v>0.0563703204</v>
      </c>
      <c r="F14" s="133">
        <f t="shared" si="4"/>
        <v>0.003177613022</v>
      </c>
    </row>
    <row r="15" ht="13.5" customHeight="1">
      <c r="A15" s="132">
        <v>9.0</v>
      </c>
      <c r="B15" s="131">
        <v>1.2107</v>
      </c>
      <c r="C15" s="131">
        <f t="shared" si="1"/>
        <v>4.8428</v>
      </c>
      <c r="D15" s="131">
        <f t="shared" si="2"/>
        <v>4.888594256</v>
      </c>
      <c r="E15" s="131">
        <f t="shared" si="3"/>
        <v>0.04579425602</v>
      </c>
      <c r="F15" s="133">
        <f t="shared" si="4"/>
        <v>0.002097113885</v>
      </c>
    </row>
    <row r="16" ht="13.5" customHeight="1">
      <c r="A16" s="132">
        <v>10.0</v>
      </c>
      <c r="B16" s="131">
        <v>1.2497</v>
      </c>
      <c r="C16" s="131">
        <f t="shared" si="1"/>
        <v>4.9988</v>
      </c>
      <c r="D16" s="131">
        <f t="shared" si="2"/>
        <v>4.950965358</v>
      </c>
      <c r="E16" s="131">
        <f t="shared" si="3"/>
        <v>-0.04783464177</v>
      </c>
      <c r="F16" s="133">
        <f t="shared" si="4"/>
        <v>0.002288152953</v>
      </c>
    </row>
    <row r="17" ht="13.5" customHeight="1">
      <c r="F17" s="133">
        <f>SUM(F6:F16)</f>
        <v>0.01890972453</v>
      </c>
    </row>
    <row r="18" ht="13.5" customHeight="1"/>
    <row r="19" ht="13.5" customHeight="1">
      <c r="A19" s="5" t="s">
        <v>135</v>
      </c>
    </row>
    <row r="20" ht="13.5" customHeight="1">
      <c r="A20" s="5" t="s">
        <v>136</v>
      </c>
      <c r="B20" s="134">
        <v>-0.0346999733208042</v>
      </c>
    </row>
    <row r="21" ht="13.5" customHeight="1">
      <c r="A21" s="5" t="s">
        <v>137</v>
      </c>
      <c r="B21" s="134">
        <v>0.7508002238249856</v>
      </c>
    </row>
    <row r="22" ht="13.5" customHeight="1">
      <c r="A22" s="5" t="s">
        <v>138</v>
      </c>
      <c r="B22" s="134">
        <v>6.019530741067651E-4</v>
      </c>
    </row>
    <row r="23" ht="13.5" customHeight="1">
      <c r="A23" s="5" t="s">
        <v>139</v>
      </c>
      <c r="B23" s="134">
        <v>-0.0025825322141073623</v>
      </c>
    </row>
    <row r="24" ht="13.5" customHeight="1">
      <c r="B24" s="134"/>
    </row>
    <row r="25" ht="13.5" customHeight="1"/>
    <row r="26" ht="13.5" customHeight="1">
      <c r="A26" s="5" t="s">
        <v>131</v>
      </c>
      <c r="B26" s="5" t="s">
        <v>9</v>
      </c>
      <c r="C26" s="5" t="s">
        <v>140</v>
      </c>
      <c r="D26" s="131" t="s">
        <v>132</v>
      </c>
      <c r="E26" s="5" t="s">
        <v>133</v>
      </c>
      <c r="F26" s="133" t="s">
        <v>134</v>
      </c>
    </row>
    <row r="27" ht="13.5" customHeight="1">
      <c r="A27" s="132">
        <v>0.0</v>
      </c>
      <c r="B27" s="131">
        <v>-0.0019</v>
      </c>
      <c r="C27" s="131">
        <f t="shared" ref="C27:C37" si="5">B27*4</f>
        <v>-0.0076</v>
      </c>
      <c r="D27" s="131">
        <f t="shared" ref="D27:D37" si="6">$B$41+$B$42*$C27+$B$43*$C27^2+$B$44*$C27^3</f>
        <v>-0.1250596321</v>
      </c>
      <c r="E27" s="131">
        <f t="shared" ref="E27:E37" si="7">$D27-$A27</f>
        <v>-0.1250596321</v>
      </c>
      <c r="F27" s="133">
        <f t="shared" ref="F27:F37" si="8">$E27^2</f>
        <v>0.01563991157</v>
      </c>
    </row>
    <row r="28" ht="13.5" customHeight="1">
      <c r="A28" s="132">
        <v>1.0</v>
      </c>
      <c r="B28" s="131">
        <v>0.1759</v>
      </c>
      <c r="C28" s="131">
        <f t="shared" si="5"/>
        <v>0.7036</v>
      </c>
      <c r="D28" s="131">
        <f t="shared" si="6"/>
        <v>1.191372987</v>
      </c>
      <c r="E28" s="131">
        <f t="shared" si="7"/>
        <v>0.1913729871</v>
      </c>
      <c r="F28" s="133">
        <f t="shared" si="8"/>
        <v>0.03662362021</v>
      </c>
    </row>
    <row r="29" ht="13.5" customHeight="1">
      <c r="A29" s="132">
        <v>2.0</v>
      </c>
      <c r="B29" s="131">
        <v>0.3533</v>
      </c>
      <c r="C29" s="131">
        <f t="shared" si="5"/>
        <v>1.4132</v>
      </c>
      <c r="D29" s="131">
        <f t="shared" si="6"/>
        <v>2.118992394</v>
      </c>
      <c r="E29" s="131">
        <f t="shared" si="7"/>
        <v>0.1189923937</v>
      </c>
      <c r="F29" s="133">
        <f t="shared" si="8"/>
        <v>0.01415918976</v>
      </c>
    </row>
    <row r="30" ht="13.5" customHeight="1">
      <c r="A30" s="132">
        <v>3.0</v>
      </c>
      <c r="B30" s="131">
        <v>0.5292</v>
      </c>
      <c r="C30" s="131">
        <f t="shared" si="5"/>
        <v>2.1168</v>
      </c>
      <c r="D30" s="131">
        <f t="shared" si="6"/>
        <v>2.899451462</v>
      </c>
      <c r="E30" s="131">
        <f t="shared" si="7"/>
        <v>-0.1005485378</v>
      </c>
      <c r="F30" s="133">
        <f t="shared" si="8"/>
        <v>0.01011000846</v>
      </c>
    </row>
    <row r="31" ht="13.5" customHeight="1">
      <c r="A31" s="132">
        <v>4.0</v>
      </c>
      <c r="B31" s="131">
        <v>0.703</v>
      </c>
      <c r="C31" s="131">
        <f t="shared" si="5"/>
        <v>2.812</v>
      </c>
      <c r="D31" s="131">
        <f t="shared" si="6"/>
        <v>3.76848224</v>
      </c>
      <c r="E31" s="131">
        <f t="shared" si="7"/>
        <v>-0.2315177602</v>
      </c>
      <c r="F31" s="133">
        <f t="shared" si="8"/>
        <v>0.05360047329</v>
      </c>
    </row>
    <row r="32" ht="13.5" customHeight="1">
      <c r="A32" s="132">
        <v>5.0</v>
      </c>
      <c r="B32" s="131">
        <v>0.8707</v>
      </c>
      <c r="C32" s="131">
        <f t="shared" si="5"/>
        <v>3.4828</v>
      </c>
      <c r="D32" s="131">
        <f t="shared" si="6"/>
        <v>4.915815554</v>
      </c>
      <c r="E32" s="131">
        <f t="shared" si="7"/>
        <v>-0.08418444561</v>
      </c>
      <c r="F32" s="133">
        <f t="shared" si="8"/>
        <v>0.007087020882</v>
      </c>
    </row>
    <row r="33" ht="13.5" customHeight="1">
      <c r="A33" s="132">
        <v>6.0</v>
      </c>
      <c r="B33" s="131">
        <v>0.9964</v>
      </c>
      <c r="C33" s="131">
        <f t="shared" si="5"/>
        <v>3.9856</v>
      </c>
      <c r="D33" s="131">
        <f t="shared" si="6"/>
        <v>6.100597383</v>
      </c>
      <c r="E33" s="131">
        <f t="shared" si="7"/>
        <v>0.1005973833</v>
      </c>
      <c r="F33" s="133">
        <f t="shared" si="8"/>
        <v>0.01011983354</v>
      </c>
    </row>
    <row r="34" ht="13.5" customHeight="1">
      <c r="A34" s="132">
        <v>7.0</v>
      </c>
      <c r="B34" s="131">
        <v>1.088</v>
      </c>
      <c r="C34" s="131">
        <f t="shared" si="5"/>
        <v>4.352</v>
      </c>
      <c r="D34" s="131">
        <f t="shared" si="6"/>
        <v>7.195273907</v>
      </c>
      <c r="E34" s="131">
        <f t="shared" si="7"/>
        <v>0.1952739071</v>
      </c>
      <c r="F34" s="133">
        <f t="shared" si="8"/>
        <v>0.03813189879</v>
      </c>
    </row>
    <row r="35" ht="13.5" customHeight="1">
      <c r="A35" s="132">
        <v>8.0</v>
      </c>
      <c r="B35" s="131">
        <v>1.1579</v>
      </c>
      <c r="C35" s="131">
        <f t="shared" si="5"/>
        <v>4.6316</v>
      </c>
      <c r="D35" s="131">
        <f t="shared" si="6"/>
        <v>8.185500491</v>
      </c>
      <c r="E35" s="131">
        <f t="shared" si="7"/>
        <v>0.1855004908</v>
      </c>
      <c r="F35" s="133">
        <f t="shared" si="8"/>
        <v>0.0344104321</v>
      </c>
    </row>
    <row r="36" ht="13.5" customHeight="1">
      <c r="A36" s="132">
        <v>9.0</v>
      </c>
      <c r="B36" s="131">
        <v>1.2107</v>
      </c>
      <c r="C36" s="131">
        <f t="shared" si="5"/>
        <v>4.8428</v>
      </c>
      <c r="D36" s="131">
        <f t="shared" si="6"/>
        <v>9.03251304</v>
      </c>
      <c r="E36" s="131">
        <f t="shared" si="7"/>
        <v>0.03251303974</v>
      </c>
      <c r="F36" s="133">
        <f t="shared" si="8"/>
        <v>0.001057097753</v>
      </c>
    </row>
    <row r="37" ht="13.5" customHeight="1">
      <c r="A37" s="132">
        <v>10.0</v>
      </c>
      <c r="B37" s="131">
        <v>1.2497</v>
      </c>
      <c r="C37" s="131">
        <f t="shared" si="5"/>
        <v>4.9988</v>
      </c>
      <c r="D37" s="131">
        <f t="shared" si="6"/>
        <v>9.717104793</v>
      </c>
      <c r="E37" s="131">
        <f t="shared" si="7"/>
        <v>-0.2828952069</v>
      </c>
      <c r="F37" s="133">
        <f t="shared" si="8"/>
        <v>0.0800296981</v>
      </c>
    </row>
    <row r="38" ht="13.5" customHeight="1">
      <c r="F38" s="133">
        <f>SUM(F27:F37)</f>
        <v>0.3009691845</v>
      </c>
    </row>
    <row r="39" ht="13.5" customHeight="1"/>
    <row r="40" ht="13.5" customHeight="1">
      <c r="A40" s="5" t="s">
        <v>135</v>
      </c>
    </row>
    <row r="41" ht="13.5" customHeight="1">
      <c r="A41" s="5" t="s">
        <v>136</v>
      </c>
      <c r="B41" s="134">
        <v>-0.10808252997460259</v>
      </c>
    </row>
    <row r="42" ht="13.5" customHeight="1">
      <c r="A42" s="5" t="s">
        <v>137</v>
      </c>
      <c r="B42" s="134">
        <v>2.2290834218615445</v>
      </c>
    </row>
    <row r="43" ht="13.5" customHeight="1">
      <c r="A43" s="5" t="s">
        <v>138</v>
      </c>
      <c r="B43" s="134">
        <v>-0.6235794934497636</v>
      </c>
    </row>
    <row r="44" ht="14.25" customHeight="1">
      <c r="A44" s="5" t="s">
        <v>139</v>
      </c>
      <c r="B44" s="134">
        <v>0.11419780584137715</v>
      </c>
    </row>
    <row r="45" ht="14.25" customHeight="1">
      <c r="I45" s="5" t="s">
        <v>141</v>
      </c>
      <c r="K45" s="135">
        <v>60.0</v>
      </c>
    </row>
    <row r="46" ht="13.5" customHeight="1">
      <c r="I46" s="5" t="s">
        <v>142</v>
      </c>
      <c r="K46" s="131">
        <f>$B$20+$B$21*K45/100+$B$22*K45^2*0.0001+$B$23*K45^3*0.000001</f>
        <v>0.4154390371</v>
      </c>
    </row>
    <row r="47" ht="14.25" customHeight="1"/>
    <row r="48" ht="14.25" customHeight="1">
      <c r="I48" s="5" t="s">
        <v>143</v>
      </c>
      <c r="K48" s="136">
        <v>0.419</v>
      </c>
    </row>
    <row r="49" ht="13.5" customHeight="1">
      <c r="I49" s="5" t="s">
        <v>144</v>
      </c>
      <c r="K49" s="81">
        <f>$B$41*100+$B$42*K48*100+$B$43*K48^2*100+$B$44*K48^3*100</f>
        <v>72.48275817</v>
      </c>
    </row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3" width="10.5"/>
    <col customWidth="1" min="4" max="5" width="8.0"/>
    <col customWidth="1" min="6" max="6" width="10.5"/>
    <col customWidth="1" min="7" max="26" width="8.0"/>
  </cols>
  <sheetData>
    <row r="1" ht="13.5" customHeight="1">
      <c r="A1" s="129" t="s">
        <v>79</v>
      </c>
      <c r="B1" s="130" t="s">
        <v>75</v>
      </c>
    </row>
    <row r="2" ht="13.5" customHeight="1">
      <c r="A2" s="5" t="s">
        <v>155</v>
      </c>
    </row>
    <row r="3" ht="13.5" customHeight="1">
      <c r="A3" s="5" t="s">
        <v>153</v>
      </c>
    </row>
    <row r="4" ht="13.5" customHeight="1"/>
    <row r="5" ht="13.5" customHeight="1">
      <c r="A5" s="5" t="s">
        <v>131</v>
      </c>
      <c r="B5" s="5" t="s">
        <v>9</v>
      </c>
      <c r="C5" s="5" t="s">
        <v>140</v>
      </c>
      <c r="D5" s="131" t="s">
        <v>132</v>
      </c>
      <c r="E5" s="5" t="s">
        <v>133</v>
      </c>
      <c r="F5" s="133" t="s">
        <v>134</v>
      </c>
    </row>
    <row r="6" ht="13.5" customHeight="1">
      <c r="A6" s="132">
        <v>0.0</v>
      </c>
      <c r="B6" s="131">
        <v>0.0025</v>
      </c>
      <c r="C6" s="131">
        <f t="shared" ref="C6:C16" si="1">B6*4</f>
        <v>0.01</v>
      </c>
      <c r="D6" s="131">
        <f t="shared" ref="D6:D16" si="2">$B$20+$B$21*$A6+$B$22*$A6^2+$B$23*$A6^3</f>
        <v>-0.03062907838</v>
      </c>
      <c r="E6" s="131">
        <f t="shared" ref="E6:E16" si="3">$D6-$C6</f>
        <v>-0.04062907838</v>
      </c>
      <c r="F6" s="133">
        <f t="shared" ref="F6:F16" si="4">$E6^2</f>
        <v>0.00165072201</v>
      </c>
    </row>
    <row r="7" ht="13.5" customHeight="1">
      <c r="A7" s="132">
        <v>1.0</v>
      </c>
      <c r="B7" s="131">
        <v>0.1883</v>
      </c>
      <c r="C7" s="131">
        <f t="shared" si="1"/>
        <v>0.7532</v>
      </c>
      <c r="D7" s="131">
        <f t="shared" si="2"/>
        <v>0.7740423582</v>
      </c>
      <c r="E7" s="131">
        <f t="shared" si="3"/>
        <v>0.02084235824</v>
      </c>
      <c r="F7" s="133">
        <f t="shared" si="4"/>
        <v>0.0004344038968</v>
      </c>
    </row>
    <row r="8" ht="13.5" customHeight="1">
      <c r="A8" s="132">
        <v>2.0</v>
      </c>
      <c r="B8" s="131">
        <v>0.3719</v>
      </c>
      <c r="C8" s="131">
        <f t="shared" si="1"/>
        <v>1.4876</v>
      </c>
      <c r="D8" s="131">
        <f t="shared" si="2"/>
        <v>1.541799888</v>
      </c>
      <c r="E8" s="131">
        <f t="shared" si="3"/>
        <v>0.05419988767</v>
      </c>
      <c r="F8" s="133">
        <f t="shared" si="4"/>
        <v>0.002937627824</v>
      </c>
    </row>
    <row r="9" ht="13.5" customHeight="1">
      <c r="A9" s="132">
        <v>3.0</v>
      </c>
      <c r="B9" s="131">
        <v>0.5544</v>
      </c>
      <c r="C9" s="131">
        <f t="shared" si="1"/>
        <v>2.2176</v>
      </c>
      <c r="D9" s="131">
        <f t="shared" si="2"/>
        <v>2.260882366</v>
      </c>
      <c r="E9" s="131">
        <f t="shared" si="3"/>
        <v>0.04328236584</v>
      </c>
      <c r="F9" s="133">
        <f t="shared" si="4"/>
        <v>0.001873363193</v>
      </c>
    </row>
    <row r="10" ht="13.5" customHeight="1">
      <c r="A10" s="132">
        <v>4.0</v>
      </c>
      <c r="B10" s="131">
        <v>0.7344</v>
      </c>
      <c r="C10" s="131">
        <f t="shared" si="1"/>
        <v>2.9376</v>
      </c>
      <c r="D10" s="131">
        <f t="shared" si="2"/>
        <v>2.919528649</v>
      </c>
      <c r="E10" s="131">
        <f t="shared" si="3"/>
        <v>-0.01807135136</v>
      </c>
      <c r="F10" s="133">
        <f t="shared" si="4"/>
        <v>0.0003265737398</v>
      </c>
    </row>
    <row r="11" ht="13.5" customHeight="1">
      <c r="A11" s="132">
        <v>5.0</v>
      </c>
      <c r="B11" s="131">
        <v>0.8998</v>
      </c>
      <c r="C11" s="131">
        <f t="shared" si="1"/>
        <v>3.5992</v>
      </c>
      <c r="D11" s="131">
        <f t="shared" si="2"/>
        <v>3.505977592</v>
      </c>
      <c r="E11" s="131">
        <f t="shared" si="3"/>
        <v>-0.09322240801</v>
      </c>
      <c r="F11" s="133">
        <f t="shared" si="4"/>
        <v>0.008690417354</v>
      </c>
    </row>
    <row r="12" ht="13.5" customHeight="1">
      <c r="A12" s="132">
        <v>6.0</v>
      </c>
      <c r="B12" s="131">
        <v>1.0147</v>
      </c>
      <c r="C12" s="131">
        <f t="shared" si="1"/>
        <v>4.0588</v>
      </c>
      <c r="D12" s="131">
        <f t="shared" si="2"/>
        <v>4.008468052</v>
      </c>
      <c r="E12" s="131">
        <f t="shared" si="3"/>
        <v>-0.0503319482</v>
      </c>
      <c r="F12" s="133">
        <f t="shared" si="4"/>
        <v>0.00253330501</v>
      </c>
    </row>
    <row r="13" ht="13.5" customHeight="1">
      <c r="A13" s="132">
        <v>7.0</v>
      </c>
      <c r="B13" s="131">
        <v>1.0977</v>
      </c>
      <c r="C13" s="131">
        <f t="shared" si="1"/>
        <v>4.3908</v>
      </c>
      <c r="D13" s="131">
        <f t="shared" si="2"/>
        <v>4.415238884</v>
      </c>
      <c r="E13" s="131">
        <f t="shared" si="3"/>
        <v>0.02443888397</v>
      </c>
      <c r="F13" s="133">
        <f t="shared" si="4"/>
        <v>0.0005972590498</v>
      </c>
    </row>
    <row r="14" ht="13.5" customHeight="1">
      <c r="A14" s="132">
        <v>8.0</v>
      </c>
      <c r="B14" s="131">
        <v>1.1625</v>
      </c>
      <c r="C14" s="131">
        <f t="shared" si="1"/>
        <v>4.65</v>
      </c>
      <c r="D14" s="131">
        <f t="shared" si="2"/>
        <v>4.714528944</v>
      </c>
      <c r="E14" s="131">
        <f t="shared" si="3"/>
        <v>0.06452894442</v>
      </c>
      <c r="F14" s="133">
        <f t="shared" si="4"/>
        <v>0.004163984668</v>
      </c>
    </row>
    <row r="15" ht="13.5" customHeight="1">
      <c r="A15" s="132">
        <v>9.0</v>
      </c>
      <c r="B15" s="131">
        <v>1.2107</v>
      </c>
      <c r="C15" s="131">
        <f t="shared" si="1"/>
        <v>4.8428</v>
      </c>
      <c r="D15" s="131">
        <f t="shared" si="2"/>
        <v>4.894577089</v>
      </c>
      <c r="E15" s="131">
        <f t="shared" si="3"/>
        <v>0.05177708905</v>
      </c>
      <c r="F15" s="133">
        <f t="shared" si="4"/>
        <v>0.00268086695</v>
      </c>
    </row>
    <row r="16" ht="13.5" customHeight="1">
      <c r="A16" s="132">
        <v>10.0</v>
      </c>
      <c r="B16" s="131">
        <v>1.2502</v>
      </c>
      <c r="C16" s="131">
        <f t="shared" si="1"/>
        <v>5.0008</v>
      </c>
      <c r="D16" s="131">
        <f t="shared" si="2"/>
        <v>4.943622174</v>
      </c>
      <c r="E16" s="131">
        <f t="shared" si="3"/>
        <v>-0.05717782623</v>
      </c>
      <c r="F16" s="133">
        <f t="shared" si="4"/>
        <v>0.003269303812</v>
      </c>
    </row>
    <row r="17" ht="13.5" customHeight="1">
      <c r="F17" s="133">
        <f>SUM(F6:F16)</f>
        <v>0.02915782751</v>
      </c>
    </row>
    <row r="18" ht="13.5" customHeight="1"/>
    <row r="19" ht="13.5" customHeight="1">
      <c r="A19" s="5" t="s">
        <v>135</v>
      </c>
    </row>
    <row r="20" ht="13.5" customHeight="1">
      <c r="A20" s="5" t="s">
        <v>136</v>
      </c>
      <c r="B20" s="134">
        <v>-0.03062907838420643</v>
      </c>
    </row>
    <row r="21" ht="13.5" customHeight="1">
      <c r="A21" s="5" t="s">
        <v>137</v>
      </c>
      <c r="B21" s="134">
        <v>0.8192080088474603</v>
      </c>
    </row>
    <row r="22" ht="13.5" customHeight="1">
      <c r="A22" s="5" t="s">
        <v>138</v>
      </c>
      <c r="B22" s="134">
        <v>-0.012576381545524748</v>
      </c>
    </row>
    <row r="23" ht="13.5" customHeight="1">
      <c r="A23" s="5" t="s">
        <v>139</v>
      </c>
      <c r="B23" s="134">
        <v>-0.00196019068176431</v>
      </c>
    </row>
    <row r="24" ht="13.5" customHeight="1">
      <c r="B24" s="134"/>
    </row>
    <row r="25" ht="13.5" customHeight="1"/>
    <row r="26" ht="13.5" customHeight="1">
      <c r="A26" s="5" t="s">
        <v>131</v>
      </c>
      <c r="B26" s="5" t="s">
        <v>9</v>
      </c>
      <c r="C26" s="5" t="s">
        <v>140</v>
      </c>
      <c r="D26" s="131" t="s">
        <v>132</v>
      </c>
      <c r="E26" s="5" t="s">
        <v>133</v>
      </c>
      <c r="F26" s="133" t="s">
        <v>134</v>
      </c>
    </row>
    <row r="27" ht="13.5" customHeight="1">
      <c r="A27" s="132">
        <v>0.0</v>
      </c>
      <c r="B27" s="131">
        <v>0.0025</v>
      </c>
      <c r="C27" s="131">
        <f t="shared" ref="C27:C37" si="5">B27*4</f>
        <v>0.01</v>
      </c>
      <c r="D27" s="131">
        <f t="shared" ref="D27:D37" si="6">$B$41+$B$42*$C27+$B$43*$C27^2+$B$44*$C27^3</f>
        <v>-0.1294767842</v>
      </c>
      <c r="E27" s="131">
        <f t="shared" ref="E27:E37" si="7">$D27-$A27</f>
        <v>-0.1294767842</v>
      </c>
      <c r="F27" s="133">
        <f t="shared" ref="F27:F37" si="8">$E27^2</f>
        <v>0.01676423764</v>
      </c>
    </row>
    <row r="28" ht="13.5" customHeight="1">
      <c r="A28" s="132">
        <v>1.0</v>
      </c>
      <c r="B28" s="131">
        <v>0.1883</v>
      </c>
      <c r="C28" s="131">
        <f t="shared" si="5"/>
        <v>0.7532</v>
      </c>
      <c r="D28" s="131">
        <f t="shared" si="6"/>
        <v>1.216493151</v>
      </c>
      <c r="E28" s="131">
        <f t="shared" si="7"/>
        <v>0.2164931513</v>
      </c>
      <c r="F28" s="133">
        <f t="shared" si="8"/>
        <v>0.04686928458</v>
      </c>
    </row>
    <row r="29" ht="13.5" customHeight="1">
      <c r="A29" s="132">
        <v>2.0</v>
      </c>
      <c r="B29" s="131">
        <v>0.3719</v>
      </c>
      <c r="C29" s="131">
        <f t="shared" si="5"/>
        <v>1.4876</v>
      </c>
      <c r="D29" s="131">
        <f t="shared" si="6"/>
        <v>2.107406113</v>
      </c>
      <c r="E29" s="131">
        <f t="shared" si="7"/>
        <v>0.1074061133</v>
      </c>
      <c r="F29" s="133">
        <f t="shared" si="8"/>
        <v>0.01153607317</v>
      </c>
    </row>
    <row r="30" ht="13.5" customHeight="1">
      <c r="A30" s="132">
        <v>3.0</v>
      </c>
      <c r="B30" s="131">
        <v>0.5544</v>
      </c>
      <c r="C30" s="131">
        <f t="shared" si="5"/>
        <v>2.2176</v>
      </c>
      <c r="D30" s="131">
        <f t="shared" si="6"/>
        <v>2.858310455</v>
      </c>
      <c r="E30" s="131">
        <f t="shared" si="7"/>
        <v>-0.1416895449</v>
      </c>
      <c r="F30" s="133">
        <f t="shared" si="8"/>
        <v>0.02007592714</v>
      </c>
    </row>
    <row r="31" ht="13.5" customHeight="1">
      <c r="A31" s="132">
        <v>4.0</v>
      </c>
      <c r="B31" s="131">
        <v>0.7344</v>
      </c>
      <c r="C31" s="131">
        <f t="shared" si="5"/>
        <v>2.9376</v>
      </c>
      <c r="D31" s="131">
        <f t="shared" si="6"/>
        <v>3.755298987</v>
      </c>
      <c r="E31" s="131">
        <f t="shared" si="7"/>
        <v>-0.2447010127</v>
      </c>
      <c r="F31" s="133">
        <f t="shared" si="8"/>
        <v>0.05987858563</v>
      </c>
    </row>
    <row r="32" ht="13.5" customHeight="1">
      <c r="A32" s="132">
        <v>5.0</v>
      </c>
      <c r="B32" s="131">
        <v>0.8998</v>
      </c>
      <c r="C32" s="131">
        <f t="shared" si="5"/>
        <v>3.5992</v>
      </c>
      <c r="D32" s="131">
        <f t="shared" si="6"/>
        <v>4.960100838</v>
      </c>
      <c r="E32" s="131">
        <f t="shared" si="7"/>
        <v>-0.0398991622</v>
      </c>
      <c r="F32" s="133">
        <f t="shared" si="8"/>
        <v>0.001591943144</v>
      </c>
    </row>
    <row r="33" ht="13.5" customHeight="1">
      <c r="A33" s="132">
        <v>6.0</v>
      </c>
      <c r="B33" s="131">
        <v>1.0147</v>
      </c>
      <c r="C33" s="131">
        <f t="shared" si="5"/>
        <v>4.0588</v>
      </c>
      <c r="D33" s="131">
        <f t="shared" si="6"/>
        <v>6.1313702</v>
      </c>
      <c r="E33" s="131">
        <f t="shared" si="7"/>
        <v>0.1313701995</v>
      </c>
      <c r="F33" s="133">
        <f t="shared" si="8"/>
        <v>0.01725812932</v>
      </c>
    </row>
    <row r="34" ht="13.5" customHeight="1">
      <c r="A34" s="132">
        <v>7.0</v>
      </c>
      <c r="B34" s="131">
        <v>1.0977</v>
      </c>
      <c r="C34" s="131">
        <f t="shared" si="5"/>
        <v>4.3908</v>
      </c>
      <c r="D34" s="131">
        <f t="shared" si="6"/>
        <v>7.196176241</v>
      </c>
      <c r="E34" s="131">
        <f t="shared" si="7"/>
        <v>0.1961762407</v>
      </c>
      <c r="F34" s="133">
        <f t="shared" si="8"/>
        <v>0.03848511742</v>
      </c>
    </row>
    <row r="35" ht="13.5" customHeight="1">
      <c r="A35" s="132">
        <v>8.0</v>
      </c>
      <c r="B35" s="131">
        <v>1.1625</v>
      </c>
      <c r="C35" s="131">
        <f t="shared" si="5"/>
        <v>4.65</v>
      </c>
      <c r="D35" s="131">
        <f t="shared" si="6"/>
        <v>8.175352339</v>
      </c>
      <c r="E35" s="131">
        <f t="shared" si="7"/>
        <v>0.1753523391</v>
      </c>
      <c r="F35" s="133">
        <f t="shared" si="8"/>
        <v>0.03074844282</v>
      </c>
    </row>
    <row r="36" ht="13.5" customHeight="1">
      <c r="A36" s="132">
        <v>9.0</v>
      </c>
      <c r="B36" s="131">
        <v>1.2107</v>
      </c>
      <c r="C36" s="131">
        <f t="shared" si="5"/>
        <v>4.8428</v>
      </c>
      <c r="D36" s="131">
        <f t="shared" si="6"/>
        <v>8.996400311</v>
      </c>
      <c r="E36" s="131">
        <f t="shared" si="7"/>
        <v>-0.003599688804</v>
      </c>
      <c r="F36" s="133">
        <f t="shared" si="8"/>
        <v>0.00001295775949</v>
      </c>
    </row>
    <row r="37" ht="13.5" customHeight="1">
      <c r="A37" s="132">
        <v>10.0</v>
      </c>
      <c r="B37" s="131">
        <v>1.2502</v>
      </c>
      <c r="C37" s="131">
        <f t="shared" si="5"/>
        <v>5.0008</v>
      </c>
      <c r="D37" s="131">
        <f t="shared" si="6"/>
        <v>9.73248459</v>
      </c>
      <c r="E37" s="131">
        <f t="shared" si="7"/>
        <v>-0.2675154098</v>
      </c>
      <c r="F37" s="133">
        <f t="shared" si="8"/>
        <v>0.07156449446</v>
      </c>
    </row>
    <row r="38" ht="13.5" customHeight="1">
      <c r="F38" s="133">
        <f>SUM(F27:F37)</f>
        <v>0.3147851931</v>
      </c>
    </row>
    <row r="39" ht="13.5" customHeight="1"/>
    <row r="40" ht="13.5" customHeight="1">
      <c r="A40" s="5" t="s">
        <v>135</v>
      </c>
    </row>
    <row r="41" ht="13.5" customHeight="1">
      <c r="A41" s="5" t="s">
        <v>136</v>
      </c>
      <c r="B41" s="134">
        <v>-0.15204963448674533</v>
      </c>
    </row>
    <row r="42" ht="13.5" customHeight="1">
      <c r="A42" s="5" t="s">
        <v>137</v>
      </c>
      <c r="B42" s="134">
        <v>2.2641604304812897</v>
      </c>
    </row>
    <row r="43" ht="13.5" customHeight="1">
      <c r="A43" s="5" t="s">
        <v>138</v>
      </c>
      <c r="B43" s="134">
        <v>-0.6888024357427815</v>
      </c>
    </row>
    <row r="44" ht="14.25" customHeight="1">
      <c r="A44" s="5" t="s">
        <v>139</v>
      </c>
      <c r="B44" s="134">
        <v>0.1262393354062662</v>
      </c>
    </row>
    <row r="45" ht="14.25" customHeight="1">
      <c r="I45" s="5" t="s">
        <v>141</v>
      </c>
      <c r="K45" s="135">
        <v>153.0</v>
      </c>
    </row>
    <row r="46" ht="13.5" customHeight="1">
      <c r="I46" s="5" t="s">
        <v>142</v>
      </c>
      <c r="K46" s="131">
        <f>$B$20+$B$21*K45/100+$B$22*K45^2*0.0001+$B$23*K45^3*0.000001</f>
        <v>1.18629855</v>
      </c>
    </row>
    <row r="47" ht="14.25" customHeight="1"/>
    <row r="48" ht="14.25" customHeight="1">
      <c r="I48" s="5" t="s">
        <v>143</v>
      </c>
      <c r="K48" s="136">
        <v>1.141</v>
      </c>
    </row>
    <row r="49" ht="13.5" customHeight="1">
      <c r="I49" s="5" t="s">
        <v>144</v>
      </c>
      <c r="K49" s="81">
        <f>$B$41*100+$B$42*K48*100+$B$43*K48^2*100+$B$44*K48^3*100</f>
        <v>172.2140357</v>
      </c>
    </row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10.88"/>
    <col customWidth="1" min="4" max="5" width="8.0"/>
    <col customWidth="1" min="6" max="6" width="9.5"/>
    <col customWidth="1" min="7" max="26" width="8.0"/>
  </cols>
  <sheetData>
    <row r="1" ht="13.5" customHeight="1">
      <c r="A1" s="129" t="s">
        <v>80</v>
      </c>
      <c r="B1" s="130" t="s">
        <v>81</v>
      </c>
    </row>
    <row r="2" ht="13.5" customHeight="1">
      <c r="A2" s="5" t="s">
        <v>145</v>
      </c>
    </row>
    <row r="3" ht="13.5" customHeight="1">
      <c r="A3" s="5" t="s">
        <v>153</v>
      </c>
    </row>
    <row r="4" ht="13.5" customHeight="1"/>
    <row r="5" ht="13.5" customHeight="1">
      <c r="A5" s="5" t="s">
        <v>131</v>
      </c>
      <c r="B5" s="5" t="s">
        <v>9</v>
      </c>
      <c r="C5" s="5" t="s">
        <v>140</v>
      </c>
      <c r="D5" s="131" t="s">
        <v>132</v>
      </c>
      <c r="E5" s="5" t="s">
        <v>133</v>
      </c>
      <c r="F5" s="133" t="s">
        <v>134</v>
      </c>
    </row>
    <row r="6" ht="13.5" customHeight="1">
      <c r="A6" s="132">
        <v>0.0</v>
      </c>
      <c r="B6" s="131">
        <v>0.0033</v>
      </c>
      <c r="C6" s="131">
        <f t="shared" ref="C6:C18" si="1">B6*2</f>
        <v>0.0066</v>
      </c>
      <c r="D6" s="131">
        <f t="shared" ref="D6:D18" si="2">$B$22+$B$23*$A6+$B$24*$A6^2+$B$25*$A6^3</f>
        <v>0.0191458264</v>
      </c>
      <c r="E6" s="131">
        <f t="shared" ref="E6:E18" si="3">$D6-$C6</f>
        <v>0.0125458264</v>
      </c>
      <c r="F6" s="133">
        <f t="shared" ref="F6:F18" si="4">$E6^2</f>
        <v>0.00015739776</v>
      </c>
    </row>
    <row r="7" ht="13.5" customHeight="1">
      <c r="A7" s="132">
        <v>1.0</v>
      </c>
      <c r="B7" s="131">
        <v>0.4251</v>
      </c>
      <c r="C7" s="131">
        <f t="shared" si="1"/>
        <v>0.8502</v>
      </c>
      <c r="D7" s="131">
        <f t="shared" si="2"/>
        <v>0.8448847803</v>
      </c>
      <c r="E7" s="131">
        <f t="shared" si="3"/>
        <v>-0.005315219656</v>
      </c>
      <c r="F7" s="133">
        <f t="shared" si="4"/>
        <v>0.00002825155999</v>
      </c>
    </row>
    <row r="8" ht="13.5" customHeight="1">
      <c r="A8" s="132">
        <v>2.0</v>
      </c>
      <c r="B8" s="131">
        <v>0.849</v>
      </c>
      <c r="C8" s="131">
        <f t="shared" si="1"/>
        <v>1.698</v>
      </c>
      <c r="D8" s="131">
        <f t="shared" si="2"/>
        <v>1.683881973</v>
      </c>
      <c r="E8" s="131">
        <f t="shared" si="3"/>
        <v>-0.01411802678</v>
      </c>
      <c r="F8" s="133">
        <f t="shared" si="4"/>
        <v>0.0001993186802</v>
      </c>
    </row>
    <row r="9" ht="13.5" customHeight="1">
      <c r="A9" s="132">
        <v>3.0</v>
      </c>
      <c r="B9" s="131">
        <v>1.2711</v>
      </c>
      <c r="C9" s="131">
        <f t="shared" si="1"/>
        <v>2.5422</v>
      </c>
      <c r="D9" s="131">
        <f t="shared" si="2"/>
        <v>2.532098794</v>
      </c>
      <c r="E9" s="131">
        <f t="shared" si="3"/>
        <v>-0.0101012065</v>
      </c>
      <c r="F9" s="133">
        <f t="shared" si="4"/>
        <v>0.0001020343727</v>
      </c>
    </row>
    <row r="10" ht="13.5" customHeight="1">
      <c r="A10" s="132">
        <v>4.0</v>
      </c>
      <c r="B10" s="131">
        <v>1.693</v>
      </c>
      <c r="C10" s="131">
        <f t="shared" si="1"/>
        <v>3.386</v>
      </c>
      <c r="D10" s="131">
        <f t="shared" si="2"/>
        <v>3.38549663</v>
      </c>
      <c r="E10" s="131">
        <f t="shared" si="3"/>
        <v>-0.0005033703178</v>
      </c>
      <c r="F10" s="133">
        <f t="shared" si="4"/>
        <v>0.0000002533816768</v>
      </c>
    </row>
    <row r="11" ht="13.5" customHeight="1">
      <c r="A11" s="132">
        <v>5.0</v>
      </c>
      <c r="B11" s="131">
        <v>2.1177</v>
      </c>
      <c r="C11" s="131">
        <f t="shared" si="1"/>
        <v>4.2354</v>
      </c>
      <c r="D11" s="131">
        <f t="shared" si="2"/>
        <v>4.24003687</v>
      </c>
      <c r="E11" s="131">
        <f t="shared" si="3"/>
        <v>0.004636870239</v>
      </c>
      <c r="F11" s="133">
        <f t="shared" si="4"/>
        <v>0.00002150056562</v>
      </c>
    </row>
    <row r="12" ht="13.5" customHeight="1">
      <c r="A12" s="132">
        <v>6.0</v>
      </c>
      <c r="B12" s="131">
        <v>2.5409</v>
      </c>
      <c r="C12" s="131">
        <f t="shared" si="1"/>
        <v>5.0818</v>
      </c>
      <c r="D12" s="131">
        <f t="shared" si="2"/>
        <v>5.091680904</v>
      </c>
      <c r="E12" s="131">
        <f t="shared" si="3"/>
        <v>0.009880903657</v>
      </c>
      <c r="F12" s="133">
        <f t="shared" si="4"/>
        <v>0.00009763225709</v>
      </c>
    </row>
    <row r="13" ht="13.5" customHeight="1">
      <c r="A13" s="132">
        <v>7.0</v>
      </c>
      <c r="B13" s="131">
        <v>2.9605</v>
      </c>
      <c r="C13" s="131">
        <f t="shared" si="1"/>
        <v>5.921</v>
      </c>
      <c r="D13" s="131">
        <f t="shared" si="2"/>
        <v>5.936390118</v>
      </c>
      <c r="E13" s="131">
        <f t="shared" si="3"/>
        <v>0.01539011842</v>
      </c>
      <c r="F13" s="133">
        <f t="shared" si="4"/>
        <v>0.000236855745</v>
      </c>
    </row>
    <row r="14" ht="13.5" customHeight="1">
      <c r="A14" s="132">
        <v>8.0</v>
      </c>
      <c r="B14" s="131">
        <v>3.3798</v>
      </c>
      <c r="C14" s="131">
        <f t="shared" si="1"/>
        <v>6.7596</v>
      </c>
      <c r="D14" s="131">
        <f t="shared" si="2"/>
        <v>6.770125903</v>
      </c>
      <c r="E14" s="131">
        <f t="shared" si="3"/>
        <v>0.01052590301</v>
      </c>
      <c r="F14" s="133">
        <f t="shared" si="4"/>
        <v>0.0001107946342</v>
      </c>
    </row>
    <row r="15" ht="13.5" customHeight="1">
      <c r="A15" s="132">
        <v>9.0</v>
      </c>
      <c r="B15" s="131">
        <v>3.7958</v>
      </c>
      <c r="C15" s="131">
        <f t="shared" si="1"/>
        <v>7.5916</v>
      </c>
      <c r="D15" s="131">
        <f t="shared" si="2"/>
        <v>7.588849646</v>
      </c>
      <c r="E15" s="131">
        <f t="shared" si="3"/>
        <v>-0.002750354085</v>
      </c>
      <c r="F15" s="133">
        <f t="shared" si="4"/>
        <v>0.000007564447594</v>
      </c>
    </row>
    <row r="16" ht="13.5" customHeight="1">
      <c r="A16" s="132">
        <v>10.0</v>
      </c>
      <c r="B16" s="131">
        <v>4.2055</v>
      </c>
      <c r="C16" s="131">
        <f t="shared" si="1"/>
        <v>8.411</v>
      </c>
      <c r="D16" s="131">
        <f t="shared" si="2"/>
        <v>8.388522736</v>
      </c>
      <c r="E16" s="131">
        <f t="shared" si="3"/>
        <v>-0.02247726439</v>
      </c>
      <c r="F16" s="133">
        <f t="shared" si="4"/>
        <v>0.0005052274143</v>
      </c>
    </row>
    <row r="17" ht="13.5" customHeight="1">
      <c r="A17" s="132">
        <v>11.0</v>
      </c>
      <c r="B17" s="131">
        <v>4.5932</v>
      </c>
      <c r="C17" s="131">
        <f t="shared" si="1"/>
        <v>9.1864</v>
      </c>
      <c r="D17" s="131">
        <f t="shared" si="2"/>
        <v>9.165106561</v>
      </c>
      <c r="E17" s="131">
        <f t="shared" si="3"/>
        <v>-0.02129343941</v>
      </c>
      <c r="F17" s="133">
        <f t="shared" si="4"/>
        <v>0.0004534105619</v>
      </c>
    </row>
    <row r="18" ht="13.5" customHeight="1">
      <c r="A18" s="132">
        <v>12.0</v>
      </c>
      <c r="B18" s="131">
        <v>4.9458</v>
      </c>
      <c r="C18" s="131">
        <f t="shared" si="1"/>
        <v>9.8916</v>
      </c>
      <c r="D18" s="131">
        <f t="shared" si="2"/>
        <v>9.914562509</v>
      </c>
      <c r="E18" s="131">
        <f t="shared" si="3"/>
        <v>0.02296250933</v>
      </c>
      <c r="F18" s="133">
        <f t="shared" si="4"/>
        <v>0.0005272768347</v>
      </c>
    </row>
    <row r="19" ht="13.5" customHeight="1">
      <c r="F19" s="133">
        <f>SUM(F6:F18)</f>
        <v>0.002447518215</v>
      </c>
    </row>
    <row r="20" ht="13.5" customHeight="1"/>
    <row r="21" ht="13.5" customHeight="1">
      <c r="A21" s="5" t="s">
        <v>135</v>
      </c>
    </row>
    <row r="22" ht="13.5" customHeight="1">
      <c r="A22" s="5" t="s">
        <v>136</v>
      </c>
      <c r="B22" s="134">
        <v>0.019145826396832696</v>
      </c>
    </row>
    <row r="23" ht="13.5" customHeight="1">
      <c r="A23" s="5" t="s">
        <v>137</v>
      </c>
      <c r="B23" s="134">
        <v>0.8177636306444621</v>
      </c>
    </row>
    <row r="24" ht="13.5" customHeight="1">
      <c r="A24" s="5" t="s">
        <v>138</v>
      </c>
      <c r="B24" s="134">
        <v>0.008648425221891506</v>
      </c>
    </row>
    <row r="25" ht="13.5" customHeight="1">
      <c r="A25" s="5" t="s">
        <v>139</v>
      </c>
      <c r="B25" s="134">
        <v>-6.731019194176182E-4</v>
      </c>
    </row>
    <row r="26" ht="13.5" customHeight="1"/>
    <row r="27" ht="13.5" customHeight="1"/>
    <row r="28" ht="13.5" customHeight="1">
      <c r="A28" s="5" t="s">
        <v>131</v>
      </c>
      <c r="B28" s="5" t="s">
        <v>9</v>
      </c>
      <c r="C28" s="5" t="s">
        <v>140</v>
      </c>
      <c r="D28" s="131" t="s">
        <v>132</v>
      </c>
      <c r="E28" s="5" t="s">
        <v>133</v>
      </c>
      <c r="F28" s="133" t="s">
        <v>134</v>
      </c>
    </row>
    <row r="29" ht="13.5" customHeight="1">
      <c r="A29" s="132">
        <v>0.0</v>
      </c>
      <c r="B29" s="131">
        <v>0.0033</v>
      </c>
      <c r="C29" s="131">
        <f t="shared" ref="C29:C41" si="5">B29*2</f>
        <v>0.0066</v>
      </c>
      <c r="D29" s="131">
        <f t="shared" ref="D29:D41" si="6">$B$45+$B$46*$C29+$B$47*$C29^2+$B$48*$C29^3</f>
        <v>-0.0167044226</v>
      </c>
      <c r="E29" s="131">
        <f t="shared" ref="E29:E41" si="7">$D29-$A29</f>
        <v>-0.0167044226</v>
      </c>
      <c r="F29" s="133">
        <f t="shared" ref="F29:F41" si="8">$E29^2</f>
        <v>0.0002790377343</v>
      </c>
    </row>
    <row r="30" ht="13.5" customHeight="1">
      <c r="A30" s="132">
        <v>1.0</v>
      </c>
      <c r="B30" s="131">
        <v>0.4251</v>
      </c>
      <c r="C30" s="131">
        <f t="shared" si="5"/>
        <v>0.8502</v>
      </c>
      <c r="D30" s="131">
        <f t="shared" si="6"/>
        <v>1.006742082</v>
      </c>
      <c r="E30" s="131">
        <f t="shared" si="7"/>
        <v>0.006742081718</v>
      </c>
      <c r="F30" s="133">
        <f t="shared" si="8"/>
        <v>0.00004545566589</v>
      </c>
    </row>
    <row r="31" ht="13.5" customHeight="1">
      <c r="A31" s="132">
        <v>2.0</v>
      </c>
      <c r="B31" s="131">
        <v>0.849</v>
      </c>
      <c r="C31" s="131">
        <f t="shared" si="5"/>
        <v>1.698</v>
      </c>
      <c r="D31" s="131">
        <f t="shared" si="6"/>
        <v>2.017870146</v>
      </c>
      <c r="E31" s="131">
        <f t="shared" si="7"/>
        <v>0.01787014563</v>
      </c>
      <c r="F31" s="133">
        <f t="shared" si="8"/>
        <v>0.000319342105</v>
      </c>
    </row>
    <row r="32" ht="13.5" customHeight="1">
      <c r="A32" s="132">
        <v>3.0</v>
      </c>
      <c r="B32" s="131">
        <v>1.2711</v>
      </c>
      <c r="C32" s="131">
        <f t="shared" si="5"/>
        <v>2.5422</v>
      </c>
      <c r="D32" s="131">
        <f t="shared" si="6"/>
        <v>3.012665023</v>
      </c>
      <c r="E32" s="131">
        <f t="shared" si="7"/>
        <v>0.01266502262</v>
      </c>
      <c r="F32" s="133">
        <f t="shared" si="8"/>
        <v>0.000160402798</v>
      </c>
    </row>
    <row r="33" ht="13.5" customHeight="1">
      <c r="A33" s="132">
        <v>4.0</v>
      </c>
      <c r="B33" s="131">
        <v>1.693</v>
      </c>
      <c r="C33" s="131">
        <f t="shared" si="5"/>
        <v>3.386</v>
      </c>
      <c r="D33" s="131">
        <f t="shared" si="6"/>
        <v>4.000274806</v>
      </c>
      <c r="E33" s="131">
        <f t="shared" si="7"/>
        <v>0.0002748060665</v>
      </c>
      <c r="F33" s="133">
        <f t="shared" si="8"/>
        <v>0.00000007551837419</v>
      </c>
    </row>
    <row r="34" ht="13.5" customHeight="1">
      <c r="A34" s="132">
        <v>5.0</v>
      </c>
      <c r="B34" s="131">
        <v>2.1177</v>
      </c>
      <c r="C34" s="131">
        <f t="shared" si="5"/>
        <v>4.2354</v>
      </c>
      <c r="D34" s="131">
        <f t="shared" si="6"/>
        <v>4.993006547</v>
      </c>
      <c r="E34" s="131">
        <f t="shared" si="7"/>
        <v>-0.006993452645</v>
      </c>
      <c r="F34" s="133">
        <f t="shared" si="8"/>
        <v>0.00004890837989</v>
      </c>
    </row>
    <row r="35" ht="13.5" customHeight="1">
      <c r="A35" s="132">
        <v>6.0</v>
      </c>
      <c r="B35" s="131">
        <v>2.5409</v>
      </c>
      <c r="C35" s="131">
        <f t="shared" si="5"/>
        <v>5.0818</v>
      </c>
      <c r="D35" s="131">
        <f t="shared" si="6"/>
        <v>5.986143047</v>
      </c>
      <c r="E35" s="131">
        <f t="shared" si="7"/>
        <v>-0.01385695272</v>
      </c>
      <c r="F35" s="133">
        <f t="shared" si="8"/>
        <v>0.0001920151386</v>
      </c>
    </row>
    <row r="36" ht="13.5" customHeight="1">
      <c r="A36" s="132">
        <v>7.0</v>
      </c>
      <c r="B36" s="131">
        <v>2.9605</v>
      </c>
      <c r="C36" s="131">
        <f t="shared" si="5"/>
        <v>5.921</v>
      </c>
      <c r="D36" s="131">
        <f t="shared" si="6"/>
        <v>6.979939484</v>
      </c>
      <c r="E36" s="131">
        <f t="shared" si="7"/>
        <v>-0.02006051607</v>
      </c>
      <c r="F36" s="133">
        <f t="shared" si="8"/>
        <v>0.000402424305</v>
      </c>
    </row>
    <row r="37" ht="13.5" customHeight="1">
      <c r="A37" s="132">
        <v>8.0</v>
      </c>
      <c r="B37" s="131">
        <v>3.3798</v>
      </c>
      <c r="C37" s="131">
        <f t="shared" si="5"/>
        <v>6.7596</v>
      </c>
      <c r="D37" s="131">
        <f t="shared" si="6"/>
        <v>7.987288382</v>
      </c>
      <c r="E37" s="131">
        <f t="shared" si="7"/>
        <v>-0.01271161762</v>
      </c>
      <c r="F37" s="133">
        <f t="shared" si="8"/>
        <v>0.0001615852224</v>
      </c>
    </row>
    <row r="38" ht="13.5" customHeight="1">
      <c r="A38" s="132">
        <v>9.0</v>
      </c>
      <c r="B38" s="131">
        <v>3.7958</v>
      </c>
      <c r="C38" s="131">
        <f t="shared" si="5"/>
        <v>7.5916</v>
      </c>
      <c r="D38" s="131">
        <f t="shared" si="6"/>
        <v>9.005910221</v>
      </c>
      <c r="E38" s="131">
        <f t="shared" si="7"/>
        <v>0.005910220746</v>
      </c>
      <c r="F38" s="133">
        <f t="shared" si="8"/>
        <v>0.00003493070926</v>
      </c>
    </row>
    <row r="39" ht="13.5" customHeight="1">
      <c r="A39" s="132">
        <v>10.0</v>
      </c>
      <c r="B39" s="131">
        <v>4.2055</v>
      </c>
      <c r="C39" s="131">
        <f t="shared" si="5"/>
        <v>8.411</v>
      </c>
      <c r="D39" s="131">
        <f t="shared" si="6"/>
        <v>10.03273525</v>
      </c>
      <c r="E39" s="131">
        <f t="shared" si="7"/>
        <v>0.03273525036</v>
      </c>
      <c r="F39" s="133">
        <f t="shared" si="8"/>
        <v>0.001071596616</v>
      </c>
    </row>
    <row r="40" ht="13.5" customHeight="1">
      <c r="A40" s="132">
        <v>11.0</v>
      </c>
      <c r="B40" s="131">
        <v>4.5932</v>
      </c>
      <c r="C40" s="131">
        <f t="shared" si="5"/>
        <v>9.1864</v>
      </c>
      <c r="D40" s="131">
        <f t="shared" si="6"/>
        <v>11.03041303</v>
      </c>
      <c r="E40" s="131">
        <f t="shared" si="7"/>
        <v>0.03041302986</v>
      </c>
      <c r="F40" s="133">
        <f t="shared" si="8"/>
        <v>0.000924952385</v>
      </c>
    </row>
    <row r="41" ht="13.5" customHeight="1">
      <c r="A41" s="132">
        <v>12.0</v>
      </c>
      <c r="B41" s="131">
        <v>4.9458</v>
      </c>
      <c r="C41" s="131">
        <f t="shared" si="5"/>
        <v>9.8916</v>
      </c>
      <c r="D41" s="131">
        <f t="shared" si="6"/>
        <v>11.96323087</v>
      </c>
      <c r="E41" s="131">
        <f t="shared" si="7"/>
        <v>-0.0367691292</v>
      </c>
      <c r="F41" s="133">
        <f t="shared" si="8"/>
        <v>0.001351968862</v>
      </c>
    </row>
    <row r="42" ht="13.5" customHeight="1">
      <c r="F42" s="133">
        <f>SUM(F29:F41)</f>
        <v>0.00499269544</v>
      </c>
    </row>
    <row r="43" ht="13.5" customHeight="1"/>
    <row r="44" ht="13.5" customHeight="1">
      <c r="A44" s="5" t="s">
        <v>135</v>
      </c>
    </row>
    <row r="45" ht="13.5" customHeight="1">
      <c r="A45" s="5" t="s">
        <v>136</v>
      </c>
      <c r="B45" s="134">
        <v>-0.024793574510979743</v>
      </c>
    </row>
    <row r="46" ht="13.5" customHeight="1">
      <c r="A46" s="5" t="s">
        <v>137</v>
      </c>
      <c r="B46" s="134">
        <v>1.2257338675708982</v>
      </c>
    </row>
    <row r="47" ht="13.5" customHeight="1">
      <c r="A47" s="5" t="s">
        <v>138</v>
      </c>
      <c r="B47" s="134">
        <v>-0.01588688915114351</v>
      </c>
    </row>
    <row r="48" ht="14.25" customHeight="1">
      <c r="A48" s="5" t="s">
        <v>139</v>
      </c>
      <c r="B48" s="134">
        <v>0.0014651192037066522</v>
      </c>
    </row>
    <row r="49" ht="14.25" customHeight="1">
      <c r="I49" s="5" t="s">
        <v>141</v>
      </c>
      <c r="K49" s="135">
        <v>853.0</v>
      </c>
    </row>
    <row r="50" ht="13.5" customHeight="1">
      <c r="I50" s="5" t="s">
        <v>142</v>
      </c>
      <c r="K50" s="131">
        <f>$B$22+$B$23*K49/100+$B$24*K49^2*0.0001+$B$25*K49^3*0.000001</f>
        <v>7.206175771</v>
      </c>
    </row>
    <row r="51" ht="14.25" customHeight="1"/>
    <row r="52" ht="14.25" customHeight="1">
      <c r="I52" s="5" t="s">
        <v>143</v>
      </c>
      <c r="K52" s="136">
        <v>7.201</v>
      </c>
    </row>
    <row r="53" ht="13.5" customHeight="1">
      <c r="I53" s="5" t="s">
        <v>144</v>
      </c>
      <c r="K53" s="81">
        <f>$B$45*100+$B$46*K52*100+$B$47*K52^2*100+$B$48*K52^3*100</f>
        <v>852.4991585</v>
      </c>
    </row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10.63"/>
    <col customWidth="1" min="3" max="3" width="11.13"/>
    <col customWidth="1" min="4" max="5" width="8.0"/>
    <col customWidth="1" min="6" max="6" width="12.75"/>
    <col customWidth="1" min="7" max="26" width="8.0"/>
  </cols>
  <sheetData>
    <row r="1" ht="13.5" customHeight="1">
      <c r="A1" s="129" t="s">
        <v>82</v>
      </c>
      <c r="B1" s="130" t="s">
        <v>83</v>
      </c>
    </row>
    <row r="2" ht="13.5" customHeight="1">
      <c r="A2" s="5" t="s">
        <v>156</v>
      </c>
    </row>
    <row r="3" ht="13.5" customHeight="1">
      <c r="A3" s="5" t="s">
        <v>157</v>
      </c>
    </row>
    <row r="4" ht="13.5" customHeight="1"/>
    <row r="5" ht="13.5" customHeight="1">
      <c r="A5" s="5" t="s">
        <v>131</v>
      </c>
      <c r="B5" s="5" t="s">
        <v>9</v>
      </c>
      <c r="C5" s="5" t="s">
        <v>140</v>
      </c>
      <c r="D5" s="131" t="s">
        <v>132</v>
      </c>
      <c r="E5" s="5" t="s">
        <v>133</v>
      </c>
      <c r="F5" s="133" t="s">
        <v>134</v>
      </c>
    </row>
    <row r="6" ht="13.5" customHeight="1">
      <c r="A6" s="132">
        <v>0.0</v>
      </c>
      <c r="B6" s="131">
        <v>0.0043</v>
      </c>
      <c r="C6" s="131">
        <f t="shared" ref="C6:C23" si="1">B6*150/80</f>
        <v>0.0080625</v>
      </c>
      <c r="D6" s="131">
        <f t="shared" ref="D6:D23" si="2">$B$27+$B$28*$A6+$B$29*$A6^2+$B$30*$A6^3</f>
        <v>0.04064752772</v>
      </c>
      <c r="E6" s="131">
        <f t="shared" ref="E6:E23" si="3">$D6-$C6</f>
        <v>0.03258502772</v>
      </c>
      <c r="F6" s="133">
        <f t="shared" ref="F6:F23" si="4">$E6^2</f>
        <v>0.001061784032</v>
      </c>
    </row>
    <row r="7" ht="13.5" customHeight="1">
      <c r="A7" s="132">
        <v>1.0</v>
      </c>
      <c r="B7" s="131">
        <v>0.4335</v>
      </c>
      <c r="C7" s="131">
        <f t="shared" si="1"/>
        <v>0.8128125</v>
      </c>
      <c r="D7" s="131">
        <f t="shared" si="2"/>
        <v>0.8058617512</v>
      </c>
      <c r="E7" s="131">
        <f t="shared" si="3"/>
        <v>-0.006950748789</v>
      </c>
      <c r="F7" s="133">
        <f t="shared" si="4"/>
        <v>0.00004831290873</v>
      </c>
    </row>
    <row r="8" ht="13.5" customHeight="1">
      <c r="A8" s="132">
        <v>2.0</v>
      </c>
      <c r="B8" s="131">
        <v>0.8653</v>
      </c>
      <c r="C8" s="131">
        <f t="shared" si="1"/>
        <v>1.6224375</v>
      </c>
      <c r="D8" s="131">
        <f t="shared" si="2"/>
        <v>1.593712609</v>
      </c>
      <c r="E8" s="131">
        <f t="shared" si="3"/>
        <v>-0.02872489087</v>
      </c>
      <c r="F8" s="133">
        <f t="shared" si="4"/>
        <v>0.0008251193557</v>
      </c>
    </row>
    <row r="9" ht="13.5" customHeight="1">
      <c r="A9" s="132">
        <v>3.0</v>
      </c>
      <c r="B9" s="131">
        <v>1.2931</v>
      </c>
      <c r="C9" s="131">
        <f t="shared" si="1"/>
        <v>2.4245625</v>
      </c>
      <c r="D9" s="131">
        <f t="shared" si="2"/>
        <v>2.398363064</v>
      </c>
      <c r="E9" s="131">
        <f t="shared" si="3"/>
        <v>-0.0261994363</v>
      </c>
      <c r="F9" s="133">
        <f t="shared" si="4"/>
        <v>0.0006864104625</v>
      </c>
    </row>
    <row r="10" ht="13.5" customHeight="1">
      <c r="A10" s="132">
        <v>4.0</v>
      </c>
      <c r="B10" s="131">
        <v>1.7258</v>
      </c>
      <c r="C10" s="131">
        <f t="shared" si="1"/>
        <v>3.235875</v>
      </c>
      <c r="D10" s="131">
        <f t="shared" si="2"/>
        <v>3.213976077</v>
      </c>
      <c r="E10" s="131">
        <f t="shared" si="3"/>
        <v>-0.02189892284</v>
      </c>
      <c r="F10" s="133">
        <f t="shared" si="4"/>
        <v>0.0004795628217</v>
      </c>
    </row>
    <row r="11" ht="13.5" customHeight="1">
      <c r="A11" s="132">
        <v>5.0</v>
      </c>
      <c r="B11" s="131">
        <v>2.1528</v>
      </c>
      <c r="C11" s="131">
        <f t="shared" si="1"/>
        <v>4.0365</v>
      </c>
      <c r="D11" s="131">
        <f t="shared" si="2"/>
        <v>4.034714612</v>
      </c>
      <c r="E11" s="131">
        <f t="shared" si="3"/>
        <v>-0.001785388272</v>
      </c>
      <c r="F11" s="133">
        <f t="shared" si="4"/>
        <v>0.000003187611283</v>
      </c>
    </row>
    <row r="12" ht="13.5" customHeight="1">
      <c r="A12" s="132">
        <v>6.0</v>
      </c>
      <c r="B12" s="131">
        <v>2.5796</v>
      </c>
      <c r="C12" s="131">
        <f t="shared" si="1"/>
        <v>4.83675</v>
      </c>
      <c r="D12" s="131">
        <f t="shared" si="2"/>
        <v>4.85474163</v>
      </c>
      <c r="E12" s="131">
        <f t="shared" si="3"/>
        <v>0.01799162964</v>
      </c>
      <c r="F12" s="133">
        <f t="shared" si="4"/>
        <v>0.0003236987372</v>
      </c>
    </row>
    <row r="13" ht="13.5" customHeight="1">
      <c r="A13" s="132">
        <v>7.0</v>
      </c>
      <c r="B13" s="131">
        <v>3.0069</v>
      </c>
      <c r="C13" s="131">
        <f t="shared" si="1"/>
        <v>5.6379375</v>
      </c>
      <c r="D13" s="131">
        <f t="shared" si="2"/>
        <v>5.668220093</v>
      </c>
      <c r="E13" s="131">
        <f t="shared" si="3"/>
        <v>0.03028259313</v>
      </c>
      <c r="F13" s="133">
        <f t="shared" si="4"/>
        <v>0.0009170354467</v>
      </c>
    </row>
    <row r="14" ht="13.5" customHeight="1">
      <c r="A14" s="132">
        <v>8.0</v>
      </c>
      <c r="B14" s="131">
        <v>3.4311</v>
      </c>
      <c r="C14" s="131">
        <f t="shared" si="1"/>
        <v>6.4333125</v>
      </c>
      <c r="D14" s="131">
        <f t="shared" si="2"/>
        <v>6.469312964</v>
      </c>
      <c r="E14" s="131">
        <f t="shared" si="3"/>
        <v>0.03600046442</v>
      </c>
      <c r="F14" s="133">
        <f t="shared" si="4"/>
        <v>0.001296033439</v>
      </c>
    </row>
    <row r="15" ht="13.5" customHeight="1">
      <c r="A15" s="132">
        <v>9.0</v>
      </c>
      <c r="B15" s="131">
        <v>3.8545</v>
      </c>
      <c r="C15" s="131">
        <f t="shared" si="1"/>
        <v>7.2271875</v>
      </c>
      <c r="D15" s="131">
        <f t="shared" si="2"/>
        <v>7.252183206</v>
      </c>
      <c r="E15" s="131">
        <f t="shared" si="3"/>
        <v>0.02499570574</v>
      </c>
      <c r="F15" s="133">
        <f t="shared" si="4"/>
        <v>0.0006247853057</v>
      </c>
    </row>
    <row r="16" ht="13.5" customHeight="1">
      <c r="A16" s="132">
        <v>10.0</v>
      </c>
      <c r="B16" s="131">
        <v>4.2742</v>
      </c>
      <c r="C16" s="131">
        <f t="shared" si="1"/>
        <v>8.014125</v>
      </c>
      <c r="D16" s="131">
        <f t="shared" si="2"/>
        <v>8.010993779</v>
      </c>
      <c r="E16" s="131">
        <f t="shared" si="3"/>
        <v>-0.003131220672</v>
      </c>
      <c r="F16" s="133">
        <f t="shared" si="4"/>
        <v>0.000009804542895</v>
      </c>
    </row>
    <row r="17" ht="13.5" customHeight="1">
      <c r="A17" s="132">
        <v>11.0</v>
      </c>
      <c r="B17" s="131">
        <v>4.678</v>
      </c>
      <c r="C17" s="131">
        <f t="shared" si="1"/>
        <v>8.77125</v>
      </c>
      <c r="D17" s="131">
        <f t="shared" si="2"/>
        <v>8.739907647</v>
      </c>
      <c r="E17" s="131">
        <f t="shared" si="3"/>
        <v>-0.0313423526</v>
      </c>
      <c r="F17" s="133">
        <f t="shared" si="4"/>
        <v>0.0009823430663</v>
      </c>
    </row>
    <row r="18" ht="13.5" customHeight="1">
      <c r="A18" s="132">
        <v>12.0</v>
      </c>
      <c r="B18" s="131">
        <v>5.052</v>
      </c>
      <c r="C18" s="131">
        <f t="shared" si="1"/>
        <v>9.4725</v>
      </c>
      <c r="D18" s="131">
        <f t="shared" si="2"/>
        <v>9.433087772</v>
      </c>
      <c r="E18" s="131">
        <f t="shared" si="3"/>
        <v>-0.0394122278</v>
      </c>
      <c r="F18" s="133">
        <f t="shared" si="4"/>
        <v>0.0015533237</v>
      </c>
    </row>
    <row r="19" ht="13.5" customHeight="1">
      <c r="A19" s="132">
        <v>13.0</v>
      </c>
      <c r="B19" s="131">
        <v>5.3872</v>
      </c>
      <c r="C19" s="131">
        <f t="shared" si="1"/>
        <v>10.101</v>
      </c>
      <c r="D19" s="131">
        <f t="shared" si="2"/>
        <v>10.08469712</v>
      </c>
      <c r="E19" s="131">
        <f t="shared" si="3"/>
        <v>-0.01630288406</v>
      </c>
      <c r="F19" s="133">
        <f t="shared" si="4"/>
        <v>0.0002657840287</v>
      </c>
    </row>
    <row r="20" ht="13.5" customHeight="1">
      <c r="A20" s="132">
        <v>14.0</v>
      </c>
      <c r="B20" s="131">
        <v>5.6972</v>
      </c>
      <c r="C20" s="131">
        <f t="shared" si="1"/>
        <v>10.68225</v>
      </c>
      <c r="D20" s="131">
        <f t="shared" si="2"/>
        <v>10.68889864</v>
      </c>
      <c r="E20" s="131">
        <f t="shared" si="3"/>
        <v>0.006648640862</v>
      </c>
      <c r="F20" s="133">
        <f t="shared" si="4"/>
        <v>0.00004420442532</v>
      </c>
    </row>
    <row r="21" ht="13.5" customHeight="1">
      <c r="A21" s="132">
        <v>15.0</v>
      </c>
      <c r="B21" s="131">
        <v>5.9836</v>
      </c>
      <c r="C21" s="131">
        <f t="shared" si="1"/>
        <v>11.21925</v>
      </c>
      <c r="D21" s="131">
        <f t="shared" si="2"/>
        <v>11.23985531</v>
      </c>
      <c r="E21" s="131">
        <f t="shared" si="3"/>
        <v>0.02060530919</v>
      </c>
      <c r="F21" s="133">
        <f t="shared" si="4"/>
        <v>0.0004245787669</v>
      </c>
    </row>
    <row r="22" ht="13.5" customHeight="1">
      <c r="A22" s="132">
        <v>16.0</v>
      </c>
      <c r="B22" s="131">
        <v>6.2488</v>
      </c>
      <c r="C22" s="131">
        <f t="shared" si="1"/>
        <v>11.7165</v>
      </c>
      <c r="D22" s="131">
        <f t="shared" si="2"/>
        <v>11.73173008</v>
      </c>
      <c r="E22" s="131">
        <f t="shared" si="3"/>
        <v>0.01523008316</v>
      </c>
      <c r="F22" s="133">
        <f t="shared" si="4"/>
        <v>0.0002319554331</v>
      </c>
    </row>
    <row r="23" ht="13.5" customHeight="1">
      <c r="A23" s="132">
        <v>17.0</v>
      </c>
      <c r="B23" s="131">
        <v>6.4902</v>
      </c>
      <c r="C23" s="131">
        <f t="shared" si="1"/>
        <v>12.169125</v>
      </c>
      <c r="D23" s="131">
        <f t="shared" si="2"/>
        <v>12.15868592</v>
      </c>
      <c r="E23" s="131">
        <f t="shared" si="3"/>
        <v>-0.01043907501</v>
      </c>
      <c r="F23" s="133">
        <f t="shared" si="4"/>
        <v>0.000108974287</v>
      </c>
    </row>
    <row r="24" ht="13.5" customHeight="1">
      <c r="F24" s="133">
        <f>SUM(F6:F23)</f>
        <v>0.00988689837</v>
      </c>
    </row>
    <row r="25" ht="13.5" customHeight="1"/>
    <row r="26" ht="13.5" customHeight="1">
      <c r="A26" s="5" t="s">
        <v>135</v>
      </c>
    </row>
    <row r="27" ht="13.5" customHeight="1">
      <c r="A27" s="5" t="s">
        <v>136</v>
      </c>
      <c r="B27" s="134">
        <v>0.04064752772034459</v>
      </c>
    </row>
    <row r="28" ht="13.5" customHeight="1">
      <c r="A28" s="5" t="s">
        <v>137</v>
      </c>
      <c r="B28" s="134">
        <v>0.7519502270201431</v>
      </c>
    </row>
    <row r="29" ht="13.5" customHeight="1">
      <c r="A29" s="5" t="s">
        <v>138</v>
      </c>
      <c r="B29" s="134">
        <v>0.014236836098460236</v>
      </c>
    </row>
    <row r="30" ht="13.5" customHeight="1">
      <c r="A30" s="5" t="s">
        <v>139</v>
      </c>
      <c r="B30" s="134">
        <v>-9.728396284395537E-4</v>
      </c>
    </row>
    <row r="31" ht="13.5" customHeight="1"/>
    <row r="32" ht="13.5" customHeight="1"/>
    <row r="33" ht="13.5" customHeight="1">
      <c r="A33" s="5" t="s">
        <v>131</v>
      </c>
      <c r="B33" s="5" t="s">
        <v>9</v>
      </c>
      <c r="C33" s="5" t="s">
        <v>140</v>
      </c>
      <c r="D33" s="131" t="s">
        <v>132</v>
      </c>
      <c r="E33" s="5" t="s">
        <v>133</v>
      </c>
      <c r="F33" s="133" t="s">
        <v>134</v>
      </c>
    </row>
    <row r="34" ht="13.5" customHeight="1">
      <c r="A34" s="132">
        <v>0.0</v>
      </c>
      <c r="B34" s="131">
        <v>0.0043</v>
      </c>
      <c r="C34" s="131">
        <f t="shared" ref="C34:C51" si="5">B34*150/80</f>
        <v>0.0080625</v>
      </c>
      <c r="D34" s="131">
        <f t="shared" ref="D34:D51" si="6">$B$55+$B$56*$C34+$B$57*$C34^2+$B$58*$C34^3</f>
        <v>-0.1008854821</v>
      </c>
      <c r="E34" s="131">
        <f t="shared" ref="E34:E51" si="7">$D34-$A34</f>
        <v>-0.1008854821</v>
      </c>
      <c r="F34" s="133">
        <f t="shared" ref="F34:F51" si="8">$E34^2</f>
        <v>0.01017788049</v>
      </c>
    </row>
    <row r="35" ht="13.5" customHeight="1">
      <c r="A35" s="132">
        <v>1.0</v>
      </c>
      <c r="B35" s="131">
        <v>0.4335</v>
      </c>
      <c r="C35" s="131">
        <f t="shared" si="5"/>
        <v>0.8128125</v>
      </c>
      <c r="D35" s="131">
        <f t="shared" si="6"/>
        <v>1.015618177</v>
      </c>
      <c r="E35" s="131">
        <f t="shared" si="7"/>
        <v>0.01561817711</v>
      </c>
      <c r="F35" s="133">
        <f t="shared" si="8"/>
        <v>0.0002439274562</v>
      </c>
    </row>
    <row r="36" ht="13.5" customHeight="1">
      <c r="A36" s="132">
        <v>2.0</v>
      </c>
      <c r="B36" s="131">
        <v>0.8653</v>
      </c>
      <c r="C36" s="131">
        <f t="shared" si="5"/>
        <v>1.6224375</v>
      </c>
      <c r="D36" s="131">
        <f t="shared" si="6"/>
        <v>2.07708431</v>
      </c>
      <c r="E36" s="131">
        <f t="shared" si="7"/>
        <v>0.07708431008</v>
      </c>
      <c r="F36" s="133">
        <f t="shared" si="8"/>
        <v>0.00594199086</v>
      </c>
    </row>
    <row r="37" ht="13.5" customHeight="1">
      <c r="A37" s="132">
        <v>3.0</v>
      </c>
      <c r="B37" s="131">
        <v>1.2931</v>
      </c>
      <c r="C37" s="131">
        <f t="shared" si="5"/>
        <v>2.4245625</v>
      </c>
      <c r="D37" s="131">
        <f t="shared" si="6"/>
        <v>3.081828222</v>
      </c>
      <c r="E37" s="131">
        <f t="shared" si="7"/>
        <v>0.08182822164</v>
      </c>
      <c r="F37" s="133">
        <f t="shared" si="8"/>
        <v>0.006695857857</v>
      </c>
    </row>
    <row r="38" ht="13.5" customHeight="1">
      <c r="A38" s="132">
        <v>4.0</v>
      </c>
      <c r="B38" s="131">
        <v>1.7258</v>
      </c>
      <c r="C38" s="131">
        <f t="shared" si="5"/>
        <v>3.235875</v>
      </c>
      <c r="D38" s="131">
        <f t="shared" si="6"/>
        <v>4.065061481</v>
      </c>
      <c r="E38" s="131">
        <f t="shared" si="7"/>
        <v>0.06506148119</v>
      </c>
      <c r="F38" s="133">
        <f t="shared" si="8"/>
        <v>0.004232996335</v>
      </c>
    </row>
    <row r="39" ht="13.5" customHeight="1">
      <c r="A39" s="132">
        <v>5.0</v>
      </c>
      <c r="B39" s="131">
        <v>2.1528</v>
      </c>
      <c r="C39" s="131">
        <f t="shared" si="5"/>
        <v>4.0365</v>
      </c>
      <c r="D39" s="131">
        <f t="shared" si="6"/>
        <v>5.016989241</v>
      </c>
      <c r="E39" s="131">
        <f t="shared" si="7"/>
        <v>0.01698924095</v>
      </c>
      <c r="F39" s="133">
        <f t="shared" si="8"/>
        <v>0.000288634308</v>
      </c>
    </row>
    <row r="40" ht="13.5" customHeight="1">
      <c r="A40" s="132">
        <v>6.0</v>
      </c>
      <c r="B40" s="131">
        <v>2.5796</v>
      </c>
      <c r="C40" s="131">
        <f t="shared" si="5"/>
        <v>4.83675</v>
      </c>
      <c r="D40" s="131">
        <f t="shared" si="6"/>
        <v>5.96433776</v>
      </c>
      <c r="E40" s="131">
        <f t="shared" si="7"/>
        <v>-0.03566224047</v>
      </c>
      <c r="F40" s="133">
        <f t="shared" si="8"/>
        <v>0.001271795396</v>
      </c>
    </row>
    <row r="41" ht="13.5" customHeight="1">
      <c r="A41" s="132">
        <v>7.0</v>
      </c>
      <c r="B41" s="131">
        <v>3.0069</v>
      </c>
      <c r="C41" s="131">
        <f t="shared" si="5"/>
        <v>5.6379375</v>
      </c>
      <c r="D41" s="131">
        <f t="shared" si="6"/>
        <v>6.922704083</v>
      </c>
      <c r="E41" s="131">
        <f t="shared" si="7"/>
        <v>-0.07729591692</v>
      </c>
      <c r="F41" s="133">
        <f t="shared" si="8"/>
        <v>0.005974658772</v>
      </c>
    </row>
    <row r="42" ht="13.5" customHeight="1">
      <c r="A42" s="132">
        <v>8.0</v>
      </c>
      <c r="B42" s="131">
        <v>3.4311</v>
      </c>
      <c r="C42" s="131">
        <f t="shared" si="5"/>
        <v>6.4333125</v>
      </c>
      <c r="D42" s="131">
        <f t="shared" si="6"/>
        <v>7.897796645</v>
      </c>
      <c r="E42" s="131">
        <f t="shared" si="7"/>
        <v>-0.102203355</v>
      </c>
      <c r="F42" s="133">
        <f t="shared" si="8"/>
        <v>0.01044552578</v>
      </c>
    </row>
    <row r="43" ht="13.5" customHeight="1">
      <c r="A43" s="132">
        <v>9.0</v>
      </c>
      <c r="B43" s="131">
        <v>3.8545</v>
      </c>
      <c r="C43" s="131">
        <f t="shared" si="5"/>
        <v>7.2271875</v>
      </c>
      <c r="D43" s="131">
        <f t="shared" si="6"/>
        <v>8.90832307</v>
      </c>
      <c r="E43" s="131">
        <f t="shared" si="7"/>
        <v>-0.09167693046</v>
      </c>
      <c r="F43" s="133">
        <f t="shared" si="8"/>
        <v>0.008404659579</v>
      </c>
    </row>
    <row r="44" ht="13.5" customHeight="1">
      <c r="A44" s="132">
        <v>10.0</v>
      </c>
      <c r="B44" s="131">
        <v>4.2742</v>
      </c>
      <c r="C44" s="131">
        <f t="shared" si="5"/>
        <v>8.014125</v>
      </c>
      <c r="D44" s="131">
        <f t="shared" si="6"/>
        <v>9.960243019</v>
      </c>
      <c r="E44" s="131">
        <f t="shared" si="7"/>
        <v>-0.03975698095</v>
      </c>
      <c r="F44" s="133">
        <f t="shared" si="8"/>
        <v>0.001580617535</v>
      </c>
    </row>
    <row r="45" ht="13.5" customHeight="1">
      <c r="A45" s="132">
        <v>11.0</v>
      </c>
      <c r="B45" s="131">
        <v>4.678</v>
      </c>
      <c r="C45" s="131">
        <f t="shared" si="5"/>
        <v>8.77125</v>
      </c>
      <c r="D45" s="131">
        <f t="shared" si="6"/>
        <v>11.03196782</v>
      </c>
      <c r="E45" s="131">
        <f t="shared" si="7"/>
        <v>0.03196782404</v>
      </c>
      <c r="F45" s="133">
        <f t="shared" si="8"/>
        <v>0.001021941774</v>
      </c>
    </row>
    <row r="46" ht="13.5" customHeight="1">
      <c r="A46" s="132">
        <v>12.0</v>
      </c>
      <c r="B46" s="131">
        <v>5.052</v>
      </c>
      <c r="C46" s="131">
        <f t="shared" si="5"/>
        <v>9.4725</v>
      </c>
      <c r="D46" s="131">
        <f t="shared" si="6"/>
        <v>12.087254</v>
      </c>
      <c r="E46" s="131">
        <f t="shared" si="7"/>
        <v>0.08725400103</v>
      </c>
      <c r="F46" s="133">
        <f t="shared" si="8"/>
        <v>0.007613260696</v>
      </c>
    </row>
    <row r="47" ht="13.5" customHeight="1">
      <c r="A47" s="132">
        <v>13.0</v>
      </c>
      <c r="B47" s="131">
        <v>5.3872</v>
      </c>
      <c r="C47" s="131">
        <f t="shared" si="5"/>
        <v>10.101</v>
      </c>
      <c r="D47" s="131">
        <f t="shared" si="6"/>
        <v>13.09221193</v>
      </c>
      <c r="E47" s="131">
        <f t="shared" si="7"/>
        <v>0.09221192641</v>
      </c>
      <c r="F47" s="133">
        <f t="shared" si="8"/>
        <v>0.008503039373</v>
      </c>
    </row>
    <row r="48" ht="13.5" customHeight="1">
      <c r="A48" s="132">
        <v>14.0</v>
      </c>
      <c r="B48" s="131">
        <v>5.6972</v>
      </c>
      <c r="C48" s="131">
        <f t="shared" si="5"/>
        <v>10.68225</v>
      </c>
      <c r="D48" s="131">
        <f t="shared" si="6"/>
        <v>14.0775101</v>
      </c>
      <c r="E48" s="131">
        <f t="shared" si="7"/>
        <v>0.07751010284</v>
      </c>
      <c r="F48" s="133">
        <f t="shared" si="8"/>
        <v>0.006007816043</v>
      </c>
    </row>
    <row r="49" ht="13.5" customHeight="1">
      <c r="A49" s="132">
        <v>15.0</v>
      </c>
      <c r="B49" s="131">
        <v>5.9836</v>
      </c>
      <c r="C49" s="131">
        <f t="shared" si="5"/>
        <v>11.21925</v>
      </c>
      <c r="D49" s="131">
        <f t="shared" si="6"/>
        <v>15.04031088</v>
      </c>
      <c r="E49" s="131">
        <f t="shared" si="7"/>
        <v>0.04031087779</v>
      </c>
      <c r="F49" s="133">
        <f t="shared" si="8"/>
        <v>0.001624966868</v>
      </c>
    </row>
    <row r="50" ht="13.5" customHeight="1">
      <c r="A50" s="132">
        <v>16.0</v>
      </c>
      <c r="B50" s="131">
        <v>6.2488</v>
      </c>
      <c r="C50" s="131">
        <f t="shared" si="5"/>
        <v>11.7165</v>
      </c>
      <c r="D50" s="131">
        <f t="shared" si="6"/>
        <v>15.98060247</v>
      </c>
      <c r="E50" s="131">
        <f t="shared" si="7"/>
        <v>-0.01939753263</v>
      </c>
      <c r="F50" s="133">
        <f t="shared" si="8"/>
        <v>0.000376264272</v>
      </c>
    </row>
    <row r="51" ht="13.5" customHeight="1">
      <c r="A51" s="132">
        <v>17.0</v>
      </c>
      <c r="B51" s="131">
        <v>6.4902</v>
      </c>
      <c r="C51" s="131">
        <f t="shared" si="5"/>
        <v>12.169125</v>
      </c>
      <c r="D51" s="131">
        <f t="shared" si="6"/>
        <v>16.88018554</v>
      </c>
      <c r="E51" s="131">
        <f t="shared" si="7"/>
        <v>-0.1198144559</v>
      </c>
      <c r="F51" s="133">
        <f t="shared" si="8"/>
        <v>0.01435550385</v>
      </c>
    </row>
    <row r="52" ht="13.5" customHeight="1">
      <c r="F52" s="133">
        <f>SUM(F34:F51)</f>
        <v>0.09476133725</v>
      </c>
    </row>
    <row r="53" ht="14.25" customHeight="1"/>
    <row r="54" ht="14.25" customHeight="1">
      <c r="A54" s="5" t="s">
        <v>135</v>
      </c>
      <c r="I54" s="5" t="s">
        <v>141</v>
      </c>
      <c r="K54" s="135">
        <v>1011.0</v>
      </c>
    </row>
    <row r="55" ht="13.5" customHeight="1">
      <c r="A55" s="5" t="s">
        <v>136</v>
      </c>
      <c r="B55" s="134">
        <v>-0.1124296533214025</v>
      </c>
      <c r="I55" s="5" t="s">
        <v>142</v>
      </c>
      <c r="K55" s="131">
        <f>$B$27+$B$28*K54/100+$B$29*K54^2*0.0001+$B$30*K54^3*0.000001</f>
        <v>8.092743466</v>
      </c>
    </row>
    <row r="56" ht="14.25" customHeight="1">
      <c r="A56" s="5" t="s">
        <v>137</v>
      </c>
      <c r="B56" s="134">
        <v>1.4323059071890263</v>
      </c>
    </row>
    <row r="57" ht="14.25" customHeight="1">
      <c r="A57" s="5" t="s">
        <v>138</v>
      </c>
      <c r="B57" s="134">
        <v>-0.05841992021885257</v>
      </c>
      <c r="I57" s="5" t="s">
        <v>143</v>
      </c>
      <c r="K57" s="136">
        <v>8.1</v>
      </c>
    </row>
    <row r="58" ht="13.5" customHeight="1">
      <c r="A58" s="5" t="s">
        <v>139</v>
      </c>
      <c r="B58" s="134">
        <v>0.004558008570384238</v>
      </c>
      <c r="I58" s="5" t="s">
        <v>144</v>
      </c>
      <c r="K58" s="81">
        <f>$B$55*100+$B$56*K57*100+$B$57*K57^2*100+$B$58*K57^3*100</f>
        <v>1007.862986</v>
      </c>
    </row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38"/>
    <col customWidth="1" min="3" max="3" width="11.25"/>
    <col customWidth="1" min="4" max="26" width="8.0"/>
  </cols>
  <sheetData>
    <row r="1" ht="13.5" customHeight="1">
      <c r="A1" s="129" t="s">
        <v>84</v>
      </c>
      <c r="B1" s="130" t="s">
        <v>85</v>
      </c>
    </row>
    <row r="2" ht="13.5" customHeight="1">
      <c r="A2" s="5" t="s">
        <v>148</v>
      </c>
    </row>
    <row r="3" ht="13.5" customHeight="1">
      <c r="A3" s="5" t="s">
        <v>130</v>
      </c>
    </row>
    <row r="4" ht="13.5" customHeight="1"/>
    <row r="5" ht="13.5" customHeight="1">
      <c r="A5" s="5" t="s">
        <v>131</v>
      </c>
      <c r="B5" s="5" t="s">
        <v>9</v>
      </c>
      <c r="C5" s="5" t="s">
        <v>9</v>
      </c>
      <c r="D5" s="131" t="s">
        <v>132</v>
      </c>
      <c r="E5" s="5" t="s">
        <v>133</v>
      </c>
      <c r="F5" s="5" t="s">
        <v>134</v>
      </c>
    </row>
    <row r="6" ht="13.5" customHeight="1">
      <c r="A6" s="132">
        <v>0.0</v>
      </c>
      <c r="B6" s="131">
        <v>0.0062</v>
      </c>
      <c r="C6" s="131">
        <f t="shared" ref="C6:C16" si="1">B6</f>
        <v>0.0062</v>
      </c>
      <c r="D6" s="131">
        <f t="shared" ref="D6:D16" si="2">$B$20+$B$21*$A6+$B$22*$A6^2+$B$23*$A6^3</f>
        <v>-0.1574915993</v>
      </c>
      <c r="E6" s="131">
        <f t="shared" ref="E6:E16" si="3">$D6-$C6</f>
        <v>-0.1636915993</v>
      </c>
      <c r="F6" s="133">
        <f t="shared" ref="F6:F16" si="4">$E6^2</f>
        <v>0.02679493969</v>
      </c>
    </row>
    <row r="7" ht="13.5" customHeight="1">
      <c r="A7" s="132">
        <v>1.0</v>
      </c>
      <c r="B7" s="131">
        <v>3.3921</v>
      </c>
      <c r="C7" s="131">
        <f t="shared" si="1"/>
        <v>3.3921</v>
      </c>
      <c r="D7" s="131">
        <f t="shared" si="2"/>
        <v>3.486519623</v>
      </c>
      <c r="E7" s="131">
        <f t="shared" si="3"/>
        <v>0.09441962285</v>
      </c>
      <c r="F7" s="133">
        <f t="shared" si="4"/>
        <v>0.008915065178</v>
      </c>
    </row>
    <row r="8" ht="13.5" customHeight="1">
      <c r="A8" s="132">
        <v>2.0</v>
      </c>
      <c r="B8" s="131">
        <v>6.7304</v>
      </c>
      <c r="C8" s="131">
        <f t="shared" si="1"/>
        <v>6.7304</v>
      </c>
      <c r="D8" s="131">
        <f t="shared" si="2"/>
        <v>6.951271097</v>
      </c>
      <c r="E8" s="131">
        <f t="shared" si="3"/>
        <v>0.2208710968</v>
      </c>
      <c r="F8" s="133">
        <f t="shared" si="4"/>
        <v>0.04878404141</v>
      </c>
    </row>
    <row r="9" ht="13.5" customHeight="1">
      <c r="A9" s="132">
        <v>3.0</v>
      </c>
      <c r="B9" s="131">
        <v>10.0631</v>
      </c>
      <c r="C9" s="131">
        <f t="shared" si="1"/>
        <v>10.0631</v>
      </c>
      <c r="D9" s="131">
        <f t="shared" si="2"/>
        <v>10.18680595</v>
      </c>
      <c r="E9" s="131">
        <f t="shared" si="3"/>
        <v>0.1237059479</v>
      </c>
      <c r="F9" s="133">
        <f t="shared" si="4"/>
        <v>0.01530316154</v>
      </c>
    </row>
    <row r="10" ht="13.5" customHeight="1">
      <c r="A10" s="132">
        <v>4.0</v>
      </c>
      <c r="B10" s="131">
        <v>13.2266</v>
      </c>
      <c r="C10" s="131">
        <f t="shared" si="1"/>
        <v>13.2266</v>
      </c>
      <c r="D10" s="131">
        <f t="shared" si="2"/>
        <v>13.1431673</v>
      </c>
      <c r="E10" s="131">
        <f t="shared" si="3"/>
        <v>-0.08343269881</v>
      </c>
      <c r="F10" s="133">
        <f t="shared" si="4"/>
        <v>0.006961015231</v>
      </c>
    </row>
    <row r="11" ht="13.5" customHeight="1">
      <c r="A11" s="132">
        <v>5.0</v>
      </c>
      <c r="B11" s="131">
        <v>16.0106</v>
      </c>
      <c r="C11" s="131">
        <f t="shared" si="1"/>
        <v>16.0106</v>
      </c>
      <c r="D11" s="131">
        <f t="shared" si="2"/>
        <v>15.77039828</v>
      </c>
      <c r="E11" s="131">
        <f t="shared" si="3"/>
        <v>-0.2402017179</v>
      </c>
      <c r="F11" s="133">
        <f t="shared" si="4"/>
        <v>0.0576968653</v>
      </c>
    </row>
    <row r="12" ht="13.5" customHeight="1">
      <c r="A12" s="132">
        <v>6.0</v>
      </c>
      <c r="B12" s="131">
        <v>18.2678</v>
      </c>
      <c r="C12" s="131">
        <f t="shared" si="1"/>
        <v>18.2678</v>
      </c>
      <c r="D12" s="131">
        <f t="shared" si="2"/>
        <v>18.01854202</v>
      </c>
      <c r="E12" s="131">
        <f t="shared" si="3"/>
        <v>-0.2492579843</v>
      </c>
      <c r="F12" s="133">
        <f t="shared" si="4"/>
        <v>0.06212954273</v>
      </c>
    </row>
    <row r="13" ht="13.5" customHeight="1">
      <c r="A13" s="132">
        <v>7.0</v>
      </c>
      <c r="B13" s="131">
        <v>19.8351</v>
      </c>
      <c r="C13" s="131">
        <f t="shared" si="1"/>
        <v>19.8351</v>
      </c>
      <c r="D13" s="131">
        <f t="shared" si="2"/>
        <v>19.83764163</v>
      </c>
      <c r="E13" s="131">
        <f t="shared" si="3"/>
        <v>0.002541627391</v>
      </c>
      <c r="F13" s="133">
        <f t="shared" si="4"/>
        <v>0.000006459869793</v>
      </c>
    </row>
    <row r="14" ht="13.5" customHeight="1">
      <c r="A14" s="132">
        <v>8.0</v>
      </c>
      <c r="B14" s="131">
        <v>20.8852</v>
      </c>
      <c r="C14" s="131">
        <f t="shared" si="1"/>
        <v>20.8852</v>
      </c>
      <c r="D14" s="131">
        <f t="shared" si="2"/>
        <v>21.17774024</v>
      </c>
      <c r="E14" s="131">
        <f t="shared" si="3"/>
        <v>0.2925402423</v>
      </c>
      <c r="F14" s="133">
        <f t="shared" si="4"/>
        <v>0.08557979338</v>
      </c>
    </row>
    <row r="15" ht="13.5" customHeight="1">
      <c r="A15" s="132">
        <v>9.0</v>
      </c>
      <c r="B15" s="131">
        <v>21.7361</v>
      </c>
      <c r="C15" s="131">
        <f t="shared" si="1"/>
        <v>21.7361</v>
      </c>
      <c r="D15" s="131">
        <f t="shared" si="2"/>
        <v>21.98888099</v>
      </c>
      <c r="E15" s="131">
        <f t="shared" si="3"/>
        <v>0.2527809858</v>
      </c>
      <c r="F15" s="133">
        <f t="shared" si="4"/>
        <v>0.06389822677</v>
      </c>
    </row>
    <row r="16" ht="13.5" customHeight="1">
      <c r="A16" s="132">
        <v>10.0</v>
      </c>
      <c r="B16" s="131">
        <v>22.4721</v>
      </c>
      <c r="C16" s="131">
        <f t="shared" si="1"/>
        <v>22.4721</v>
      </c>
      <c r="D16" s="131">
        <f t="shared" si="2"/>
        <v>22.22110698</v>
      </c>
      <c r="E16" s="131">
        <f t="shared" si="3"/>
        <v>-0.250993017</v>
      </c>
      <c r="F16" s="133">
        <f t="shared" si="4"/>
        <v>0.0629974946</v>
      </c>
    </row>
    <row r="17" ht="13.5" customHeight="1">
      <c r="A17" s="132"/>
      <c r="F17" s="133">
        <f>SUM(F6:F16)</f>
        <v>0.4390666057</v>
      </c>
    </row>
    <row r="18" ht="13.5" customHeight="1">
      <c r="A18" s="132"/>
    </row>
    <row r="19" ht="13.5" customHeight="1">
      <c r="A19" s="5" t="s">
        <v>135</v>
      </c>
    </row>
    <row r="20" ht="13.5" customHeight="1">
      <c r="A20" s="5" t="s">
        <v>136</v>
      </c>
      <c r="B20" s="134">
        <v>-0.15749159931591084</v>
      </c>
    </row>
    <row r="21" ht="13.5" customHeight="1">
      <c r="A21" s="5" t="s">
        <v>137</v>
      </c>
      <c r="B21" s="134">
        <v>3.7169888046674187</v>
      </c>
    </row>
    <row r="22" ht="13.5" customHeight="1">
      <c r="A22" s="5" t="s">
        <v>138</v>
      </c>
      <c r="B22" s="134">
        <v>-0.06465143671265045</v>
      </c>
    </row>
    <row r="23" ht="13.5" customHeight="1">
      <c r="A23" s="5" t="s">
        <v>139</v>
      </c>
      <c r="B23" s="134">
        <v>-0.00832614579313526</v>
      </c>
    </row>
    <row r="24" ht="13.5" customHeight="1"/>
    <row r="25" ht="13.5" customHeight="1"/>
    <row r="26" ht="13.5" customHeight="1">
      <c r="A26" s="5" t="s">
        <v>131</v>
      </c>
      <c r="B26" s="5" t="s">
        <v>9</v>
      </c>
      <c r="C26" s="5" t="s">
        <v>140</v>
      </c>
      <c r="D26" s="131" t="s">
        <v>132</v>
      </c>
      <c r="E26" s="5" t="s">
        <v>133</v>
      </c>
      <c r="F26" s="5" t="s">
        <v>134</v>
      </c>
    </row>
    <row r="27" ht="13.5" customHeight="1">
      <c r="A27" s="132">
        <v>0.0</v>
      </c>
      <c r="B27" s="131">
        <v>0.0062</v>
      </c>
      <c r="C27" s="131">
        <f t="shared" ref="C27:C37" si="5">B27</f>
        <v>0.0062</v>
      </c>
      <c r="D27" s="131">
        <f t="shared" ref="D27:D37" si="6">$B$41+$B$42*$C27+$B$43*$C27^2+$B$44*$C27^3</f>
        <v>-0.1304834592</v>
      </c>
      <c r="E27" s="131">
        <f t="shared" ref="E27:E37" si="7">$D27-$A27</f>
        <v>-0.1304834592</v>
      </c>
      <c r="F27" s="133">
        <f t="shared" ref="F27:F37" si="8">$E27^2</f>
        <v>0.01702593313</v>
      </c>
    </row>
    <row r="28" ht="13.5" customHeight="1">
      <c r="A28" s="132">
        <v>1.0</v>
      </c>
      <c r="B28" s="131">
        <v>3.3921</v>
      </c>
      <c r="C28" s="131">
        <f t="shared" si="5"/>
        <v>3.3921</v>
      </c>
      <c r="D28" s="131">
        <f t="shared" si="6"/>
        <v>1.209971546</v>
      </c>
      <c r="E28" s="131">
        <f t="shared" si="7"/>
        <v>0.2099715455</v>
      </c>
      <c r="F28" s="133">
        <f t="shared" si="8"/>
        <v>0.04408804992</v>
      </c>
    </row>
    <row r="29" ht="13.5" customHeight="1">
      <c r="A29" s="132">
        <v>2.0</v>
      </c>
      <c r="B29" s="131">
        <v>6.7304</v>
      </c>
      <c r="C29" s="131">
        <f t="shared" si="5"/>
        <v>6.7304</v>
      </c>
      <c r="D29" s="131">
        <f t="shared" si="6"/>
        <v>2.10308254</v>
      </c>
      <c r="E29" s="131">
        <f t="shared" si="7"/>
        <v>0.1030825398</v>
      </c>
      <c r="F29" s="133">
        <f t="shared" si="8"/>
        <v>0.01062601001</v>
      </c>
    </row>
    <row r="30" ht="13.5" customHeight="1">
      <c r="A30" s="132">
        <v>3.0</v>
      </c>
      <c r="B30" s="131">
        <v>10.0631</v>
      </c>
      <c r="C30" s="131">
        <f t="shared" si="5"/>
        <v>10.0631</v>
      </c>
      <c r="D30" s="131">
        <f t="shared" si="6"/>
        <v>2.873074919</v>
      </c>
      <c r="E30" s="131">
        <f t="shared" si="7"/>
        <v>-0.1269250813</v>
      </c>
      <c r="F30" s="133">
        <f t="shared" si="8"/>
        <v>0.01610997626</v>
      </c>
    </row>
    <row r="31" ht="13.5" customHeight="1">
      <c r="A31" s="132">
        <v>4.0</v>
      </c>
      <c r="B31" s="131">
        <v>13.2266</v>
      </c>
      <c r="C31" s="131">
        <f t="shared" si="5"/>
        <v>13.2266</v>
      </c>
      <c r="D31" s="131">
        <f t="shared" si="6"/>
        <v>3.765238246</v>
      </c>
      <c r="E31" s="131">
        <f t="shared" si="7"/>
        <v>-0.2347617541</v>
      </c>
      <c r="F31" s="133">
        <f t="shared" si="8"/>
        <v>0.05511308119</v>
      </c>
    </row>
    <row r="32" ht="13.5" customHeight="1">
      <c r="A32" s="132">
        <v>5.0</v>
      </c>
      <c r="B32" s="131">
        <v>16.0106</v>
      </c>
      <c r="C32" s="131">
        <f t="shared" si="5"/>
        <v>16.0106</v>
      </c>
      <c r="D32" s="131">
        <f t="shared" si="6"/>
        <v>4.88838674</v>
      </c>
      <c r="E32" s="131">
        <f t="shared" si="7"/>
        <v>-0.1116132604</v>
      </c>
      <c r="F32" s="133">
        <f t="shared" si="8"/>
        <v>0.0124575199</v>
      </c>
    </row>
    <row r="33" ht="13.5" customHeight="1">
      <c r="A33" s="132">
        <v>6.0</v>
      </c>
      <c r="B33" s="131">
        <v>18.2678</v>
      </c>
      <c r="C33" s="131">
        <f t="shared" si="5"/>
        <v>18.2678</v>
      </c>
      <c r="D33" s="131">
        <f t="shared" si="6"/>
        <v>6.157724734</v>
      </c>
      <c r="E33" s="131">
        <f t="shared" si="7"/>
        <v>0.1577247338</v>
      </c>
      <c r="F33" s="133">
        <f t="shared" si="8"/>
        <v>0.02487709165</v>
      </c>
    </row>
    <row r="34" ht="13.5" customHeight="1">
      <c r="A34" s="132">
        <v>7.0</v>
      </c>
      <c r="B34" s="131">
        <v>19.8351</v>
      </c>
      <c r="C34" s="131">
        <f t="shared" si="5"/>
        <v>19.8351</v>
      </c>
      <c r="D34" s="131">
        <f t="shared" si="6"/>
        <v>7.281700081</v>
      </c>
      <c r="E34" s="131">
        <f t="shared" si="7"/>
        <v>0.281700081</v>
      </c>
      <c r="F34" s="133">
        <f t="shared" si="8"/>
        <v>0.07935493564</v>
      </c>
    </row>
    <row r="35" ht="13.5" customHeight="1">
      <c r="A35" s="132">
        <v>8.0</v>
      </c>
      <c r="B35" s="131">
        <v>20.8852</v>
      </c>
      <c r="C35" s="131">
        <f t="shared" si="5"/>
        <v>20.8852</v>
      </c>
      <c r="D35" s="131">
        <f t="shared" si="6"/>
        <v>8.164155426</v>
      </c>
      <c r="E35" s="131">
        <f t="shared" si="7"/>
        <v>0.1641554256</v>
      </c>
      <c r="F35" s="133">
        <f t="shared" si="8"/>
        <v>0.02694700377</v>
      </c>
    </row>
    <row r="36" ht="13.5" customHeight="1">
      <c r="A36" s="132">
        <v>9.0</v>
      </c>
      <c r="B36" s="131">
        <v>21.7361</v>
      </c>
      <c r="C36" s="131">
        <f t="shared" si="5"/>
        <v>21.7361</v>
      </c>
      <c r="D36" s="131">
        <f t="shared" si="6"/>
        <v>8.96295508</v>
      </c>
      <c r="E36" s="131">
        <f t="shared" si="7"/>
        <v>-0.03704492</v>
      </c>
      <c r="F36" s="133">
        <f t="shared" si="8"/>
        <v>0.001372326098</v>
      </c>
    </row>
    <row r="37" ht="13.5" customHeight="1">
      <c r="A37" s="132">
        <v>10.0</v>
      </c>
      <c r="B37" s="131">
        <v>22.4721</v>
      </c>
      <c r="C37" s="131">
        <f t="shared" si="5"/>
        <v>22.4721</v>
      </c>
      <c r="D37" s="131">
        <f t="shared" si="6"/>
        <v>9.71852709</v>
      </c>
      <c r="E37" s="131">
        <f t="shared" si="7"/>
        <v>-0.28147291</v>
      </c>
      <c r="F37" s="133">
        <f t="shared" si="8"/>
        <v>0.07922699905</v>
      </c>
    </row>
    <row r="38" ht="13.5" customHeight="1">
      <c r="D38" s="131"/>
      <c r="F38" s="131">
        <f>SUM(F27:F37)</f>
        <v>0.3671989266</v>
      </c>
    </row>
    <row r="39" ht="13.5" customHeight="1">
      <c r="D39" s="131"/>
    </row>
    <row r="40" ht="13.5" customHeight="1">
      <c r="A40" s="5" t="s">
        <v>135</v>
      </c>
      <c r="D40" s="131"/>
    </row>
    <row r="41" ht="13.5" customHeight="1">
      <c r="A41" s="5" t="s">
        <v>136</v>
      </c>
      <c r="B41" s="134">
        <v>-0.13353113714145667</v>
      </c>
      <c r="D41" s="131"/>
    </row>
    <row r="42" ht="14.25" customHeight="1">
      <c r="A42" s="5" t="s">
        <v>137</v>
      </c>
      <c r="B42" s="134">
        <v>0.4917642907998415</v>
      </c>
      <c r="D42" s="131"/>
    </row>
    <row r="43" ht="14.25" customHeight="1">
      <c r="A43" s="5" t="s">
        <v>138</v>
      </c>
      <c r="B43" s="134">
        <v>-0.032804926303285194</v>
      </c>
      <c r="D43" s="131"/>
      <c r="H43" s="5" t="s">
        <v>141</v>
      </c>
      <c r="J43" s="135">
        <v>376.0</v>
      </c>
    </row>
    <row r="44" ht="13.5" customHeight="1">
      <c r="A44" s="5" t="s">
        <v>139</v>
      </c>
      <c r="B44" s="134">
        <v>0.001354159552249777</v>
      </c>
      <c r="D44" s="131"/>
      <c r="H44" s="5" t="s">
        <v>142</v>
      </c>
      <c r="J44" s="131">
        <f>$B$20+$B$21*J43/100+$B$22*J43^2*0.0001+$B$23*J43^3*0.000001</f>
        <v>12.46177409</v>
      </c>
    </row>
    <row r="45" ht="14.25" customHeight="1">
      <c r="D45" s="131"/>
    </row>
    <row r="46" ht="14.25" customHeight="1">
      <c r="D46" s="131"/>
      <c r="H46" s="5" t="s">
        <v>143</v>
      </c>
      <c r="J46" s="136">
        <v>12.69626</v>
      </c>
    </row>
    <row r="47" ht="13.5" customHeight="1">
      <c r="D47" s="131"/>
      <c r="H47" s="5" t="s">
        <v>144</v>
      </c>
      <c r="J47" s="81">
        <f>$B$41*100+$B$42*J46*100+$B$43*J46^2*100+$B$44*J46^3*100</f>
        <v>359.3433013</v>
      </c>
    </row>
    <row r="48" ht="13.5" customHeight="1">
      <c r="D48" s="131"/>
    </row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0.63"/>
    <col customWidth="1" min="3" max="3" width="11.25"/>
    <col customWidth="1" min="4" max="5" width="8.0"/>
    <col customWidth="1" min="6" max="6" width="9.5"/>
    <col customWidth="1" min="7" max="26" width="8.0"/>
  </cols>
  <sheetData>
    <row r="1" ht="13.5" customHeight="1">
      <c r="A1" s="129" t="s">
        <v>86</v>
      </c>
      <c r="B1" s="130" t="s">
        <v>87</v>
      </c>
    </row>
    <row r="2" ht="13.5" customHeight="1">
      <c r="A2" s="5" t="s">
        <v>145</v>
      </c>
    </row>
    <row r="3" ht="13.5" customHeight="1">
      <c r="A3" s="5" t="s">
        <v>149</v>
      </c>
    </row>
    <row r="4" ht="13.5" customHeight="1"/>
    <row r="5" ht="13.5" customHeight="1">
      <c r="A5" s="5" t="s">
        <v>131</v>
      </c>
      <c r="B5" s="5" t="s">
        <v>9</v>
      </c>
      <c r="C5" s="5" t="s">
        <v>140</v>
      </c>
      <c r="D5" s="131" t="s">
        <v>132</v>
      </c>
      <c r="E5" s="5" t="s">
        <v>133</v>
      </c>
      <c r="F5" s="133" t="s">
        <v>134</v>
      </c>
    </row>
    <row r="6" ht="13.5" customHeight="1">
      <c r="A6" s="132">
        <v>0.0</v>
      </c>
      <c r="B6" s="131">
        <v>0.0142</v>
      </c>
      <c r="C6" s="131">
        <f t="shared" ref="C6:C26" si="1">B6*2</f>
        <v>0.0284</v>
      </c>
      <c r="D6" s="131">
        <f t="shared" ref="D6:D26" si="2">$B$30+$B$31*$A6+$B$32*$A6^2+$B$33*$A6^3</f>
        <v>-0.1034123801</v>
      </c>
      <c r="E6" s="131">
        <f t="shared" ref="E6:E26" si="3">$D6-$C6</f>
        <v>-0.1318123801</v>
      </c>
      <c r="F6" s="133">
        <f t="shared" ref="F6:F26" si="4">$E6^2</f>
        <v>0.01737450356</v>
      </c>
    </row>
    <row r="7" ht="13.5" customHeight="1">
      <c r="A7" s="132">
        <v>1.0</v>
      </c>
      <c r="B7" s="131">
        <v>0.3065</v>
      </c>
      <c r="C7" s="131">
        <f t="shared" si="1"/>
        <v>0.613</v>
      </c>
      <c r="D7" s="131">
        <f t="shared" si="2"/>
        <v>0.5790725414</v>
      </c>
      <c r="E7" s="131">
        <f t="shared" si="3"/>
        <v>-0.03392745859</v>
      </c>
      <c r="F7" s="133">
        <f t="shared" si="4"/>
        <v>0.001151072446</v>
      </c>
    </row>
    <row r="8" ht="13.5" customHeight="1">
      <c r="A8" s="132">
        <v>2.0</v>
      </c>
      <c r="B8" s="131">
        <v>0.597</v>
      </c>
      <c r="C8" s="131">
        <f t="shared" si="1"/>
        <v>1.194</v>
      </c>
      <c r="D8" s="131">
        <f t="shared" si="2"/>
        <v>1.232906141</v>
      </c>
      <c r="E8" s="131">
        <f t="shared" si="3"/>
        <v>0.03890614131</v>
      </c>
      <c r="F8" s="133">
        <f t="shared" si="4"/>
        <v>0.001513687831</v>
      </c>
    </row>
    <row r="9" ht="13.5" customHeight="1">
      <c r="A9" s="132">
        <v>3.0</v>
      </c>
      <c r="B9" s="131">
        <v>0.8837</v>
      </c>
      <c r="C9" s="131">
        <f t="shared" si="1"/>
        <v>1.7674</v>
      </c>
      <c r="D9" s="131">
        <f t="shared" si="2"/>
        <v>1.857310735</v>
      </c>
      <c r="E9" s="131">
        <f t="shared" si="3"/>
        <v>0.08991073489</v>
      </c>
      <c r="F9" s="133">
        <f t="shared" si="4"/>
        <v>0.008083940249</v>
      </c>
    </row>
    <row r="10" ht="13.5" customHeight="1">
      <c r="A10" s="132">
        <v>4.0</v>
      </c>
      <c r="B10" s="131">
        <v>1.1176</v>
      </c>
      <c r="C10" s="131">
        <f t="shared" si="1"/>
        <v>2.2352</v>
      </c>
      <c r="D10" s="131">
        <f t="shared" si="2"/>
        <v>2.451508638</v>
      </c>
      <c r="E10" s="131">
        <f t="shared" si="3"/>
        <v>0.2163086375</v>
      </c>
      <c r="F10" s="133">
        <f t="shared" si="4"/>
        <v>0.04678942666</v>
      </c>
    </row>
    <row r="11" ht="13.5" customHeight="1">
      <c r="A11" s="132">
        <v>5.0</v>
      </c>
      <c r="B11" s="131">
        <v>1.4682</v>
      </c>
      <c r="C11" s="131">
        <f t="shared" si="1"/>
        <v>2.9364</v>
      </c>
      <c r="D11" s="131">
        <f t="shared" si="2"/>
        <v>3.014722164</v>
      </c>
      <c r="E11" s="131">
        <f t="shared" si="3"/>
        <v>0.07832216449</v>
      </c>
      <c r="F11" s="133">
        <f t="shared" si="4"/>
        <v>0.006134361451</v>
      </c>
    </row>
    <row r="12" ht="13.5" customHeight="1">
      <c r="A12" s="132">
        <v>6.0</v>
      </c>
      <c r="B12" s="131">
        <v>1.7585</v>
      </c>
      <c r="C12" s="131">
        <f t="shared" si="1"/>
        <v>3.517</v>
      </c>
      <c r="D12" s="131">
        <f t="shared" si="2"/>
        <v>3.546173631</v>
      </c>
      <c r="E12" s="131">
        <f t="shared" si="3"/>
        <v>0.02917363119</v>
      </c>
      <c r="F12" s="133">
        <f t="shared" si="4"/>
        <v>0.0008511007566</v>
      </c>
    </row>
    <row r="13" ht="13.5" customHeight="1">
      <c r="A13" s="132">
        <v>7.0</v>
      </c>
      <c r="B13" s="131">
        <v>2.0416</v>
      </c>
      <c r="C13" s="131">
        <f t="shared" si="1"/>
        <v>4.0832</v>
      </c>
      <c r="D13" s="131">
        <f t="shared" si="2"/>
        <v>4.045085353</v>
      </c>
      <c r="E13" s="131">
        <f t="shared" si="3"/>
        <v>-0.03811464708</v>
      </c>
      <c r="F13" s="133">
        <f t="shared" si="4"/>
        <v>0.001452726322</v>
      </c>
    </row>
    <row r="14" ht="13.5" customHeight="1">
      <c r="A14" s="132">
        <v>8.0</v>
      </c>
      <c r="B14" s="131">
        <v>2.3176</v>
      </c>
      <c r="C14" s="131">
        <f t="shared" si="1"/>
        <v>4.6352</v>
      </c>
      <c r="D14" s="131">
        <f t="shared" si="2"/>
        <v>4.510679645</v>
      </c>
      <c r="E14" s="131">
        <f t="shared" si="3"/>
        <v>-0.1245203549</v>
      </c>
      <c r="F14" s="133">
        <f t="shared" si="4"/>
        <v>0.0155053188</v>
      </c>
    </row>
    <row r="15" ht="13.5" customHeight="1">
      <c r="A15" s="132">
        <v>9.0</v>
      </c>
      <c r="B15" s="131">
        <v>2.5432</v>
      </c>
      <c r="C15" s="131">
        <f t="shared" si="1"/>
        <v>5.0864</v>
      </c>
      <c r="D15" s="131">
        <f t="shared" si="2"/>
        <v>4.942178823</v>
      </c>
      <c r="E15" s="131">
        <f t="shared" si="3"/>
        <v>-0.1442211771</v>
      </c>
      <c r="F15" s="133">
        <f t="shared" si="4"/>
        <v>0.02079974792</v>
      </c>
    </row>
    <row r="16" ht="13.5" customHeight="1">
      <c r="A16" s="132">
        <v>10.0</v>
      </c>
      <c r="B16" s="131">
        <v>2.7255</v>
      </c>
      <c r="C16" s="131">
        <f t="shared" si="1"/>
        <v>5.451</v>
      </c>
      <c r="D16" s="131">
        <f t="shared" si="2"/>
        <v>5.338805202</v>
      </c>
      <c r="E16" s="131">
        <f t="shared" si="3"/>
        <v>-0.1121947982</v>
      </c>
      <c r="F16" s="133">
        <f t="shared" si="4"/>
        <v>0.01258767274</v>
      </c>
    </row>
    <row r="17" ht="13.5" customHeight="1">
      <c r="A17" s="132">
        <v>11.0</v>
      </c>
      <c r="B17" s="131">
        <v>2.8854</v>
      </c>
      <c r="C17" s="131">
        <f t="shared" si="1"/>
        <v>5.7708</v>
      </c>
      <c r="D17" s="131">
        <f t="shared" si="2"/>
        <v>5.699781097</v>
      </c>
      <c r="E17" s="131">
        <f t="shared" si="3"/>
        <v>-0.07101890285</v>
      </c>
      <c r="F17" s="133">
        <f t="shared" si="4"/>
        <v>0.005043684563</v>
      </c>
    </row>
    <row r="18" ht="13.5" customHeight="1">
      <c r="A18" s="132">
        <v>12.0</v>
      </c>
      <c r="B18" s="131">
        <v>3.0259</v>
      </c>
      <c r="C18" s="131">
        <f t="shared" si="1"/>
        <v>6.0518</v>
      </c>
      <c r="D18" s="131">
        <f t="shared" si="2"/>
        <v>6.024328824</v>
      </c>
      <c r="E18" s="131">
        <f t="shared" si="3"/>
        <v>-0.02747117579</v>
      </c>
      <c r="F18" s="133">
        <f t="shared" si="4"/>
        <v>0.000754665499</v>
      </c>
    </row>
    <row r="19" ht="13.5" customHeight="1">
      <c r="A19" s="132">
        <v>13.0</v>
      </c>
      <c r="B19" s="131">
        <v>3.1499</v>
      </c>
      <c r="C19" s="131">
        <f t="shared" si="1"/>
        <v>6.2998</v>
      </c>
      <c r="D19" s="131">
        <f t="shared" si="2"/>
        <v>6.311670698</v>
      </c>
      <c r="E19" s="131">
        <f t="shared" si="3"/>
        <v>0.01187069837</v>
      </c>
      <c r="F19" s="133">
        <f t="shared" si="4"/>
        <v>0.0001409134798</v>
      </c>
    </row>
    <row r="20" ht="13.5" customHeight="1">
      <c r="A20" s="132">
        <v>14.0</v>
      </c>
      <c r="B20" s="131">
        <v>3.2574</v>
      </c>
      <c r="C20" s="131">
        <f t="shared" si="1"/>
        <v>6.5148</v>
      </c>
      <c r="D20" s="131">
        <f t="shared" si="2"/>
        <v>6.561029035</v>
      </c>
      <c r="E20" s="131">
        <f t="shared" si="3"/>
        <v>0.04622903495</v>
      </c>
      <c r="F20" s="133">
        <f t="shared" si="4"/>
        <v>0.002137123672</v>
      </c>
    </row>
    <row r="21" ht="13.5" customHeight="1">
      <c r="A21" s="132">
        <v>15.0</v>
      </c>
      <c r="B21" s="131">
        <v>3.3351</v>
      </c>
      <c r="C21" s="131">
        <f t="shared" si="1"/>
        <v>6.6702</v>
      </c>
      <c r="D21" s="131">
        <f t="shared" si="2"/>
        <v>6.771626149</v>
      </c>
      <c r="E21" s="131">
        <f t="shared" si="3"/>
        <v>0.1014261493</v>
      </c>
      <c r="F21" s="133">
        <f t="shared" si="4"/>
        <v>0.01028726376</v>
      </c>
    </row>
    <row r="22" ht="13.5" customHeight="1">
      <c r="A22" s="132">
        <v>16.0</v>
      </c>
      <c r="B22" s="131">
        <v>3.4301</v>
      </c>
      <c r="C22" s="131">
        <f t="shared" si="1"/>
        <v>6.8602</v>
      </c>
      <c r="D22" s="131">
        <f t="shared" si="2"/>
        <v>6.942684357</v>
      </c>
      <c r="E22" s="131">
        <f t="shared" si="3"/>
        <v>0.08248435674</v>
      </c>
      <c r="F22" s="133">
        <f t="shared" si="4"/>
        <v>0.006803669107</v>
      </c>
    </row>
    <row r="23" ht="13.5" customHeight="1">
      <c r="A23" s="132">
        <v>17.0</v>
      </c>
      <c r="B23" s="131">
        <v>3.4979</v>
      </c>
      <c r="C23" s="131">
        <f t="shared" si="1"/>
        <v>6.9958</v>
      </c>
      <c r="D23" s="131">
        <f t="shared" si="2"/>
        <v>7.073425973</v>
      </c>
      <c r="E23" s="131">
        <f t="shared" si="3"/>
        <v>0.07762597263</v>
      </c>
      <c r="F23" s="133">
        <f t="shared" si="4"/>
        <v>0.006025791627</v>
      </c>
    </row>
    <row r="24" ht="13.5" customHeight="1">
      <c r="A24" s="132">
        <v>18.0</v>
      </c>
      <c r="B24" s="131">
        <v>3.5583</v>
      </c>
      <c r="C24" s="131">
        <f t="shared" si="1"/>
        <v>7.1166</v>
      </c>
      <c r="D24" s="131">
        <f t="shared" si="2"/>
        <v>7.163073312</v>
      </c>
      <c r="E24" s="131">
        <f t="shared" si="3"/>
        <v>0.0464733123</v>
      </c>
      <c r="F24" s="133">
        <f t="shared" si="4"/>
        <v>0.002159768756</v>
      </c>
    </row>
    <row r="25" ht="13.5" customHeight="1">
      <c r="A25" s="132">
        <v>19.0</v>
      </c>
      <c r="B25" s="131">
        <v>3.6148</v>
      </c>
      <c r="C25" s="131">
        <f t="shared" si="1"/>
        <v>7.2296</v>
      </c>
      <c r="D25" s="131">
        <f t="shared" si="2"/>
        <v>7.210848691</v>
      </c>
      <c r="E25" s="131">
        <f t="shared" si="3"/>
        <v>-0.0187513089</v>
      </c>
      <c r="F25" s="133">
        <f t="shared" si="4"/>
        <v>0.0003516115855</v>
      </c>
    </row>
    <row r="26" ht="13.5" customHeight="1">
      <c r="A26" s="132">
        <v>20.0</v>
      </c>
      <c r="B26" s="131">
        <v>3.6678</v>
      </c>
      <c r="C26" s="131">
        <f t="shared" si="1"/>
        <v>7.3356</v>
      </c>
      <c r="D26" s="131">
        <f t="shared" si="2"/>
        <v>7.215974424</v>
      </c>
      <c r="E26" s="131">
        <f t="shared" si="3"/>
        <v>-0.1196255756</v>
      </c>
      <c r="F26" s="133">
        <f t="shared" si="4"/>
        <v>0.01431027835</v>
      </c>
    </row>
    <row r="27" ht="13.5" customHeight="1">
      <c r="F27" s="133">
        <f>SUM(F6:F26)</f>
        <v>0.1802583291</v>
      </c>
    </row>
    <row r="28" ht="13.5" customHeight="1"/>
    <row r="29" ht="13.5" customHeight="1">
      <c r="A29" s="5" t="s">
        <v>135</v>
      </c>
    </row>
    <row r="30" ht="13.5" customHeight="1">
      <c r="A30" s="5" t="s">
        <v>136</v>
      </c>
      <c r="B30" s="134">
        <v>-0.10341238013909336</v>
      </c>
    </row>
    <row r="31" ht="13.5" customHeight="1">
      <c r="A31" s="5" t="s">
        <v>137</v>
      </c>
      <c r="B31" s="134">
        <v>0.6965513541540415</v>
      </c>
    </row>
    <row r="32" ht="13.5" customHeight="1">
      <c r="A32" s="5" t="s">
        <v>138</v>
      </c>
      <c r="B32" s="134">
        <v>-0.01393681849515285</v>
      </c>
    </row>
    <row r="33" ht="13.5" customHeight="1">
      <c r="A33" s="5" t="s">
        <v>139</v>
      </c>
      <c r="B33" s="134">
        <v>-1.2961411006521262E-4</v>
      </c>
    </row>
    <row r="34" ht="13.5" customHeight="1"/>
    <row r="35" ht="13.5" customHeight="1"/>
    <row r="36" ht="13.5" customHeight="1">
      <c r="A36" s="5" t="s">
        <v>131</v>
      </c>
      <c r="B36" s="5" t="s">
        <v>9</v>
      </c>
      <c r="C36" s="5" t="s">
        <v>140</v>
      </c>
      <c r="D36" s="131" t="s">
        <v>132</v>
      </c>
      <c r="E36" s="5" t="s">
        <v>133</v>
      </c>
      <c r="F36" s="133" t="s">
        <v>134</v>
      </c>
    </row>
    <row r="37" ht="13.5" customHeight="1">
      <c r="A37" s="132">
        <v>0.0</v>
      </c>
      <c r="B37" s="131">
        <v>0.0142</v>
      </c>
      <c r="C37" s="131">
        <f t="shared" ref="C37:C57" si="5">B37*2</f>
        <v>0.0284</v>
      </c>
      <c r="D37" s="131">
        <f t="shared" ref="D37:D57" si="6">$B$61+$B$62*$C37+$B$63*$C37^2+$B$64*$C37^3+$B$65*$C37^4</f>
        <v>0.06164992313</v>
      </c>
      <c r="E37" s="131">
        <f t="shared" ref="E37:E57" si="7">$D37-$A37</f>
        <v>0.06164992313</v>
      </c>
      <c r="F37" s="133">
        <f t="shared" ref="F37:F57" si="8">$E37^2</f>
        <v>0.003800713022</v>
      </c>
    </row>
    <row r="38" ht="13.5" customHeight="1">
      <c r="A38" s="132">
        <v>1.0</v>
      </c>
      <c r="B38" s="131">
        <v>0.3065</v>
      </c>
      <c r="C38" s="131">
        <f t="shared" si="5"/>
        <v>0.613</v>
      </c>
      <c r="D38" s="131">
        <f t="shared" si="6"/>
        <v>0.9141894943</v>
      </c>
      <c r="E38" s="131">
        <f t="shared" si="7"/>
        <v>-0.08581050569</v>
      </c>
      <c r="F38" s="133">
        <f t="shared" si="8"/>
        <v>0.007363442887</v>
      </c>
    </row>
    <row r="39" ht="13.5" customHeight="1">
      <c r="A39" s="132">
        <v>2.0</v>
      </c>
      <c r="B39" s="131">
        <v>0.597</v>
      </c>
      <c r="C39" s="131">
        <f t="shared" si="5"/>
        <v>1.194</v>
      </c>
      <c r="D39" s="131">
        <f t="shared" si="6"/>
        <v>1.959852136</v>
      </c>
      <c r="E39" s="131">
        <f t="shared" si="7"/>
        <v>-0.04014786361</v>
      </c>
      <c r="F39" s="133">
        <f t="shared" si="8"/>
        <v>0.001611850953</v>
      </c>
    </row>
    <row r="40" ht="13.5" customHeight="1">
      <c r="A40" s="132">
        <v>3.0</v>
      </c>
      <c r="B40" s="131">
        <v>0.8837</v>
      </c>
      <c r="C40" s="131">
        <f t="shared" si="5"/>
        <v>1.7674</v>
      </c>
      <c r="D40" s="131">
        <f t="shared" si="6"/>
        <v>3.049566312</v>
      </c>
      <c r="E40" s="131">
        <f t="shared" si="7"/>
        <v>0.04956631243</v>
      </c>
      <c r="F40" s="133">
        <f t="shared" si="8"/>
        <v>0.002456819328</v>
      </c>
    </row>
    <row r="41" ht="13.5" customHeight="1">
      <c r="A41" s="132">
        <v>4.0</v>
      </c>
      <c r="B41" s="131">
        <v>1.1176</v>
      </c>
      <c r="C41" s="131">
        <f t="shared" si="5"/>
        <v>2.2352</v>
      </c>
      <c r="D41" s="131">
        <f t="shared" si="6"/>
        <v>3.919145997</v>
      </c>
      <c r="E41" s="131">
        <f t="shared" si="7"/>
        <v>-0.08085400325</v>
      </c>
      <c r="F41" s="133">
        <f t="shared" si="8"/>
        <v>0.006537369842</v>
      </c>
    </row>
    <row r="42" ht="13.5" customHeight="1">
      <c r="A42" s="132">
        <v>5.0</v>
      </c>
      <c r="B42" s="131">
        <v>1.4682</v>
      </c>
      <c r="C42" s="131">
        <f t="shared" si="5"/>
        <v>2.9364</v>
      </c>
      <c r="D42" s="131">
        <f t="shared" si="6"/>
        <v>5.137940611</v>
      </c>
      <c r="E42" s="131">
        <f t="shared" si="7"/>
        <v>0.1379406111</v>
      </c>
      <c r="F42" s="133">
        <f t="shared" si="8"/>
        <v>0.01902761219</v>
      </c>
    </row>
    <row r="43" ht="13.5" customHeight="1">
      <c r="A43" s="132">
        <v>6.0</v>
      </c>
      <c r="B43" s="131">
        <v>1.7585</v>
      </c>
      <c r="C43" s="131">
        <f t="shared" si="5"/>
        <v>3.517</v>
      </c>
      <c r="D43" s="131">
        <f t="shared" si="6"/>
        <v>6.077645024</v>
      </c>
      <c r="E43" s="131">
        <f t="shared" si="7"/>
        <v>0.0776450239</v>
      </c>
      <c r="F43" s="133">
        <f t="shared" si="8"/>
        <v>0.006028749737</v>
      </c>
    </row>
    <row r="44" ht="13.5" customHeight="1">
      <c r="A44" s="132">
        <v>7.0</v>
      </c>
      <c r="B44" s="131">
        <v>2.0416</v>
      </c>
      <c r="C44" s="131">
        <f t="shared" si="5"/>
        <v>4.0832</v>
      </c>
      <c r="D44" s="131">
        <f t="shared" si="6"/>
        <v>6.990498608</v>
      </c>
      <c r="E44" s="131">
        <f t="shared" si="7"/>
        <v>-0.009501392185</v>
      </c>
      <c r="F44" s="133">
        <f t="shared" si="8"/>
        <v>0.00009027645345</v>
      </c>
    </row>
    <row r="45" ht="13.5" customHeight="1">
      <c r="A45" s="132">
        <v>8.0</v>
      </c>
      <c r="B45" s="131">
        <v>2.3176</v>
      </c>
      <c r="C45" s="131">
        <f t="shared" si="5"/>
        <v>4.6352</v>
      </c>
      <c r="D45" s="131">
        <f t="shared" si="6"/>
        <v>7.972477463</v>
      </c>
      <c r="E45" s="131">
        <f t="shared" si="7"/>
        <v>-0.02752253748</v>
      </c>
      <c r="F45" s="133">
        <f t="shared" si="8"/>
        <v>0.0007574900693</v>
      </c>
    </row>
    <row r="46" ht="13.5" customHeight="1">
      <c r="A46" s="132">
        <v>9.0</v>
      </c>
      <c r="B46" s="131">
        <v>2.5432</v>
      </c>
      <c r="C46" s="131">
        <f t="shared" si="5"/>
        <v>5.0864</v>
      </c>
      <c r="D46" s="131">
        <f t="shared" si="6"/>
        <v>8.934867724</v>
      </c>
      <c r="E46" s="131">
        <f t="shared" si="7"/>
        <v>-0.06513227552</v>
      </c>
      <c r="F46" s="133">
        <f t="shared" si="8"/>
        <v>0.004242213315</v>
      </c>
    </row>
    <row r="47" ht="13.5" customHeight="1">
      <c r="A47" s="132">
        <v>10.0</v>
      </c>
      <c r="B47" s="131">
        <v>2.7255</v>
      </c>
      <c r="C47" s="131">
        <f t="shared" si="5"/>
        <v>5.451</v>
      </c>
      <c r="D47" s="131">
        <f t="shared" si="6"/>
        <v>9.884568991</v>
      </c>
      <c r="E47" s="131">
        <f t="shared" si="7"/>
        <v>-0.115431009</v>
      </c>
      <c r="F47" s="133">
        <f t="shared" si="8"/>
        <v>0.01332431784</v>
      </c>
    </row>
    <row r="48" ht="13.5" customHeight="1">
      <c r="A48" s="132">
        <v>11.0</v>
      </c>
      <c r="B48" s="131">
        <v>2.8854</v>
      </c>
      <c r="C48" s="131">
        <f t="shared" si="5"/>
        <v>5.7708</v>
      </c>
      <c r="D48" s="131">
        <f t="shared" si="6"/>
        <v>10.89271913</v>
      </c>
      <c r="E48" s="131">
        <f t="shared" si="7"/>
        <v>-0.107280874</v>
      </c>
      <c r="F48" s="133">
        <f t="shared" si="8"/>
        <v>0.01150918594</v>
      </c>
    </row>
    <row r="49" ht="13.5" customHeight="1">
      <c r="A49" s="132">
        <v>12.0</v>
      </c>
      <c r="B49" s="131">
        <v>3.0259</v>
      </c>
      <c r="C49" s="131">
        <f t="shared" si="5"/>
        <v>6.0518</v>
      </c>
      <c r="D49" s="131">
        <f t="shared" si="6"/>
        <v>11.94966774</v>
      </c>
      <c r="E49" s="131">
        <f t="shared" si="7"/>
        <v>-0.05033226492</v>
      </c>
      <c r="F49" s="133">
        <f t="shared" si="8"/>
        <v>0.002533336892</v>
      </c>
    </row>
    <row r="50" ht="13.5" customHeight="1">
      <c r="A50" s="132">
        <v>13.0</v>
      </c>
      <c r="B50" s="131">
        <v>3.1499</v>
      </c>
      <c r="C50" s="131">
        <f t="shared" si="5"/>
        <v>6.2998</v>
      </c>
      <c r="D50" s="131">
        <f t="shared" si="6"/>
        <v>13.04251361</v>
      </c>
      <c r="E50" s="131">
        <f t="shared" si="7"/>
        <v>0.04251360907</v>
      </c>
      <c r="F50" s="133">
        <f t="shared" si="8"/>
        <v>0.001807406956</v>
      </c>
    </row>
    <row r="51" ht="13.5" customHeight="1">
      <c r="A51" s="132">
        <v>14.0</v>
      </c>
      <c r="B51" s="131">
        <v>3.2574</v>
      </c>
      <c r="C51" s="131">
        <f t="shared" si="5"/>
        <v>6.5148</v>
      </c>
      <c r="D51" s="131">
        <f t="shared" si="6"/>
        <v>14.13077913</v>
      </c>
      <c r="E51" s="131">
        <f t="shared" si="7"/>
        <v>0.1307791329</v>
      </c>
      <c r="F51" s="133">
        <f t="shared" si="8"/>
        <v>0.01710318161</v>
      </c>
    </row>
    <row r="52" ht="13.5" customHeight="1">
      <c r="A52" s="132">
        <v>15.0</v>
      </c>
      <c r="B52" s="131">
        <v>3.3351</v>
      </c>
      <c r="C52" s="131">
        <f t="shared" si="5"/>
        <v>6.6702</v>
      </c>
      <c r="D52" s="131">
        <f t="shared" si="6"/>
        <v>15.00871631</v>
      </c>
      <c r="E52" s="131">
        <f t="shared" si="7"/>
        <v>0.008716305397</v>
      </c>
      <c r="F52" s="133">
        <f t="shared" si="8"/>
        <v>0.00007597397977</v>
      </c>
    </row>
    <row r="53" ht="13.5" customHeight="1">
      <c r="A53" s="132">
        <v>16.0</v>
      </c>
      <c r="B53" s="131">
        <v>3.4301</v>
      </c>
      <c r="C53" s="131">
        <f t="shared" si="5"/>
        <v>6.8602</v>
      </c>
      <c r="D53" s="131">
        <f t="shared" si="6"/>
        <v>16.19705513</v>
      </c>
      <c r="E53" s="131">
        <f t="shared" si="7"/>
        <v>0.1970551316</v>
      </c>
      <c r="F53" s="133">
        <f t="shared" si="8"/>
        <v>0.03883072489</v>
      </c>
    </row>
    <row r="54" ht="13.5" customHeight="1">
      <c r="A54" s="132">
        <v>17.0</v>
      </c>
      <c r="B54" s="131">
        <v>3.4979</v>
      </c>
      <c r="C54" s="131">
        <f t="shared" si="5"/>
        <v>6.9958</v>
      </c>
      <c r="D54" s="131">
        <f t="shared" si="6"/>
        <v>17.12896536</v>
      </c>
      <c r="E54" s="131">
        <f t="shared" si="7"/>
        <v>0.1289653619</v>
      </c>
      <c r="F54" s="133">
        <f t="shared" si="8"/>
        <v>0.01663206457</v>
      </c>
    </row>
    <row r="55" ht="13.5" customHeight="1">
      <c r="A55" s="132">
        <v>18.0</v>
      </c>
      <c r="B55" s="131">
        <v>3.5583</v>
      </c>
      <c r="C55" s="131">
        <f t="shared" si="5"/>
        <v>7.1166</v>
      </c>
      <c r="D55" s="131">
        <f t="shared" si="6"/>
        <v>18.02233499</v>
      </c>
      <c r="E55" s="131">
        <f t="shared" si="7"/>
        <v>0.02233498926</v>
      </c>
      <c r="F55" s="133">
        <f t="shared" si="8"/>
        <v>0.0004988517455</v>
      </c>
    </row>
    <row r="56" ht="13.5" customHeight="1">
      <c r="A56" s="132">
        <v>19.0</v>
      </c>
      <c r="B56" s="131">
        <v>3.6148</v>
      </c>
      <c r="C56" s="131">
        <f t="shared" si="5"/>
        <v>7.2296</v>
      </c>
      <c r="D56" s="131">
        <f t="shared" si="6"/>
        <v>18.91509281</v>
      </c>
      <c r="E56" s="131">
        <f t="shared" si="7"/>
        <v>-0.08490719498</v>
      </c>
      <c r="F56" s="133">
        <f t="shared" si="8"/>
        <v>0.00720923176</v>
      </c>
    </row>
    <row r="57" ht="13.5" customHeight="1">
      <c r="A57" s="132">
        <v>20.0</v>
      </c>
      <c r="B57" s="131">
        <v>3.6678</v>
      </c>
      <c r="C57" s="131">
        <f t="shared" si="5"/>
        <v>7.3356</v>
      </c>
      <c r="D57" s="131">
        <f t="shared" si="6"/>
        <v>19.80533982</v>
      </c>
      <c r="E57" s="131">
        <f t="shared" si="7"/>
        <v>-0.1946601839</v>
      </c>
      <c r="F57" s="133">
        <f t="shared" si="8"/>
        <v>0.03789258719</v>
      </c>
    </row>
    <row r="58" ht="13.5" customHeight="1">
      <c r="F58" s="133">
        <f>SUM(F37:F57)</f>
        <v>0.1993334012</v>
      </c>
    </row>
    <row r="59" ht="14.25" customHeight="1"/>
    <row r="60" ht="14.25" customHeight="1">
      <c r="A60" s="5" t="s">
        <v>135</v>
      </c>
      <c r="I60" s="5" t="s">
        <v>141</v>
      </c>
      <c r="K60" s="135">
        <v>777.0</v>
      </c>
    </row>
    <row r="61" ht="13.5" customHeight="1">
      <c r="A61" s="5" t="s">
        <v>136</v>
      </c>
      <c r="B61" s="134">
        <v>0.028456390181121723</v>
      </c>
      <c r="I61" s="5" t="s">
        <v>142</v>
      </c>
      <c r="K61" s="131">
        <f>$B$30+$B$31*K60/100+$B$32*K60^2*0.0001+$B$33*K60^3*0.000001</f>
        <v>4.406583846</v>
      </c>
    </row>
    <row r="62" ht="14.25" customHeight="1">
      <c r="A62" s="5" t="s">
        <v>137</v>
      </c>
      <c r="B62" s="134">
        <v>1.1523800297198319</v>
      </c>
    </row>
    <row r="63" ht="14.25" customHeight="1">
      <c r="A63" s="5" t="s">
        <v>138</v>
      </c>
      <c r="B63" s="134">
        <v>0.5828838004699487</v>
      </c>
      <c r="I63" s="5" t="s">
        <v>143</v>
      </c>
      <c r="K63" s="136">
        <v>4.51064</v>
      </c>
    </row>
    <row r="64" ht="13.5" customHeight="1">
      <c r="A64" s="5" t="s">
        <v>139</v>
      </c>
      <c r="B64" s="134">
        <v>-0.1834611383186755</v>
      </c>
      <c r="I64" s="5" t="s">
        <v>144</v>
      </c>
      <c r="K64" s="81">
        <f>$B$61*100+$B$62*K63*100+$B$63*K63^2*100+$B$64*K63^3*100+$B$65*K63^4*100</f>
        <v>773.6635479</v>
      </c>
    </row>
    <row r="65" ht="13.5" customHeight="1">
      <c r="A65" s="5" t="s">
        <v>151</v>
      </c>
      <c r="B65" s="134">
        <v>0.018088193645458262</v>
      </c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13"/>
    <col customWidth="1" min="3" max="3" width="10.63"/>
    <col customWidth="1" min="4" max="26" width="8.0"/>
  </cols>
  <sheetData>
    <row r="1" ht="13.5" customHeight="1">
      <c r="A1" s="129" t="s">
        <v>88</v>
      </c>
      <c r="B1" s="130" t="s">
        <v>89</v>
      </c>
    </row>
    <row r="2" ht="13.5" customHeight="1">
      <c r="A2" s="5" t="s">
        <v>152</v>
      </c>
    </row>
    <row r="3" ht="13.5" customHeight="1">
      <c r="A3" s="5" t="s">
        <v>153</v>
      </c>
    </row>
    <row r="4" ht="13.5" customHeight="1"/>
    <row r="5" ht="13.5" customHeight="1">
      <c r="A5" s="5" t="s">
        <v>131</v>
      </c>
      <c r="B5" s="5" t="s">
        <v>9</v>
      </c>
      <c r="C5" s="5" t="s">
        <v>140</v>
      </c>
      <c r="D5" s="131" t="s">
        <v>132</v>
      </c>
      <c r="E5" s="5" t="s">
        <v>133</v>
      </c>
      <c r="F5" s="133" t="s">
        <v>134</v>
      </c>
    </row>
    <row r="6" ht="13.5" customHeight="1">
      <c r="A6" s="132">
        <v>0.0</v>
      </c>
      <c r="B6" s="131">
        <v>3.0E-4</v>
      </c>
      <c r="C6" s="131">
        <f t="shared" ref="C6:C11" si="1">B6*8</f>
        <v>0.0024</v>
      </c>
      <c r="D6" s="131">
        <f t="shared" ref="D6:D11" si="2">$B$15+$B$16*$A6+$B$17*$A6^2+$B$18*$A6^3</f>
        <v>-0.02531476632</v>
      </c>
      <c r="E6" s="131">
        <f t="shared" ref="E6:E11" si="3">$D6-$C6</f>
        <v>-0.02771476632</v>
      </c>
      <c r="F6" s="133">
        <f t="shared" ref="F6:F11" si="4">$E6^2</f>
        <v>0.0007681082721</v>
      </c>
    </row>
    <row r="7" ht="13.5" customHeight="1">
      <c r="A7" s="132">
        <v>1.0</v>
      </c>
      <c r="B7" s="131">
        <v>0.111</v>
      </c>
      <c r="C7" s="131">
        <f t="shared" si="1"/>
        <v>0.888</v>
      </c>
      <c r="D7" s="131">
        <f t="shared" si="2"/>
        <v>0.9181351394</v>
      </c>
      <c r="E7" s="131">
        <f t="shared" si="3"/>
        <v>0.03013513944</v>
      </c>
      <c r="F7" s="133">
        <f t="shared" si="4"/>
        <v>0.0009081266291</v>
      </c>
    </row>
    <row r="8" ht="13.5" customHeight="1">
      <c r="A8" s="132">
        <v>2.0</v>
      </c>
      <c r="B8" s="131">
        <v>0.2216</v>
      </c>
      <c r="C8" s="131">
        <f t="shared" si="1"/>
        <v>1.7728</v>
      </c>
      <c r="D8" s="131">
        <f t="shared" si="2"/>
        <v>1.808271647</v>
      </c>
      <c r="E8" s="131">
        <f t="shared" si="3"/>
        <v>0.03547164713</v>
      </c>
      <c r="F8" s="133">
        <f t="shared" si="4"/>
        <v>0.00125823775</v>
      </c>
    </row>
    <row r="9" ht="13.5" customHeight="1">
      <c r="A9" s="132">
        <v>3.0</v>
      </c>
      <c r="B9" s="131">
        <v>0.3319</v>
      </c>
      <c r="C9" s="131">
        <f t="shared" si="1"/>
        <v>2.6552</v>
      </c>
      <c r="D9" s="131">
        <f t="shared" si="2"/>
        <v>2.645094757</v>
      </c>
      <c r="E9" s="131">
        <f t="shared" si="3"/>
        <v>-0.01010524324</v>
      </c>
      <c r="F9" s="133">
        <f t="shared" si="4"/>
        <v>0.0001021159409</v>
      </c>
    </row>
    <row r="10" ht="13.5" customHeight="1">
      <c r="A10" s="132">
        <v>4.0</v>
      </c>
      <c r="B10" s="131">
        <v>0.4371</v>
      </c>
      <c r="C10" s="131">
        <f t="shared" si="1"/>
        <v>3.4968</v>
      </c>
      <c r="D10" s="131">
        <f t="shared" si="2"/>
        <v>3.428604468</v>
      </c>
      <c r="E10" s="131">
        <f t="shared" si="3"/>
        <v>-0.06819553167</v>
      </c>
      <c r="F10" s="133">
        <f t="shared" si="4"/>
        <v>0.00465063054</v>
      </c>
    </row>
    <row r="11" ht="13.5" customHeight="1">
      <c r="A11" s="132">
        <v>5.0</v>
      </c>
      <c r="B11" s="131">
        <v>0.5148</v>
      </c>
      <c r="C11" s="131">
        <f t="shared" si="1"/>
        <v>4.1184</v>
      </c>
      <c r="D11" s="131">
        <f t="shared" si="2"/>
        <v>4.158800782</v>
      </c>
      <c r="E11" s="131">
        <f t="shared" si="3"/>
        <v>0.04040078183</v>
      </c>
      <c r="F11" s="133">
        <f t="shared" si="4"/>
        <v>0.001632223172</v>
      </c>
    </row>
    <row r="12" ht="13.5" customHeight="1">
      <c r="F12" s="133">
        <f>SUM(F6:F11)</f>
        <v>0.009319442305</v>
      </c>
    </row>
    <row r="13" ht="13.5" customHeight="1"/>
    <row r="14" ht="13.5" customHeight="1">
      <c r="A14" s="5" t="s">
        <v>135</v>
      </c>
    </row>
    <row r="15" ht="13.5" customHeight="1">
      <c r="A15" s="5" t="s">
        <v>136</v>
      </c>
      <c r="B15" s="134">
        <v>-0.02531476631870938</v>
      </c>
    </row>
    <row r="16" ht="13.5" customHeight="1">
      <c r="A16" s="5" t="s">
        <v>137</v>
      </c>
      <c r="B16" s="134">
        <v>0.9701066047920333</v>
      </c>
    </row>
    <row r="17" ht="13.5" customHeight="1">
      <c r="A17" s="5" t="s">
        <v>138</v>
      </c>
      <c r="B17" s="134">
        <v>-0.026656699032600248</v>
      </c>
    </row>
    <row r="18" ht="13.5" customHeight="1">
      <c r="A18" s="5" t="s">
        <v>139</v>
      </c>
      <c r="B18" s="134">
        <v>0.0</v>
      </c>
    </row>
    <row r="19" ht="13.5" customHeight="1"/>
    <row r="20" ht="13.5" customHeight="1"/>
    <row r="21" ht="13.5" customHeight="1"/>
    <row r="22" ht="13.5" customHeight="1"/>
    <row r="23" ht="13.5" customHeight="1">
      <c r="A23" s="5" t="s">
        <v>131</v>
      </c>
      <c r="B23" s="5" t="s">
        <v>9</v>
      </c>
      <c r="C23" s="5" t="s">
        <v>140</v>
      </c>
      <c r="D23" s="131" t="s">
        <v>132</v>
      </c>
      <c r="E23" s="5" t="s">
        <v>133</v>
      </c>
      <c r="F23" s="133" t="s">
        <v>134</v>
      </c>
    </row>
    <row r="24" ht="13.5" customHeight="1">
      <c r="A24" s="132">
        <v>0.0</v>
      </c>
      <c r="B24" s="131">
        <v>3.0E-4</v>
      </c>
      <c r="C24" s="131">
        <f t="shared" ref="C24:C29" si="5">B24*8</f>
        <v>0.0024</v>
      </c>
      <c r="D24" s="131">
        <f t="shared" ref="D24:D29" si="6">$B$33+$B$34*$C24+$B$35*$C24^2+$B$36*$C24^3</f>
        <v>0.03289148625</v>
      </c>
      <c r="E24" s="131">
        <f t="shared" ref="E24:E29" si="7">$D24-$A24</f>
        <v>0.03289148625</v>
      </c>
      <c r="F24" s="133">
        <f t="shared" ref="F24:F29" si="8">$E24^2</f>
        <v>0.001081849868</v>
      </c>
    </row>
    <row r="25" ht="13.5" customHeight="1">
      <c r="A25" s="132">
        <v>1.0</v>
      </c>
      <c r="B25" s="131">
        <v>0.111</v>
      </c>
      <c r="C25" s="131">
        <f t="shared" si="5"/>
        <v>0.888</v>
      </c>
      <c r="D25" s="131">
        <f t="shared" si="6"/>
        <v>0.9612890409</v>
      </c>
      <c r="E25" s="131">
        <f t="shared" si="7"/>
        <v>-0.03871095913</v>
      </c>
      <c r="F25" s="133">
        <f t="shared" si="8"/>
        <v>0.001498538357</v>
      </c>
    </row>
    <row r="26" ht="13.5" customHeight="1">
      <c r="A26" s="132">
        <v>2.0</v>
      </c>
      <c r="B26" s="131">
        <v>0.2216</v>
      </c>
      <c r="C26" s="131">
        <f t="shared" si="5"/>
        <v>1.7728</v>
      </c>
      <c r="D26" s="131">
        <f t="shared" si="6"/>
        <v>1.957649501</v>
      </c>
      <c r="E26" s="131">
        <f t="shared" si="7"/>
        <v>-0.04235049852</v>
      </c>
      <c r="F26" s="133">
        <f t="shared" si="8"/>
        <v>0.001793564725</v>
      </c>
    </row>
    <row r="27" ht="13.5" customHeight="1">
      <c r="A27" s="132">
        <v>3.0</v>
      </c>
      <c r="B27" s="131">
        <v>0.3319</v>
      </c>
      <c r="C27" s="131">
        <f t="shared" si="5"/>
        <v>2.6552</v>
      </c>
      <c r="D27" s="131">
        <f t="shared" si="6"/>
        <v>3.019798279</v>
      </c>
      <c r="E27" s="131">
        <f t="shared" si="7"/>
        <v>0.01979827943</v>
      </c>
      <c r="F27" s="133">
        <f t="shared" si="8"/>
        <v>0.0003919718684</v>
      </c>
    </row>
    <row r="28" ht="13.5" customHeight="1">
      <c r="A28" s="132">
        <v>4.0</v>
      </c>
      <c r="B28" s="131">
        <v>0.4371</v>
      </c>
      <c r="C28" s="131">
        <f t="shared" si="5"/>
        <v>3.4968</v>
      </c>
      <c r="D28" s="131">
        <f t="shared" si="6"/>
        <v>4.096563112</v>
      </c>
      <c r="E28" s="131">
        <f t="shared" si="7"/>
        <v>0.096563112</v>
      </c>
      <c r="F28" s="133">
        <f t="shared" si="8"/>
        <v>0.009324434599</v>
      </c>
    </row>
    <row r="29" ht="13.5" customHeight="1">
      <c r="A29" s="132">
        <v>5.0</v>
      </c>
      <c r="B29" s="131">
        <v>0.5148</v>
      </c>
      <c r="C29" s="131">
        <f t="shared" si="5"/>
        <v>4.1184</v>
      </c>
      <c r="D29" s="131">
        <f t="shared" si="6"/>
        <v>4.931802383</v>
      </c>
      <c r="E29" s="131">
        <f t="shared" si="7"/>
        <v>-0.06819761687</v>
      </c>
      <c r="F29" s="133">
        <f t="shared" si="8"/>
        <v>0.004650914946</v>
      </c>
    </row>
    <row r="30" ht="13.5" customHeight="1">
      <c r="F30" s="133">
        <f>SUM(F24:F29)</f>
        <v>0.01874127436</v>
      </c>
    </row>
    <row r="31" ht="13.5" customHeight="1"/>
    <row r="32" ht="13.5" customHeight="1">
      <c r="A32" s="5" t="s">
        <v>135</v>
      </c>
    </row>
    <row r="33" ht="13.5" customHeight="1">
      <c r="A33" s="5" t="s">
        <v>136</v>
      </c>
      <c r="B33" s="134">
        <v>0.030469110221095694</v>
      </c>
    </row>
    <row r="34" ht="13.5" customHeight="1">
      <c r="A34" s="5" t="s">
        <v>137</v>
      </c>
      <c r="B34" s="134">
        <v>1.0092179330059738</v>
      </c>
    </row>
    <row r="35" ht="13.5" customHeight="1">
      <c r="A35" s="5" t="s">
        <v>138</v>
      </c>
      <c r="B35" s="134">
        <v>0.0439219702868565</v>
      </c>
    </row>
    <row r="36" ht="13.5" customHeight="1">
      <c r="A36" s="5" t="s">
        <v>139</v>
      </c>
      <c r="B36" s="134">
        <v>0.0</v>
      </c>
    </row>
    <row r="37" ht="13.5" customHeight="1"/>
    <row r="38" ht="13.5" customHeight="1"/>
    <row r="39" ht="13.5" customHeight="1"/>
    <row r="40" ht="14.25" customHeight="1"/>
    <row r="41" ht="14.25" customHeight="1">
      <c r="I41" s="5" t="s">
        <v>141</v>
      </c>
      <c r="K41" s="135">
        <v>39.0</v>
      </c>
    </row>
    <row r="42" ht="13.5" customHeight="1">
      <c r="I42" s="5" t="s">
        <v>142</v>
      </c>
      <c r="K42" s="131">
        <f>$B$15+$B$16*K41/100+$B$17*K41^2*0.0001+$B$18*K41^3*0.000001</f>
        <v>0.3489723256</v>
      </c>
    </row>
    <row r="43" ht="14.25" customHeight="1"/>
    <row r="44" ht="14.25" customHeight="1">
      <c r="I44" s="5" t="s">
        <v>143</v>
      </c>
      <c r="K44" s="136">
        <v>0.2</v>
      </c>
    </row>
    <row r="45" ht="13.5" customHeight="1">
      <c r="I45" s="5" t="s">
        <v>144</v>
      </c>
      <c r="K45" s="81">
        <f>$B$33*100+$B$34*K44*100+$B$35*K44^2*100+$B$36*K44^3*100</f>
        <v>23.40695756</v>
      </c>
    </row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3" width="10.5"/>
    <col customWidth="1" min="4" max="5" width="8.0"/>
    <col customWidth="1" min="6" max="6" width="10.5"/>
    <col customWidth="1" min="7" max="26" width="8.0"/>
  </cols>
  <sheetData>
    <row r="1" ht="13.5" customHeight="1">
      <c r="A1" s="129" t="s">
        <v>90</v>
      </c>
      <c r="B1" s="130" t="s">
        <v>91</v>
      </c>
    </row>
    <row r="2" ht="13.5" customHeight="1">
      <c r="A2" s="5" t="s">
        <v>155</v>
      </c>
    </row>
    <row r="3" ht="13.5" customHeight="1">
      <c r="A3" s="5" t="s">
        <v>157</v>
      </c>
    </row>
    <row r="4" ht="13.5" customHeight="1"/>
    <row r="5" ht="13.5" customHeight="1">
      <c r="A5" s="5" t="s">
        <v>131</v>
      </c>
      <c r="B5" s="5" t="s">
        <v>9</v>
      </c>
      <c r="C5" s="5" t="s">
        <v>140</v>
      </c>
      <c r="D5" s="131" t="s">
        <v>132</v>
      </c>
      <c r="E5" s="5" t="s">
        <v>133</v>
      </c>
      <c r="F5" s="133" t="s">
        <v>134</v>
      </c>
    </row>
    <row r="6" ht="13.5" customHeight="1">
      <c r="A6" s="132">
        <v>0.0</v>
      </c>
      <c r="B6" s="131">
        <v>0.001</v>
      </c>
      <c r="C6" s="131">
        <f t="shared" ref="C6:C16" si="1">B6*4</f>
        <v>0.004</v>
      </c>
      <c r="D6" s="131">
        <f t="shared" ref="D6:D16" si="2">$B$20+$B$21*$A6+$B$22*$A6^2+$B$23*$A6^3</f>
        <v>-0.004436824965</v>
      </c>
      <c r="E6" s="131">
        <f t="shared" ref="E6:E16" si="3">$D6-$C6</f>
        <v>-0.008436824965</v>
      </c>
      <c r="F6" s="133">
        <f t="shared" ref="F6:F16" si="4">$E6^2</f>
        <v>0.0000711800155</v>
      </c>
    </row>
    <row r="7" ht="13.5" customHeight="1">
      <c r="A7" s="132">
        <v>1.0</v>
      </c>
      <c r="B7" s="131">
        <v>0.17</v>
      </c>
      <c r="C7" s="131">
        <f t="shared" si="1"/>
        <v>0.68</v>
      </c>
      <c r="D7" s="131">
        <f t="shared" si="2"/>
        <v>0.6782406931</v>
      </c>
      <c r="E7" s="131">
        <f t="shared" si="3"/>
        <v>-0.001759306917</v>
      </c>
      <c r="F7" s="133">
        <f t="shared" si="4"/>
        <v>0.000003095160827</v>
      </c>
    </row>
    <row r="8" ht="13.5" customHeight="1">
      <c r="A8" s="132">
        <v>2.0</v>
      </c>
      <c r="B8" s="131">
        <v>0.341</v>
      </c>
      <c r="C8" s="131">
        <f t="shared" si="1"/>
        <v>1.364</v>
      </c>
      <c r="D8" s="131">
        <f t="shared" si="2"/>
        <v>1.373129248</v>
      </c>
      <c r="E8" s="131">
        <f t="shared" si="3"/>
        <v>0.009129247566</v>
      </c>
      <c r="F8" s="133">
        <f t="shared" si="4"/>
        <v>0.00008334316112</v>
      </c>
    </row>
    <row r="9" ht="13.5" customHeight="1">
      <c r="A9" s="132">
        <v>3.0</v>
      </c>
      <c r="B9" s="131">
        <v>0.51</v>
      </c>
      <c r="C9" s="131">
        <f t="shared" si="1"/>
        <v>2.04</v>
      </c>
      <c r="D9" s="131">
        <f t="shared" si="2"/>
        <v>2.06194513</v>
      </c>
      <c r="E9" s="131">
        <f t="shared" si="3"/>
        <v>0.02194513036</v>
      </c>
      <c r="F9" s="133">
        <f t="shared" si="4"/>
        <v>0.0004815887466</v>
      </c>
    </row>
    <row r="10" ht="13.5" customHeight="1">
      <c r="A10" s="132">
        <v>4.0</v>
      </c>
      <c r="B10" s="131">
        <v>0.678</v>
      </c>
      <c r="C10" s="131">
        <f t="shared" si="1"/>
        <v>2.712</v>
      </c>
      <c r="D10" s="131">
        <f t="shared" si="2"/>
        <v>2.726404633</v>
      </c>
      <c r="E10" s="131">
        <f t="shared" si="3"/>
        <v>0.01440463335</v>
      </c>
      <c r="F10" s="133">
        <f t="shared" si="4"/>
        <v>0.0002074934619</v>
      </c>
    </row>
    <row r="11" ht="13.5" customHeight="1">
      <c r="A11" s="132">
        <v>5.0</v>
      </c>
      <c r="B11" s="131">
        <v>0.844</v>
      </c>
      <c r="C11" s="131">
        <f t="shared" si="1"/>
        <v>3.376</v>
      </c>
      <c r="D11" s="131">
        <f t="shared" si="2"/>
        <v>3.348224048</v>
      </c>
      <c r="E11" s="131">
        <f t="shared" si="3"/>
        <v>-0.02777595159</v>
      </c>
      <c r="F11" s="133">
        <f t="shared" si="4"/>
        <v>0.0007715034868</v>
      </c>
    </row>
    <row r="12" ht="13.5" customHeight="1">
      <c r="A12" s="132">
        <v>6.0</v>
      </c>
      <c r="B12" s="131">
        <v>0.988</v>
      </c>
      <c r="C12" s="131">
        <f t="shared" si="1"/>
        <v>3.952</v>
      </c>
      <c r="D12" s="131">
        <f t="shared" si="2"/>
        <v>3.909119667</v>
      </c>
      <c r="E12" s="131">
        <f t="shared" si="3"/>
        <v>-0.04288033258</v>
      </c>
      <c r="F12" s="133">
        <f t="shared" si="4"/>
        <v>0.001838722923</v>
      </c>
    </row>
    <row r="13" ht="13.5" customHeight="1">
      <c r="A13" s="132">
        <v>7.0</v>
      </c>
      <c r="B13" s="131">
        <v>1.098</v>
      </c>
      <c r="C13" s="131">
        <f t="shared" si="1"/>
        <v>4.392</v>
      </c>
      <c r="D13" s="131">
        <f t="shared" si="2"/>
        <v>4.390807782</v>
      </c>
      <c r="E13" s="131">
        <f t="shared" si="3"/>
        <v>-0.00119221775</v>
      </c>
      <c r="F13" s="133">
        <f t="shared" si="4"/>
        <v>0.000001421383163</v>
      </c>
    </row>
    <row r="14" ht="13.5" customHeight="1">
      <c r="A14" s="132">
        <v>8.0</v>
      </c>
      <c r="B14" s="131">
        <v>1.186</v>
      </c>
      <c r="C14" s="131">
        <f t="shared" si="1"/>
        <v>4.744</v>
      </c>
      <c r="D14" s="131">
        <f t="shared" si="2"/>
        <v>4.775004685</v>
      </c>
      <c r="E14" s="131">
        <f t="shared" si="3"/>
        <v>0.03100468479</v>
      </c>
      <c r="F14" s="133">
        <f t="shared" si="4"/>
        <v>0.000961290479</v>
      </c>
    </row>
    <row r="15" ht="13.5" customHeight="1">
      <c r="A15" s="132">
        <v>9.0</v>
      </c>
      <c r="B15" s="131">
        <v>1.252</v>
      </c>
      <c r="C15" s="131">
        <f t="shared" si="1"/>
        <v>5.008</v>
      </c>
      <c r="D15" s="131">
        <f t="shared" si="2"/>
        <v>5.043426667</v>
      </c>
      <c r="E15" s="131">
        <f t="shared" si="3"/>
        <v>0.03542666692</v>
      </c>
      <c r="F15" s="133">
        <f t="shared" si="4"/>
        <v>0.001255048729</v>
      </c>
    </row>
    <row r="16" ht="13.5" customHeight="1">
      <c r="A16" s="132">
        <v>10.0</v>
      </c>
      <c r="B16" s="131">
        <v>1.302</v>
      </c>
      <c r="C16" s="131">
        <f t="shared" si="1"/>
        <v>5.208</v>
      </c>
      <c r="D16" s="131">
        <f t="shared" si="2"/>
        <v>5.177790021</v>
      </c>
      <c r="E16" s="131">
        <f t="shared" si="3"/>
        <v>-0.03020997949</v>
      </c>
      <c r="F16" s="133">
        <f t="shared" si="4"/>
        <v>0.0009126428609</v>
      </c>
    </row>
    <row r="17" ht="13.5" customHeight="1">
      <c r="F17" s="133">
        <f>SUM(F6:F16)</f>
        <v>0.006587330407</v>
      </c>
    </row>
    <row r="18" ht="13.5" customHeight="1"/>
    <row r="19" ht="13.5" customHeight="1">
      <c r="A19" s="5" t="s">
        <v>135</v>
      </c>
    </row>
    <row r="20" ht="13.5" customHeight="1">
      <c r="A20" s="5" t="s">
        <v>136</v>
      </c>
      <c r="B20" s="134">
        <v>-0.0044368249653050085</v>
      </c>
    </row>
    <row r="21" ht="13.5" customHeight="1">
      <c r="A21" s="5" t="s">
        <v>137</v>
      </c>
      <c r="B21" s="134">
        <v>0.670477430457562</v>
      </c>
    </row>
    <row r="22" ht="13.5" customHeight="1">
      <c r="A22" s="5" t="s">
        <v>138</v>
      </c>
      <c r="B22" s="134">
        <v>0.015247372277851785</v>
      </c>
    </row>
    <row r="23" ht="13.5" customHeight="1">
      <c r="A23" s="5" t="s">
        <v>139</v>
      </c>
      <c r="B23" s="134">
        <v>-0.0030472846868869552</v>
      </c>
    </row>
    <row r="24" ht="13.5" customHeight="1">
      <c r="B24" s="134"/>
    </row>
    <row r="25" ht="13.5" customHeight="1"/>
    <row r="26" ht="13.5" customHeight="1">
      <c r="A26" s="5" t="s">
        <v>131</v>
      </c>
      <c r="B26" s="5" t="s">
        <v>9</v>
      </c>
      <c r="C26" s="5" t="s">
        <v>140</v>
      </c>
      <c r="D26" s="131" t="s">
        <v>132</v>
      </c>
      <c r="E26" s="5" t="s">
        <v>133</v>
      </c>
      <c r="F26" s="133" t="s">
        <v>134</v>
      </c>
    </row>
    <row r="27" ht="13.5" customHeight="1">
      <c r="A27" s="132">
        <v>0.0</v>
      </c>
      <c r="B27" s="131">
        <v>0.001</v>
      </c>
      <c r="C27" s="131">
        <f t="shared" ref="C27:C37" si="5">B27*4</f>
        <v>0.004</v>
      </c>
      <c r="D27" s="131">
        <f t="shared" ref="D27:D37" si="6">$B$41+$B$42*$C27+$B$43*$C27^2+$B$44*$C27^3+$B$45*$C27^4</f>
        <v>0.0201569999</v>
      </c>
      <c r="E27" s="131">
        <f t="shared" ref="E27:E37" si="7">$D27-$A27</f>
        <v>0.0201569999</v>
      </c>
      <c r="F27" s="133">
        <f t="shared" ref="F27:F37" si="8">$E27^2</f>
        <v>0.0004063046451</v>
      </c>
    </row>
    <row r="28" ht="13.5" customHeight="1">
      <c r="A28" s="132">
        <v>1.0</v>
      </c>
      <c r="B28" s="131">
        <v>0.17</v>
      </c>
      <c r="C28" s="131">
        <f t="shared" si="5"/>
        <v>0.68</v>
      </c>
      <c r="D28" s="131">
        <f t="shared" si="6"/>
        <v>0.9432452954</v>
      </c>
      <c r="E28" s="131">
        <f t="shared" si="7"/>
        <v>-0.05675470455</v>
      </c>
      <c r="F28" s="133">
        <f t="shared" si="8"/>
        <v>0.003221096489</v>
      </c>
    </row>
    <row r="29" ht="13.5" customHeight="1">
      <c r="A29" s="132">
        <v>2.0</v>
      </c>
      <c r="B29" s="131">
        <v>0.341</v>
      </c>
      <c r="C29" s="131">
        <f t="shared" si="5"/>
        <v>1.364</v>
      </c>
      <c r="D29" s="131">
        <f t="shared" si="6"/>
        <v>2.019682327</v>
      </c>
      <c r="E29" s="131">
        <f t="shared" si="7"/>
        <v>0.01968232719</v>
      </c>
      <c r="F29" s="133">
        <f t="shared" si="8"/>
        <v>0.0003873940037</v>
      </c>
    </row>
    <row r="30" ht="13.5" customHeight="1">
      <c r="A30" s="132">
        <v>3.0</v>
      </c>
      <c r="B30" s="131">
        <v>0.51</v>
      </c>
      <c r="C30" s="131">
        <f t="shared" si="5"/>
        <v>2.04</v>
      </c>
      <c r="D30" s="131">
        <f t="shared" si="6"/>
        <v>3.049125603</v>
      </c>
      <c r="E30" s="131">
        <f t="shared" si="7"/>
        <v>0.04912560347</v>
      </c>
      <c r="F30" s="133">
        <f t="shared" si="8"/>
        <v>0.002413324916</v>
      </c>
    </row>
    <row r="31" ht="13.5" customHeight="1">
      <c r="A31" s="132">
        <v>4.0</v>
      </c>
      <c r="B31" s="131">
        <v>0.678</v>
      </c>
      <c r="C31" s="131">
        <f t="shared" si="5"/>
        <v>2.712</v>
      </c>
      <c r="D31" s="131">
        <f t="shared" si="6"/>
        <v>3.999685475</v>
      </c>
      <c r="E31" s="131">
        <f t="shared" si="7"/>
        <v>-0.0003145247399</v>
      </c>
      <c r="F31" s="133">
        <f t="shared" si="8"/>
        <v>0.00000009892581202</v>
      </c>
    </row>
    <row r="32" ht="13.5" customHeight="1">
      <c r="A32" s="132">
        <v>5.0</v>
      </c>
      <c r="B32" s="131">
        <v>0.844</v>
      </c>
      <c r="C32" s="131">
        <f t="shared" si="5"/>
        <v>3.376</v>
      </c>
      <c r="D32" s="131">
        <f t="shared" si="6"/>
        <v>4.958668676</v>
      </c>
      <c r="E32" s="131">
        <f t="shared" si="7"/>
        <v>-0.04133132383</v>
      </c>
      <c r="F32" s="133">
        <f t="shared" si="8"/>
        <v>0.00170827833</v>
      </c>
    </row>
    <row r="33" ht="13.5" customHeight="1">
      <c r="A33" s="132">
        <v>6.0</v>
      </c>
      <c r="B33" s="131">
        <v>0.988</v>
      </c>
      <c r="C33" s="131">
        <f t="shared" si="5"/>
        <v>3.952</v>
      </c>
      <c r="D33" s="131">
        <f t="shared" si="6"/>
        <v>5.970649839</v>
      </c>
      <c r="E33" s="131">
        <f t="shared" si="7"/>
        <v>-0.02935016094</v>
      </c>
      <c r="F33" s="133">
        <f t="shared" si="8"/>
        <v>0.0008614319473</v>
      </c>
    </row>
    <row r="34" ht="13.5" customHeight="1">
      <c r="A34" s="132">
        <v>7.0</v>
      </c>
      <c r="B34" s="131">
        <v>1.098</v>
      </c>
      <c r="C34" s="131">
        <f t="shared" si="5"/>
        <v>4.392</v>
      </c>
      <c r="D34" s="131">
        <f t="shared" si="6"/>
        <v>6.993969624</v>
      </c>
      <c r="E34" s="131">
        <f t="shared" si="7"/>
        <v>-0.006030375811</v>
      </c>
      <c r="F34" s="133">
        <f t="shared" si="8"/>
        <v>0.00003636543242</v>
      </c>
    </row>
    <row r="35" ht="13.5" customHeight="1">
      <c r="A35" s="132">
        <v>8.0</v>
      </c>
      <c r="B35" s="131">
        <v>1.186</v>
      </c>
      <c r="C35" s="131">
        <f t="shared" si="5"/>
        <v>4.744</v>
      </c>
      <c r="D35" s="131">
        <f t="shared" si="6"/>
        <v>8.059291438</v>
      </c>
      <c r="E35" s="131">
        <f t="shared" si="7"/>
        <v>0.0592914381</v>
      </c>
      <c r="F35" s="133">
        <f t="shared" si="8"/>
        <v>0.003515474632</v>
      </c>
    </row>
    <row r="36" ht="13.5" customHeight="1">
      <c r="A36" s="132">
        <v>9.0</v>
      </c>
      <c r="B36" s="131">
        <v>1.252</v>
      </c>
      <c r="C36" s="131">
        <f t="shared" si="5"/>
        <v>5.008</v>
      </c>
      <c r="D36" s="131">
        <f t="shared" si="6"/>
        <v>9.050459945</v>
      </c>
      <c r="E36" s="131">
        <f t="shared" si="7"/>
        <v>0.0504599446</v>
      </c>
      <c r="F36" s="133">
        <f t="shared" si="8"/>
        <v>0.002546206009</v>
      </c>
    </row>
    <row r="37" ht="13.5" customHeight="1">
      <c r="A37" s="132">
        <v>10.0</v>
      </c>
      <c r="B37" s="131">
        <v>1.302</v>
      </c>
      <c r="C37" s="131">
        <f t="shared" si="5"/>
        <v>5.208</v>
      </c>
      <c r="D37" s="131">
        <f t="shared" si="6"/>
        <v>9.934846882</v>
      </c>
      <c r="E37" s="131">
        <f t="shared" si="7"/>
        <v>-0.06515311839</v>
      </c>
      <c r="F37" s="133">
        <f t="shared" si="8"/>
        <v>0.004244928836</v>
      </c>
    </row>
    <row r="38" ht="13.5" customHeight="1">
      <c r="F38" s="133">
        <f>SUM(F27:F37)</f>
        <v>0.01934090417</v>
      </c>
    </row>
    <row r="39" ht="13.5" customHeight="1"/>
    <row r="40" ht="13.5" customHeight="1">
      <c r="A40" s="5" t="s">
        <v>135</v>
      </c>
    </row>
    <row r="41" ht="13.5" customHeight="1">
      <c r="A41" s="5" t="s">
        <v>136</v>
      </c>
      <c r="B41" s="134">
        <v>0.015661058234545826</v>
      </c>
    </row>
    <row r="42" ht="13.5" customHeight="1">
      <c r="A42" s="5" t="s">
        <v>137</v>
      </c>
      <c r="B42" s="134">
        <v>1.1220624089165743</v>
      </c>
    </row>
    <row r="43" ht="13.5" customHeight="1">
      <c r="A43" s="5" t="s">
        <v>138</v>
      </c>
      <c r="B43" s="134">
        <v>0.48156344253171846</v>
      </c>
    </row>
    <row r="44" ht="14.25" customHeight="1">
      <c r="A44" s="5" t="s">
        <v>139</v>
      </c>
      <c r="B44" s="134">
        <v>-0.20294836635497776</v>
      </c>
    </row>
    <row r="45" ht="14.25" customHeight="1">
      <c r="A45" s="5" t="s">
        <v>151</v>
      </c>
      <c r="B45" s="134">
        <v>0.026753769510376522</v>
      </c>
      <c r="I45" s="5" t="s">
        <v>141</v>
      </c>
      <c r="K45" s="135">
        <v>154.0</v>
      </c>
    </row>
    <row r="46" ht="13.5" customHeight="1">
      <c r="I46" s="5" t="s">
        <v>142</v>
      </c>
      <c r="K46" s="131">
        <f>$B$20+$B$21*K45/100+$B$22*K45^2*0.0001+$B$23*K45^3*0.000001</f>
        <v>1.053129598</v>
      </c>
    </row>
    <row r="47" ht="14.25" customHeight="1"/>
    <row r="48" ht="14.25" customHeight="1">
      <c r="I48" s="5" t="s">
        <v>143</v>
      </c>
      <c r="K48" s="136">
        <v>1.05</v>
      </c>
    </row>
    <row r="49" ht="13.5" customHeight="1">
      <c r="I49" s="5" t="s">
        <v>144</v>
      </c>
      <c r="K49" s="81">
        <f>$B$41*100+$B$42*K48*100+$B$43*K48^2*100+$B$44*K48^3*100+$B$45*K48*100</f>
        <v>151.7903638</v>
      </c>
    </row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3" width="10.5"/>
    <col customWidth="1" min="4" max="5" width="8.0"/>
    <col customWidth="1" min="6" max="6" width="10.5"/>
    <col customWidth="1" min="7" max="26" width="8.0"/>
  </cols>
  <sheetData>
    <row r="1" ht="13.5" customHeight="1">
      <c r="A1" s="129" t="s">
        <v>98</v>
      </c>
      <c r="B1" s="130" t="s">
        <v>91</v>
      </c>
    </row>
    <row r="2" ht="13.5" customHeight="1">
      <c r="A2" s="5" t="s">
        <v>155</v>
      </c>
    </row>
    <row r="3" ht="13.5" customHeight="1">
      <c r="A3" s="5" t="s">
        <v>157</v>
      </c>
    </row>
    <row r="4" ht="13.5" customHeight="1"/>
    <row r="5" ht="13.5" customHeight="1">
      <c r="A5" s="5" t="s">
        <v>131</v>
      </c>
      <c r="B5" s="5" t="s">
        <v>9</v>
      </c>
      <c r="C5" s="5" t="s">
        <v>140</v>
      </c>
      <c r="D5" s="131" t="s">
        <v>132</v>
      </c>
      <c r="E5" s="5" t="s">
        <v>133</v>
      </c>
      <c r="F5" s="133" t="s">
        <v>134</v>
      </c>
    </row>
    <row r="6" ht="13.5" customHeight="1">
      <c r="A6" s="132">
        <v>0.0</v>
      </c>
      <c r="B6" s="131">
        <v>0.001</v>
      </c>
      <c r="C6" s="131">
        <f t="shared" ref="C6:C16" si="1">B6*4</f>
        <v>0.004</v>
      </c>
      <c r="D6" s="131">
        <f t="shared" ref="D6:D16" si="2">$B$20+$B$21*$A6+$B$22*$A6^2+$B$23*$A6^3</f>
        <v>-0.005253490817</v>
      </c>
      <c r="E6" s="131">
        <f t="shared" ref="E6:E16" si="3">$D6-$C6</f>
        <v>-0.009253490817</v>
      </c>
      <c r="F6" s="133">
        <f t="shared" ref="F6:F16" si="4">$E6^2</f>
        <v>0.0000856270923</v>
      </c>
    </row>
    <row r="7" ht="13.5" customHeight="1">
      <c r="A7" s="132">
        <v>1.0</v>
      </c>
      <c r="B7" s="131">
        <v>0.171</v>
      </c>
      <c r="C7" s="131">
        <f t="shared" si="1"/>
        <v>0.684</v>
      </c>
      <c r="D7" s="131">
        <f t="shared" si="2"/>
        <v>0.6838988434</v>
      </c>
      <c r="E7" s="131">
        <f t="shared" si="3"/>
        <v>-0.0001011565646</v>
      </c>
      <c r="F7" s="133">
        <f t="shared" si="4"/>
        <v>0.00000001023265055</v>
      </c>
    </row>
    <row r="8" ht="13.5" customHeight="1">
      <c r="A8" s="132">
        <v>2.0</v>
      </c>
      <c r="B8" s="131">
        <v>0.344</v>
      </c>
      <c r="C8" s="131">
        <f t="shared" si="1"/>
        <v>1.376</v>
      </c>
      <c r="D8" s="131">
        <f t="shared" si="2"/>
        <v>1.384389306</v>
      </c>
      <c r="E8" s="131">
        <f t="shared" si="3"/>
        <v>0.008389306472</v>
      </c>
      <c r="F8" s="133">
        <f t="shared" si="4"/>
        <v>0.00007038046308</v>
      </c>
    </row>
    <row r="9" ht="13.5" customHeight="1">
      <c r="A9" s="132">
        <v>3.0</v>
      </c>
      <c r="B9" s="131">
        <v>0.514</v>
      </c>
      <c r="C9" s="131">
        <f t="shared" si="1"/>
        <v>2.056</v>
      </c>
      <c r="D9" s="131">
        <f t="shared" si="2"/>
        <v>2.078021692</v>
      </c>
      <c r="E9" s="131">
        <f t="shared" si="3"/>
        <v>0.02202169221</v>
      </c>
      <c r="F9" s="133">
        <f t="shared" si="4"/>
        <v>0.0004849549279</v>
      </c>
    </row>
    <row r="10" ht="13.5" customHeight="1">
      <c r="A10" s="132">
        <v>4.0</v>
      </c>
      <c r="B10" s="131">
        <v>0.683</v>
      </c>
      <c r="C10" s="131">
        <f t="shared" si="1"/>
        <v>2.732</v>
      </c>
      <c r="D10" s="131">
        <f t="shared" si="2"/>
        <v>2.746599795</v>
      </c>
      <c r="E10" s="131">
        <f t="shared" si="3"/>
        <v>0.01459979457</v>
      </c>
      <c r="F10" s="133">
        <f t="shared" si="4"/>
        <v>0.0002131540016</v>
      </c>
    </row>
    <row r="11" ht="13.5" customHeight="1">
      <c r="A11" s="132">
        <v>5.0</v>
      </c>
      <c r="B11" s="131">
        <v>0.85</v>
      </c>
      <c r="C11" s="131">
        <f t="shared" si="1"/>
        <v>3.4</v>
      </c>
      <c r="D11" s="131">
        <f t="shared" si="2"/>
        <v>3.371927407</v>
      </c>
      <c r="E11" s="131">
        <f t="shared" si="3"/>
        <v>-0.02807259252</v>
      </c>
      <c r="F11" s="133">
        <f t="shared" si="4"/>
        <v>0.0007880704507</v>
      </c>
    </row>
    <row r="12" ht="13.5" customHeight="1">
      <c r="A12" s="132">
        <v>6.0</v>
      </c>
      <c r="B12" s="131">
        <v>0.995</v>
      </c>
      <c r="C12" s="131">
        <f t="shared" si="1"/>
        <v>3.98</v>
      </c>
      <c r="D12" s="131">
        <f t="shared" si="2"/>
        <v>3.935808325</v>
      </c>
      <c r="E12" s="131">
        <f t="shared" si="3"/>
        <v>-0.04419167515</v>
      </c>
      <c r="F12" s="133">
        <f t="shared" si="4"/>
        <v>0.001952904152</v>
      </c>
    </row>
    <row r="13" ht="13.5" customHeight="1">
      <c r="A13" s="132">
        <v>7.0</v>
      </c>
      <c r="B13" s="131">
        <v>1.105</v>
      </c>
      <c r="C13" s="131">
        <f t="shared" si="1"/>
        <v>4.42</v>
      </c>
      <c r="D13" s="131">
        <f t="shared" si="2"/>
        <v>4.420046341</v>
      </c>
      <c r="E13" s="131">
        <f t="shared" si="3"/>
        <v>0.00004634060438</v>
      </c>
      <c r="F13" s="133">
        <f t="shared" si="4"/>
        <v>0.000000002147451615</v>
      </c>
    </row>
    <row r="14" ht="13.5" customHeight="1">
      <c r="A14" s="132">
        <v>8.0</v>
      </c>
      <c r="B14" s="131">
        <v>1.194</v>
      </c>
      <c r="C14" s="131">
        <f t="shared" si="1"/>
        <v>4.776</v>
      </c>
      <c r="D14" s="131">
        <f t="shared" si="2"/>
        <v>4.806445249</v>
      </c>
      <c r="E14" s="131">
        <f t="shared" si="3"/>
        <v>0.03044524866</v>
      </c>
      <c r="F14" s="133">
        <f t="shared" si="4"/>
        <v>0.000926913166</v>
      </c>
    </row>
    <row r="15" ht="13.5" customHeight="1">
      <c r="A15" s="132">
        <v>9.0</v>
      </c>
      <c r="B15" s="131">
        <v>1.26</v>
      </c>
      <c r="C15" s="131">
        <f t="shared" si="1"/>
        <v>5.04</v>
      </c>
      <c r="D15" s="131">
        <f t="shared" si="2"/>
        <v>5.076808843</v>
      </c>
      <c r="E15" s="131">
        <f t="shared" si="3"/>
        <v>0.03680884294</v>
      </c>
      <c r="F15" s="133">
        <f t="shared" si="4"/>
        <v>0.001354890919</v>
      </c>
    </row>
    <row r="16" ht="13.5" customHeight="1">
      <c r="A16" s="132">
        <v>10.0</v>
      </c>
      <c r="B16" s="131">
        <v>1.311</v>
      </c>
      <c r="C16" s="131">
        <f t="shared" si="1"/>
        <v>5.244</v>
      </c>
      <c r="D16" s="131">
        <f t="shared" si="2"/>
        <v>5.212940917</v>
      </c>
      <c r="E16" s="131">
        <f t="shared" si="3"/>
        <v>-0.03105908264</v>
      </c>
      <c r="F16" s="133">
        <f t="shared" si="4"/>
        <v>0.0009646666144</v>
      </c>
    </row>
    <row r="17" ht="13.5" customHeight="1">
      <c r="F17" s="133">
        <f>SUM(F6:F16)</f>
        <v>0.006841574167</v>
      </c>
    </row>
    <row r="18" ht="13.5" customHeight="1"/>
    <row r="19" ht="13.5" customHeight="1">
      <c r="A19" s="5" t="s">
        <v>135</v>
      </c>
    </row>
    <row r="20" ht="13.5" customHeight="1">
      <c r="A20" s="5" t="s">
        <v>136</v>
      </c>
      <c r="B20" s="134">
        <v>-0.005253490817218636</v>
      </c>
    </row>
    <row r="21" ht="13.5" customHeight="1">
      <c r="A21" s="5" t="s">
        <v>137</v>
      </c>
      <c r="B21" s="134">
        <v>0.6774178678341372</v>
      </c>
    </row>
    <row r="22" ht="13.5" customHeight="1">
      <c r="A22" s="5" t="s">
        <v>138</v>
      </c>
      <c r="B22" s="134">
        <v>0.014767167431876898</v>
      </c>
    </row>
    <row r="23" ht="13.5" customHeight="1">
      <c r="A23" s="5" t="s">
        <v>139</v>
      </c>
      <c r="B23" s="134">
        <v>-0.003032701013350805</v>
      </c>
    </row>
    <row r="24" ht="13.5" customHeight="1">
      <c r="B24" s="134"/>
    </row>
    <row r="25" ht="13.5" customHeight="1"/>
    <row r="26" ht="13.5" customHeight="1">
      <c r="A26" s="5" t="s">
        <v>131</v>
      </c>
      <c r="B26" s="5" t="s">
        <v>9</v>
      </c>
      <c r="C26" s="5" t="s">
        <v>140</v>
      </c>
      <c r="D26" s="131" t="s">
        <v>132</v>
      </c>
      <c r="E26" s="5" t="s">
        <v>133</v>
      </c>
      <c r="F26" s="133" t="s">
        <v>134</v>
      </c>
    </row>
    <row r="27" ht="13.5" customHeight="1">
      <c r="A27" s="132">
        <v>0.0</v>
      </c>
      <c r="B27" s="131">
        <v>0.001</v>
      </c>
      <c r="C27" s="131">
        <f t="shared" ref="C27:C37" si="5">B27*4</f>
        <v>0.004</v>
      </c>
      <c r="D27" s="131">
        <f t="shared" ref="D27:D37" si="6">$B$41+$B$42*$C27+$B$43*$C27^2+$B$44*$C27^3+$B$45*$C27^4</f>
        <v>0.02122622539</v>
      </c>
      <c r="E27" s="131">
        <f t="shared" ref="E27:E37" si="7">$D27-$A27</f>
        <v>0.02122622539</v>
      </c>
      <c r="F27" s="133">
        <f t="shared" ref="F27:F37" si="8">$E27^2</f>
        <v>0.0004505526442</v>
      </c>
    </row>
    <row r="28" ht="13.5" customHeight="1">
      <c r="A28" s="132">
        <v>1.0</v>
      </c>
      <c r="B28" s="131">
        <v>0.171</v>
      </c>
      <c r="C28" s="131">
        <f t="shared" si="5"/>
        <v>0.684</v>
      </c>
      <c r="D28" s="131">
        <f t="shared" si="6"/>
        <v>0.9416923218</v>
      </c>
      <c r="E28" s="131">
        <f t="shared" si="7"/>
        <v>-0.05830767815</v>
      </c>
      <c r="F28" s="133">
        <f t="shared" si="8"/>
        <v>0.003399785332</v>
      </c>
    </row>
    <row r="29" ht="13.5" customHeight="1">
      <c r="A29" s="132">
        <v>2.0</v>
      </c>
      <c r="B29" s="131">
        <v>0.344</v>
      </c>
      <c r="C29" s="131">
        <f t="shared" si="5"/>
        <v>1.376</v>
      </c>
      <c r="D29" s="131">
        <f t="shared" si="6"/>
        <v>2.021062084</v>
      </c>
      <c r="E29" s="131">
        <f t="shared" si="7"/>
        <v>0.02106208442</v>
      </c>
      <c r="F29" s="133">
        <f t="shared" si="8"/>
        <v>0.0004436114001</v>
      </c>
    </row>
    <row r="30" ht="13.5" customHeight="1">
      <c r="A30" s="132">
        <v>3.0</v>
      </c>
      <c r="B30" s="131">
        <v>0.514</v>
      </c>
      <c r="C30" s="131">
        <f t="shared" si="5"/>
        <v>2.056</v>
      </c>
      <c r="D30" s="131">
        <f t="shared" si="6"/>
        <v>3.048181259</v>
      </c>
      <c r="E30" s="131">
        <f t="shared" si="7"/>
        <v>0.04818125894</v>
      </c>
      <c r="F30" s="133">
        <f t="shared" si="8"/>
        <v>0.002321433713</v>
      </c>
    </row>
    <row r="31" ht="13.5" customHeight="1">
      <c r="A31" s="132">
        <v>4.0</v>
      </c>
      <c r="B31" s="131">
        <v>0.683</v>
      </c>
      <c r="C31" s="131">
        <f t="shared" si="5"/>
        <v>2.732</v>
      </c>
      <c r="D31" s="131">
        <f t="shared" si="6"/>
        <v>3.998424217</v>
      </c>
      <c r="E31" s="131">
        <f t="shared" si="7"/>
        <v>-0.001575782928</v>
      </c>
      <c r="F31" s="133">
        <f t="shared" si="8"/>
        <v>0.000002483091837</v>
      </c>
    </row>
    <row r="32" ht="13.5" customHeight="1">
      <c r="A32" s="132">
        <v>5.0</v>
      </c>
      <c r="B32" s="131">
        <v>0.85</v>
      </c>
      <c r="C32" s="131">
        <f t="shared" si="5"/>
        <v>3.4</v>
      </c>
      <c r="D32" s="131">
        <f t="shared" si="6"/>
        <v>4.959025834</v>
      </c>
      <c r="E32" s="131">
        <f t="shared" si="7"/>
        <v>-0.040974166</v>
      </c>
      <c r="F32" s="133">
        <f t="shared" si="8"/>
        <v>0.001678882279</v>
      </c>
    </row>
    <row r="33" ht="13.5" customHeight="1">
      <c r="A33" s="132">
        <v>6.0</v>
      </c>
      <c r="B33" s="131">
        <v>0.995</v>
      </c>
      <c r="C33" s="131">
        <f t="shared" si="5"/>
        <v>3.98</v>
      </c>
      <c r="D33" s="131">
        <f t="shared" si="6"/>
        <v>5.974028416</v>
      </c>
      <c r="E33" s="131">
        <f t="shared" si="7"/>
        <v>-0.02597158406</v>
      </c>
      <c r="F33" s="133">
        <f t="shared" si="8"/>
        <v>0.0006745231786</v>
      </c>
    </row>
    <row r="34" ht="13.5" customHeight="1">
      <c r="A34" s="132">
        <v>7.0</v>
      </c>
      <c r="B34" s="131">
        <v>1.105</v>
      </c>
      <c r="C34" s="131">
        <f t="shared" si="5"/>
        <v>4.42</v>
      </c>
      <c r="D34" s="131">
        <f t="shared" si="6"/>
        <v>6.99150014</v>
      </c>
      <c r="E34" s="131">
        <f t="shared" si="7"/>
        <v>-0.008499859973</v>
      </c>
      <c r="F34" s="133">
        <f t="shared" si="8"/>
        <v>0.00007224761956</v>
      </c>
    </row>
    <row r="35" ht="13.5" customHeight="1">
      <c r="A35" s="132">
        <v>8.0</v>
      </c>
      <c r="B35" s="131">
        <v>1.194</v>
      </c>
      <c r="C35" s="131">
        <f t="shared" si="5"/>
        <v>4.776</v>
      </c>
      <c r="D35" s="131">
        <f t="shared" si="6"/>
        <v>8.061224215</v>
      </c>
      <c r="E35" s="131">
        <f t="shared" si="7"/>
        <v>0.06122421487</v>
      </c>
      <c r="F35" s="133">
        <f t="shared" si="8"/>
        <v>0.003748404487</v>
      </c>
    </row>
    <row r="36" ht="13.5" customHeight="1">
      <c r="A36" s="132">
        <v>9.0</v>
      </c>
      <c r="B36" s="131">
        <v>1.26</v>
      </c>
      <c r="C36" s="131">
        <f t="shared" si="5"/>
        <v>5.04</v>
      </c>
      <c r="D36" s="131">
        <f t="shared" si="6"/>
        <v>9.044395085</v>
      </c>
      <c r="E36" s="131">
        <f t="shared" si="7"/>
        <v>0.0443950849</v>
      </c>
      <c r="F36" s="133">
        <f t="shared" si="8"/>
        <v>0.001970923563</v>
      </c>
    </row>
    <row r="37" ht="13.5" customHeight="1">
      <c r="A37" s="132">
        <v>10.0</v>
      </c>
      <c r="B37" s="131">
        <v>1.311</v>
      </c>
      <c r="C37" s="131">
        <f t="shared" si="5"/>
        <v>5.244</v>
      </c>
      <c r="D37" s="131">
        <f t="shared" si="6"/>
        <v>9.938995082</v>
      </c>
      <c r="E37" s="131">
        <f t="shared" si="7"/>
        <v>-0.06100491791</v>
      </c>
      <c r="F37" s="133">
        <f t="shared" si="8"/>
        <v>0.003721600009</v>
      </c>
    </row>
    <row r="38" ht="13.5" customHeight="1">
      <c r="F38" s="133">
        <f>SUM(F27:F37)</f>
        <v>0.01848444732</v>
      </c>
    </row>
    <row r="39" ht="13.5" customHeight="1"/>
    <row r="40" ht="13.5" customHeight="1">
      <c r="A40" s="5" t="s">
        <v>135</v>
      </c>
    </row>
    <row r="41" ht="13.5" customHeight="1">
      <c r="A41" s="5" t="s">
        <v>136</v>
      </c>
      <c r="B41" s="134">
        <v>0.016764653465151495</v>
      </c>
    </row>
    <row r="42" ht="13.5" customHeight="1">
      <c r="A42" s="5" t="s">
        <v>137</v>
      </c>
      <c r="B42" s="134">
        <v>1.113508658290066</v>
      </c>
    </row>
    <row r="43" ht="13.5" customHeight="1">
      <c r="A43" s="5" t="s">
        <v>138</v>
      </c>
      <c r="B43" s="134">
        <v>0.47186940400571237</v>
      </c>
    </row>
    <row r="44" ht="14.25" customHeight="1">
      <c r="A44" s="5" t="s">
        <v>139</v>
      </c>
      <c r="B44" s="134">
        <v>-0.19730669245078475</v>
      </c>
    </row>
    <row r="45" ht="14.25" customHeight="1">
      <c r="A45" s="5" t="s">
        <v>151</v>
      </c>
      <c r="B45" s="134">
        <v>0.025865229045165198</v>
      </c>
      <c r="I45" s="5" t="s">
        <v>141</v>
      </c>
      <c r="K45" s="135">
        <v>35.0</v>
      </c>
    </row>
    <row r="46" ht="13.5" customHeight="1">
      <c r="I46" s="5" t="s">
        <v>142</v>
      </c>
      <c r="K46" s="131">
        <f>$B$20+$B$21*K45/100+$B$22*K45^2*0.0001+$B$23*K45^3*0.000001</f>
        <v>0.2335217139</v>
      </c>
    </row>
    <row r="47" ht="14.25" customHeight="1"/>
    <row r="48" ht="14.25" customHeight="1">
      <c r="I48" s="5" t="s">
        <v>143</v>
      </c>
      <c r="K48" s="136">
        <v>0.24</v>
      </c>
    </row>
    <row r="49" ht="13.5" customHeight="1">
      <c r="I49" s="5" t="s">
        <v>144</v>
      </c>
      <c r="K49" s="81">
        <f>$B$41*100+$B$42*K48*100+$B$43*K48^2*100+$B$44*K48^3*100+$B$45*K48*100</f>
        <v>31.46664964</v>
      </c>
    </row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0.63"/>
    <col customWidth="1" min="3" max="3" width="11.25"/>
    <col customWidth="1" min="4" max="5" width="8.0"/>
    <col customWidth="1" min="6" max="6" width="9.5"/>
    <col customWidth="1" min="7" max="26" width="8.0"/>
  </cols>
  <sheetData>
    <row r="1" ht="13.5" customHeight="1">
      <c r="A1" s="129" t="s">
        <v>86</v>
      </c>
      <c r="B1" s="130" t="s">
        <v>100</v>
      </c>
    </row>
    <row r="2" ht="13.5" customHeight="1">
      <c r="A2" s="5" t="s">
        <v>145</v>
      </c>
    </row>
    <row r="3" ht="13.5" customHeight="1">
      <c r="A3" s="5" t="s">
        <v>153</v>
      </c>
    </row>
    <row r="4" ht="13.5" customHeight="1"/>
    <row r="5" ht="13.5" customHeight="1">
      <c r="A5" s="5" t="s">
        <v>131</v>
      </c>
      <c r="B5" s="5" t="s">
        <v>9</v>
      </c>
      <c r="C5" s="5" t="s">
        <v>140</v>
      </c>
      <c r="D5" s="131" t="s">
        <v>132</v>
      </c>
      <c r="E5" s="5" t="s">
        <v>133</v>
      </c>
      <c r="F5" s="133" t="s">
        <v>134</v>
      </c>
    </row>
    <row r="6" ht="13.5" customHeight="1">
      <c r="A6" s="132">
        <v>0.0</v>
      </c>
      <c r="B6" s="131">
        <v>0.0139</v>
      </c>
      <c r="C6" s="131">
        <f t="shared" ref="C6:C26" si="1">B6*2</f>
        <v>0.0278</v>
      </c>
      <c r="D6" s="131">
        <f t="shared" ref="D6:D26" si="2">$B$30+$B$31*$A6+$B$32*$A6^2+$B$33*$A6^3</f>
        <v>0.05458204946</v>
      </c>
      <c r="E6" s="131">
        <f t="shared" ref="E6:E26" si="3">$D6-$C6</f>
        <v>0.02678204946</v>
      </c>
      <c r="F6" s="133">
        <f t="shared" ref="F6:F26" si="4">$E6^2</f>
        <v>0.0007172781735</v>
      </c>
    </row>
    <row r="7" ht="13.5" customHeight="1">
      <c r="A7" s="132">
        <v>1.0</v>
      </c>
      <c r="B7" s="131">
        <v>0.3914</v>
      </c>
      <c r="C7" s="131">
        <f t="shared" si="1"/>
        <v>0.7828</v>
      </c>
      <c r="D7" s="131">
        <f t="shared" si="2"/>
        <v>0.7587418648</v>
      </c>
      <c r="E7" s="131">
        <f t="shared" si="3"/>
        <v>-0.02405813522</v>
      </c>
      <c r="F7" s="133">
        <f t="shared" si="4"/>
        <v>0.00057879387</v>
      </c>
    </row>
    <row r="8" ht="13.5" customHeight="1">
      <c r="A8" s="132">
        <v>2.0</v>
      </c>
      <c r="B8" s="131">
        <v>0.7584</v>
      </c>
      <c r="C8" s="131">
        <f t="shared" si="1"/>
        <v>1.5168</v>
      </c>
      <c r="D8" s="131">
        <f t="shared" si="2"/>
        <v>1.488913221</v>
      </c>
      <c r="E8" s="131">
        <f t="shared" si="3"/>
        <v>-0.02788677927</v>
      </c>
      <c r="F8" s="133">
        <f t="shared" si="4"/>
        <v>0.0007776724579</v>
      </c>
    </row>
    <row r="9" ht="13.5" customHeight="1">
      <c r="A9" s="132">
        <v>3.0</v>
      </c>
      <c r="B9" s="131">
        <v>1.1327</v>
      </c>
      <c r="C9" s="131">
        <f t="shared" si="1"/>
        <v>2.2654</v>
      </c>
      <c r="D9" s="131">
        <f t="shared" si="2"/>
        <v>2.238637589</v>
      </c>
      <c r="E9" s="131">
        <f t="shared" si="3"/>
        <v>-0.02676241113</v>
      </c>
      <c r="F9" s="133">
        <f t="shared" si="4"/>
        <v>0.0007162266496</v>
      </c>
    </row>
    <row r="10" ht="13.5" customHeight="1">
      <c r="A10" s="132">
        <v>4.0</v>
      </c>
      <c r="B10" s="131">
        <v>1.5021</v>
      </c>
      <c r="C10" s="131">
        <f t="shared" si="1"/>
        <v>3.0042</v>
      </c>
      <c r="D10" s="131">
        <f t="shared" si="2"/>
        <v>3.001456441</v>
      </c>
      <c r="E10" s="131">
        <f t="shared" si="3"/>
        <v>-0.002743559248</v>
      </c>
      <c r="F10" s="133">
        <f t="shared" si="4"/>
        <v>0.000007527117345</v>
      </c>
    </row>
    <row r="11" ht="13.5" customHeight="1">
      <c r="A11" s="132">
        <v>5.0</v>
      </c>
      <c r="B11" s="131">
        <v>1.8797</v>
      </c>
      <c r="C11" s="131">
        <f t="shared" si="1"/>
        <v>3.7594</v>
      </c>
      <c r="D11" s="131">
        <f t="shared" si="2"/>
        <v>3.770911248</v>
      </c>
      <c r="E11" s="131">
        <f t="shared" si="3"/>
        <v>0.01151124795</v>
      </c>
      <c r="F11" s="133">
        <f t="shared" si="4"/>
        <v>0.0001325088293</v>
      </c>
    </row>
    <row r="12" ht="13.5" customHeight="1">
      <c r="A12" s="132">
        <v>6.0</v>
      </c>
      <c r="B12" s="131">
        <v>2.2504</v>
      </c>
      <c r="C12" s="131">
        <f t="shared" si="1"/>
        <v>4.5008</v>
      </c>
      <c r="D12" s="131">
        <f t="shared" si="2"/>
        <v>4.540543482</v>
      </c>
      <c r="E12" s="131">
        <f t="shared" si="3"/>
        <v>0.03974348202</v>
      </c>
      <c r="F12" s="133">
        <f t="shared" si="4"/>
        <v>0.001579544363</v>
      </c>
    </row>
    <row r="13" ht="13.5" customHeight="1">
      <c r="A13" s="132">
        <v>7.0</v>
      </c>
      <c r="B13" s="131">
        <v>2.6289</v>
      </c>
      <c r="C13" s="131">
        <f t="shared" si="1"/>
        <v>5.2578</v>
      </c>
      <c r="D13" s="131">
        <f t="shared" si="2"/>
        <v>5.303894615</v>
      </c>
      <c r="E13" s="131">
        <f t="shared" si="3"/>
        <v>0.04609461452</v>
      </c>
      <c r="F13" s="133">
        <f t="shared" si="4"/>
        <v>0.002124713488</v>
      </c>
    </row>
    <row r="14" ht="13.5" customHeight="1">
      <c r="A14" s="132">
        <v>8.0</v>
      </c>
      <c r="B14" s="131">
        <v>3.0053</v>
      </c>
      <c r="C14" s="131">
        <f t="shared" si="1"/>
        <v>6.0106</v>
      </c>
      <c r="D14" s="131">
        <f t="shared" si="2"/>
        <v>6.054506117</v>
      </c>
      <c r="E14" s="131">
        <f t="shared" si="3"/>
        <v>0.04390611702</v>
      </c>
      <c r="F14" s="133">
        <f t="shared" si="4"/>
        <v>0.001927747112</v>
      </c>
    </row>
    <row r="15" ht="13.5" customHeight="1">
      <c r="A15" s="132">
        <v>9.0</v>
      </c>
      <c r="B15" s="131">
        <v>3.3842</v>
      </c>
      <c r="C15" s="131">
        <f t="shared" si="1"/>
        <v>6.7684</v>
      </c>
      <c r="D15" s="131">
        <f t="shared" si="2"/>
        <v>6.785919461</v>
      </c>
      <c r="E15" s="131">
        <f t="shared" si="3"/>
        <v>0.01751946107</v>
      </c>
      <c r="F15" s="133">
        <f t="shared" si="4"/>
        <v>0.0003069315163</v>
      </c>
    </row>
    <row r="16" ht="13.5" customHeight="1">
      <c r="A16" s="132">
        <v>10.0</v>
      </c>
      <c r="B16" s="131">
        <v>3.7619</v>
      </c>
      <c r="C16" s="131">
        <f t="shared" si="1"/>
        <v>7.5238</v>
      </c>
      <c r="D16" s="131">
        <f t="shared" si="2"/>
        <v>7.491676118</v>
      </c>
      <c r="E16" s="131">
        <f t="shared" si="3"/>
        <v>-0.03212388175</v>
      </c>
      <c r="F16" s="133">
        <f t="shared" si="4"/>
        <v>0.001031943779</v>
      </c>
    </row>
    <row r="17" ht="13.5" customHeight="1">
      <c r="A17" s="132">
        <v>11.0</v>
      </c>
      <c r="B17" s="131">
        <v>4.1114</v>
      </c>
      <c r="C17" s="131">
        <f t="shared" si="1"/>
        <v>8.2228</v>
      </c>
      <c r="D17" s="131">
        <f t="shared" si="2"/>
        <v>8.16531756</v>
      </c>
      <c r="E17" s="131">
        <f t="shared" si="3"/>
        <v>-0.05748243989</v>
      </c>
      <c r="F17" s="133">
        <f t="shared" si="4"/>
        <v>0.003304230896</v>
      </c>
    </row>
    <row r="18" ht="13.5" customHeight="1">
      <c r="A18" s="132">
        <v>12.0</v>
      </c>
      <c r="B18" s="131">
        <v>4.43</v>
      </c>
      <c r="C18" s="131">
        <f t="shared" si="1"/>
        <v>8.86</v>
      </c>
      <c r="D18" s="131">
        <f t="shared" si="2"/>
        <v>8.800385258</v>
      </c>
      <c r="E18" s="131">
        <f t="shared" si="3"/>
        <v>-0.0596147418</v>
      </c>
      <c r="F18" s="133">
        <f t="shared" si="4"/>
        <v>0.003553917439</v>
      </c>
    </row>
    <row r="19" ht="13.5" customHeight="1">
      <c r="A19" s="132">
        <v>13.0</v>
      </c>
      <c r="B19" s="131">
        <v>4.7111</v>
      </c>
      <c r="C19" s="131">
        <f t="shared" si="1"/>
        <v>9.4222</v>
      </c>
      <c r="D19" s="131">
        <f t="shared" si="2"/>
        <v>9.390420684</v>
      </c>
      <c r="E19" s="131">
        <f t="shared" si="3"/>
        <v>-0.03177931589</v>
      </c>
      <c r="F19" s="133">
        <f t="shared" si="4"/>
        <v>0.001009924919</v>
      </c>
    </row>
    <row r="20" ht="13.5" customHeight="1">
      <c r="A20" s="132">
        <v>14.0</v>
      </c>
      <c r="B20" s="131">
        <v>4.968</v>
      </c>
      <c r="C20" s="131">
        <f t="shared" si="1"/>
        <v>9.936</v>
      </c>
      <c r="D20" s="131">
        <f t="shared" si="2"/>
        <v>9.928965309</v>
      </c>
      <c r="E20" s="131">
        <f t="shared" si="3"/>
        <v>-0.007034690626</v>
      </c>
      <c r="F20" s="133">
        <f t="shared" si="4"/>
        <v>0.0000494868722</v>
      </c>
    </row>
    <row r="21" ht="13.5" customHeight="1">
      <c r="A21" s="132">
        <v>15.0</v>
      </c>
      <c r="B21" s="131">
        <v>5.2004</v>
      </c>
      <c r="C21" s="131">
        <f t="shared" si="1"/>
        <v>10.4008</v>
      </c>
      <c r="D21" s="131">
        <f t="shared" si="2"/>
        <v>10.40956061</v>
      </c>
      <c r="E21" s="131">
        <f t="shared" si="3"/>
        <v>0.008760605569</v>
      </c>
      <c r="F21" s="133">
        <f t="shared" si="4"/>
        <v>0.00007674820994</v>
      </c>
    </row>
    <row r="22" ht="13.5" customHeight="1">
      <c r="A22" s="132">
        <v>16.0</v>
      </c>
      <c r="B22" s="131">
        <v>5.403</v>
      </c>
      <c r="C22" s="131">
        <f t="shared" si="1"/>
        <v>10.806</v>
      </c>
      <c r="D22" s="131">
        <f t="shared" si="2"/>
        <v>10.82574804</v>
      </c>
      <c r="E22" s="131">
        <f t="shared" si="3"/>
        <v>0.01974804425</v>
      </c>
      <c r="F22" s="133">
        <f t="shared" si="4"/>
        <v>0.0003899852518</v>
      </c>
    </row>
    <row r="23" ht="13.5" customHeight="1">
      <c r="A23" s="132">
        <v>17.0</v>
      </c>
      <c r="B23" s="131">
        <v>5.5637</v>
      </c>
      <c r="C23" s="131">
        <f t="shared" si="1"/>
        <v>11.1274</v>
      </c>
      <c r="D23" s="131">
        <f t="shared" si="2"/>
        <v>11.1710691</v>
      </c>
      <c r="E23" s="131">
        <f t="shared" si="3"/>
        <v>0.04366909699</v>
      </c>
      <c r="F23" s="133">
        <f t="shared" si="4"/>
        <v>0.001906990032</v>
      </c>
    </row>
    <row r="24" ht="13.5" customHeight="1">
      <c r="A24" s="132">
        <v>18.0</v>
      </c>
      <c r="B24" s="131">
        <v>5.6892</v>
      </c>
      <c r="C24" s="131">
        <f t="shared" si="1"/>
        <v>11.3784</v>
      </c>
      <c r="D24" s="131">
        <f t="shared" si="2"/>
        <v>11.43906524</v>
      </c>
      <c r="E24" s="131">
        <f t="shared" si="3"/>
        <v>0.06066523533</v>
      </c>
      <c r="F24" s="133">
        <f t="shared" si="4"/>
        <v>0.003680270778</v>
      </c>
    </row>
    <row r="25" ht="13.5" customHeight="1">
      <c r="A25" s="132">
        <v>19.0</v>
      </c>
      <c r="B25" s="131">
        <v>5.7987</v>
      </c>
      <c r="C25" s="131">
        <f t="shared" si="1"/>
        <v>11.5974</v>
      </c>
      <c r="D25" s="131">
        <f t="shared" si="2"/>
        <v>11.62327793</v>
      </c>
      <c r="E25" s="131">
        <f t="shared" si="3"/>
        <v>0.02587793085</v>
      </c>
      <c r="F25" s="133">
        <f t="shared" si="4"/>
        <v>0.0006696673052</v>
      </c>
    </row>
    <row r="26" ht="13.5" customHeight="1">
      <c r="A26" s="132">
        <v>20.0</v>
      </c>
      <c r="B26" s="131">
        <v>5.8973</v>
      </c>
      <c r="C26" s="131">
        <f t="shared" si="1"/>
        <v>11.7946</v>
      </c>
      <c r="D26" s="131">
        <f t="shared" si="2"/>
        <v>11.71724866</v>
      </c>
      <c r="E26" s="131">
        <f t="shared" si="3"/>
        <v>-0.07735134489</v>
      </c>
      <c r="F26" s="133">
        <f t="shared" si="4"/>
        <v>0.005983230557</v>
      </c>
    </row>
    <row r="27" ht="13.5" customHeight="1">
      <c r="F27" s="133">
        <f>SUM(F6:F26)</f>
        <v>0.03052533961</v>
      </c>
    </row>
    <row r="28" ht="13.5" customHeight="1"/>
    <row r="29" ht="13.5" customHeight="1">
      <c r="A29" s="5" t="s">
        <v>135</v>
      </c>
    </row>
    <row r="30" ht="13.5" customHeight="1">
      <c r="A30" s="5" t="s">
        <v>136</v>
      </c>
      <c r="B30" s="134">
        <v>0.05458204946360268</v>
      </c>
    </row>
    <row r="31" ht="13.5" customHeight="1">
      <c r="A31" s="5" t="s">
        <v>137</v>
      </c>
      <c r="B31" s="134">
        <v>0.6890012021952739</v>
      </c>
    </row>
    <row r="32" ht="13.5" customHeight="1">
      <c r="A32" s="5" t="s">
        <v>138</v>
      </c>
      <c r="B32" s="134">
        <v>0.016235034532329967</v>
      </c>
    </row>
    <row r="33" ht="13.5" customHeight="1">
      <c r="A33" s="5" t="s">
        <v>139</v>
      </c>
      <c r="B33" s="134">
        <v>-0.0010764214063993505</v>
      </c>
    </row>
    <row r="34" ht="13.5" customHeight="1"/>
    <row r="35" ht="13.5" customHeight="1"/>
    <row r="36" ht="13.5" customHeight="1">
      <c r="A36" s="5" t="s">
        <v>131</v>
      </c>
      <c r="B36" s="5" t="s">
        <v>9</v>
      </c>
      <c r="C36" s="5" t="s">
        <v>140</v>
      </c>
      <c r="D36" s="131" t="s">
        <v>132</v>
      </c>
      <c r="E36" s="5" t="s">
        <v>133</v>
      </c>
      <c r="F36" s="133" t="s">
        <v>134</v>
      </c>
    </row>
    <row r="37" ht="13.5" customHeight="1">
      <c r="A37" s="132">
        <v>0.0</v>
      </c>
      <c r="B37" s="131">
        <v>0.0139</v>
      </c>
      <c r="C37" s="131">
        <f t="shared" ref="C37:C57" si="5">B37*2</f>
        <v>0.0278</v>
      </c>
      <c r="D37" s="131">
        <f t="shared" ref="D37:D57" si="6">$B$61+$B$62*$C37+$B$63*$C37^2+$B$64*$C37^3+$B$65*$C37^4</f>
        <v>0.03925961463</v>
      </c>
      <c r="E37" s="131">
        <f t="shared" ref="E37:E57" si="7">$D37-$A37</f>
        <v>0.03925961463</v>
      </c>
      <c r="F37" s="133">
        <f t="shared" ref="F37:F57" si="8">$E37^2</f>
        <v>0.001541317341</v>
      </c>
    </row>
    <row r="38" ht="13.5" customHeight="1">
      <c r="A38" s="132">
        <v>1.0</v>
      </c>
      <c r="B38" s="131">
        <v>0.3914</v>
      </c>
      <c r="C38" s="131">
        <f t="shared" si="5"/>
        <v>0.7828</v>
      </c>
      <c r="D38" s="131">
        <f t="shared" si="6"/>
        <v>0.9094884201</v>
      </c>
      <c r="E38" s="131">
        <f t="shared" si="7"/>
        <v>-0.0905115799</v>
      </c>
      <c r="F38" s="133">
        <f t="shared" si="8"/>
        <v>0.008192346095</v>
      </c>
    </row>
    <row r="39" ht="13.5" customHeight="1">
      <c r="A39" s="132">
        <v>2.0</v>
      </c>
      <c r="B39" s="131">
        <v>0.7584</v>
      </c>
      <c r="C39" s="131">
        <f t="shared" si="5"/>
        <v>1.5168</v>
      </c>
      <c r="D39" s="131">
        <f t="shared" si="6"/>
        <v>1.889667404</v>
      </c>
      <c r="E39" s="131">
        <f t="shared" si="7"/>
        <v>-0.1103325956</v>
      </c>
      <c r="F39" s="133">
        <f t="shared" si="8"/>
        <v>0.01217328164</v>
      </c>
    </row>
    <row r="40" ht="13.5" customHeight="1">
      <c r="A40" s="132">
        <v>3.0</v>
      </c>
      <c r="B40" s="131">
        <v>1.1327</v>
      </c>
      <c r="C40" s="131">
        <f t="shared" si="5"/>
        <v>2.2654</v>
      </c>
      <c r="D40" s="131">
        <f t="shared" si="6"/>
        <v>2.957454691</v>
      </c>
      <c r="E40" s="131">
        <f t="shared" si="7"/>
        <v>-0.04254530878</v>
      </c>
      <c r="F40" s="133">
        <f t="shared" si="8"/>
        <v>0.001810103299</v>
      </c>
    </row>
    <row r="41" ht="13.5" customHeight="1">
      <c r="A41" s="132">
        <v>4.0</v>
      </c>
      <c r="B41" s="131">
        <v>1.5021</v>
      </c>
      <c r="C41" s="131">
        <f t="shared" si="5"/>
        <v>3.0042</v>
      </c>
      <c r="D41" s="131">
        <f t="shared" si="6"/>
        <v>4.027035283</v>
      </c>
      <c r="E41" s="131">
        <f t="shared" si="7"/>
        <v>0.02703528254</v>
      </c>
      <c r="F41" s="133">
        <f t="shared" si="8"/>
        <v>0.0007309065018</v>
      </c>
    </row>
    <row r="42" ht="13.5" customHeight="1">
      <c r="A42" s="132">
        <v>5.0</v>
      </c>
      <c r="B42" s="131">
        <v>1.8797</v>
      </c>
      <c r="C42" s="131">
        <f t="shared" si="5"/>
        <v>3.7594</v>
      </c>
      <c r="D42" s="131">
        <f t="shared" si="6"/>
        <v>5.09885459</v>
      </c>
      <c r="E42" s="131">
        <f t="shared" si="7"/>
        <v>0.09885458963</v>
      </c>
      <c r="F42" s="133">
        <f t="shared" si="8"/>
        <v>0.009772229891</v>
      </c>
    </row>
    <row r="43" ht="13.5" customHeight="1">
      <c r="A43" s="132">
        <v>6.0</v>
      </c>
      <c r="B43" s="131">
        <v>2.2504</v>
      </c>
      <c r="C43" s="131">
        <f t="shared" si="5"/>
        <v>4.5008</v>
      </c>
      <c r="D43" s="131">
        <f t="shared" si="6"/>
        <v>6.108568089</v>
      </c>
      <c r="E43" s="131">
        <f t="shared" si="7"/>
        <v>0.108568089</v>
      </c>
      <c r="F43" s="133">
        <f t="shared" si="8"/>
        <v>0.01178702994</v>
      </c>
    </row>
    <row r="44" ht="13.5" customHeight="1">
      <c r="A44" s="132">
        <v>7.0</v>
      </c>
      <c r="B44" s="131">
        <v>2.6289</v>
      </c>
      <c r="C44" s="131">
        <f t="shared" si="5"/>
        <v>5.2578</v>
      </c>
      <c r="D44" s="131">
        <f t="shared" si="6"/>
        <v>7.090137605</v>
      </c>
      <c r="E44" s="131">
        <f t="shared" si="7"/>
        <v>0.09013760493</v>
      </c>
      <c r="F44" s="133">
        <f t="shared" si="8"/>
        <v>0.008124787823</v>
      </c>
    </row>
    <row r="45" ht="13.5" customHeight="1">
      <c r="A45" s="132">
        <v>8.0</v>
      </c>
      <c r="B45" s="131">
        <v>3.0053</v>
      </c>
      <c r="C45" s="131">
        <f t="shared" si="5"/>
        <v>6.0106</v>
      </c>
      <c r="D45" s="131">
        <f t="shared" si="6"/>
        <v>8.027037877</v>
      </c>
      <c r="E45" s="131">
        <f t="shared" si="7"/>
        <v>0.02703787686</v>
      </c>
      <c r="F45" s="133">
        <f t="shared" si="8"/>
        <v>0.0007310467853</v>
      </c>
    </row>
    <row r="46" ht="13.5" customHeight="1">
      <c r="A46" s="132">
        <v>9.0</v>
      </c>
      <c r="B46" s="131">
        <v>3.3842</v>
      </c>
      <c r="C46" s="131">
        <f t="shared" si="5"/>
        <v>6.7684</v>
      </c>
      <c r="D46" s="131">
        <f t="shared" si="6"/>
        <v>8.957514683</v>
      </c>
      <c r="E46" s="131">
        <f t="shared" si="7"/>
        <v>-0.04248531717</v>
      </c>
      <c r="F46" s="133">
        <f t="shared" si="8"/>
        <v>0.001805002175</v>
      </c>
    </row>
    <row r="47" ht="13.5" customHeight="1">
      <c r="A47" s="132">
        <v>10.0</v>
      </c>
      <c r="B47" s="131">
        <v>3.7619</v>
      </c>
      <c r="C47" s="131">
        <f t="shared" si="5"/>
        <v>7.5238</v>
      </c>
      <c r="D47" s="131">
        <f t="shared" si="6"/>
        <v>9.915701689</v>
      </c>
      <c r="E47" s="131">
        <f t="shared" si="7"/>
        <v>-0.08429831103</v>
      </c>
      <c r="F47" s="133">
        <f t="shared" si="8"/>
        <v>0.007106205243</v>
      </c>
    </row>
    <row r="48" ht="13.5" customHeight="1">
      <c r="A48" s="132">
        <v>11.0</v>
      </c>
      <c r="B48" s="131">
        <v>4.1114</v>
      </c>
      <c r="C48" s="131">
        <f t="shared" si="5"/>
        <v>8.2228</v>
      </c>
      <c r="D48" s="131">
        <f t="shared" si="6"/>
        <v>10.88123495</v>
      </c>
      <c r="E48" s="131">
        <f t="shared" si="7"/>
        <v>-0.1187650525</v>
      </c>
      <c r="F48" s="133">
        <f t="shared" si="8"/>
        <v>0.01410513771</v>
      </c>
    </row>
    <row r="49" ht="13.5" customHeight="1">
      <c r="A49" s="132">
        <v>12.0</v>
      </c>
      <c r="B49" s="131">
        <v>4.43</v>
      </c>
      <c r="C49" s="131">
        <f t="shared" si="5"/>
        <v>8.86</v>
      </c>
      <c r="D49" s="131">
        <f t="shared" si="6"/>
        <v>11.87902994</v>
      </c>
      <c r="E49" s="131">
        <f t="shared" si="7"/>
        <v>-0.1209700642</v>
      </c>
      <c r="F49" s="133">
        <f t="shared" si="8"/>
        <v>0.01463375643</v>
      </c>
    </row>
    <row r="50" ht="13.5" customHeight="1">
      <c r="A50" s="132">
        <v>13.0</v>
      </c>
      <c r="B50" s="131">
        <v>4.7111</v>
      </c>
      <c r="C50" s="131">
        <f t="shared" si="5"/>
        <v>9.4222</v>
      </c>
      <c r="D50" s="131">
        <f t="shared" si="6"/>
        <v>12.89675119</v>
      </c>
      <c r="E50" s="131">
        <f t="shared" si="7"/>
        <v>-0.1032488118</v>
      </c>
      <c r="F50" s="133">
        <f t="shared" si="8"/>
        <v>0.01066031714</v>
      </c>
    </row>
    <row r="51" ht="13.5" customHeight="1">
      <c r="A51" s="132">
        <v>14.0</v>
      </c>
      <c r="B51" s="131">
        <v>4.968</v>
      </c>
      <c r="C51" s="131">
        <f t="shared" si="5"/>
        <v>9.936</v>
      </c>
      <c r="D51" s="131">
        <f t="shared" si="6"/>
        <v>13.97700576</v>
      </c>
      <c r="E51" s="131">
        <f t="shared" si="7"/>
        <v>-0.0229942368</v>
      </c>
      <c r="F51" s="133">
        <f t="shared" si="8"/>
        <v>0.0005287349262</v>
      </c>
    </row>
    <row r="52" ht="13.5" customHeight="1">
      <c r="A52" s="132">
        <v>15.0</v>
      </c>
      <c r="B52" s="131">
        <v>5.2004</v>
      </c>
      <c r="C52" s="131">
        <f t="shared" si="5"/>
        <v>10.4008</v>
      </c>
      <c r="D52" s="131">
        <f t="shared" si="6"/>
        <v>15.1087518</v>
      </c>
      <c r="E52" s="131">
        <f t="shared" si="7"/>
        <v>0.1087518019</v>
      </c>
      <c r="F52" s="133">
        <f t="shared" si="8"/>
        <v>0.01182695443</v>
      </c>
    </row>
    <row r="53" ht="13.5" customHeight="1">
      <c r="A53" s="132">
        <v>16.0</v>
      </c>
      <c r="B53" s="131">
        <v>5.403</v>
      </c>
      <c r="C53" s="131">
        <f t="shared" si="5"/>
        <v>10.806</v>
      </c>
      <c r="D53" s="131">
        <f t="shared" si="6"/>
        <v>16.23869042</v>
      </c>
      <c r="E53" s="131">
        <f t="shared" si="7"/>
        <v>0.2386904217</v>
      </c>
      <c r="F53" s="133">
        <f t="shared" si="8"/>
        <v>0.05697311742</v>
      </c>
    </row>
    <row r="54" ht="13.5" customHeight="1">
      <c r="A54" s="132">
        <v>17.0</v>
      </c>
      <c r="B54" s="131">
        <v>5.5637</v>
      </c>
      <c r="C54" s="131">
        <f t="shared" si="5"/>
        <v>11.1274</v>
      </c>
      <c r="D54" s="131">
        <f t="shared" si="6"/>
        <v>17.24431935</v>
      </c>
      <c r="E54" s="131">
        <f t="shared" si="7"/>
        <v>0.2443193454</v>
      </c>
      <c r="F54" s="133">
        <f t="shared" si="8"/>
        <v>0.05969194254</v>
      </c>
    </row>
    <row r="55" ht="13.5" customHeight="1">
      <c r="A55" s="132">
        <v>18.0</v>
      </c>
      <c r="B55" s="131">
        <v>5.6892</v>
      </c>
      <c r="C55" s="131">
        <f t="shared" si="5"/>
        <v>11.3784</v>
      </c>
      <c r="D55" s="131">
        <f t="shared" si="6"/>
        <v>18.10467776</v>
      </c>
      <c r="E55" s="131">
        <f t="shared" si="7"/>
        <v>0.1046777622</v>
      </c>
      <c r="F55" s="133">
        <f t="shared" si="8"/>
        <v>0.0109574339</v>
      </c>
    </row>
    <row r="56" ht="13.5" customHeight="1">
      <c r="A56" s="132">
        <v>19.0</v>
      </c>
      <c r="B56" s="131">
        <v>5.7987</v>
      </c>
      <c r="C56" s="131">
        <f t="shared" si="5"/>
        <v>11.5974</v>
      </c>
      <c r="D56" s="131">
        <f t="shared" si="6"/>
        <v>18.913763</v>
      </c>
      <c r="E56" s="131">
        <f t="shared" si="7"/>
        <v>-0.08623700156</v>
      </c>
      <c r="F56" s="133">
        <f t="shared" si="8"/>
        <v>0.007436820438</v>
      </c>
    </row>
    <row r="57" ht="13.5" customHeight="1">
      <c r="A57" s="132">
        <v>20.0</v>
      </c>
      <c r="B57" s="131">
        <v>5.8973</v>
      </c>
      <c r="C57" s="131">
        <f t="shared" si="5"/>
        <v>11.7946</v>
      </c>
      <c r="D57" s="131">
        <f t="shared" si="6"/>
        <v>19.69214709</v>
      </c>
      <c r="E57" s="131">
        <f t="shared" si="7"/>
        <v>-0.3078529104</v>
      </c>
      <c r="F57" s="133">
        <f t="shared" si="8"/>
        <v>0.09477341447</v>
      </c>
    </row>
    <row r="58" ht="13.5" customHeight="1">
      <c r="F58" s="133">
        <f>SUM(F37:F57)</f>
        <v>0.3453618861</v>
      </c>
    </row>
    <row r="59" ht="14.25" customHeight="1"/>
    <row r="60" ht="14.25" customHeight="1">
      <c r="A60" s="5" t="s">
        <v>135</v>
      </c>
      <c r="I60" s="5" t="s">
        <v>141</v>
      </c>
      <c r="K60" s="135">
        <v>1062.0</v>
      </c>
    </row>
    <row r="61" ht="13.5" customHeight="1">
      <c r="A61" s="5" t="s">
        <v>136</v>
      </c>
      <c r="B61" s="134">
        <v>0.010950871017101363</v>
      </c>
      <c r="I61" s="5" t="s">
        <v>142</v>
      </c>
      <c r="K61" s="131">
        <f>$B$30+$B$31*K60/100+$B$32*K60^2*0.0001+$B$33*K60^3*0.000001</f>
        <v>7.913527824</v>
      </c>
    </row>
    <row r="62" ht="14.25" customHeight="1">
      <c r="A62" s="5" t="s">
        <v>137</v>
      </c>
      <c r="B62" s="134">
        <v>1.0127596929751912</v>
      </c>
    </row>
    <row r="63" ht="14.25" customHeight="1">
      <c r="A63" s="5" t="s">
        <v>138</v>
      </c>
      <c r="B63" s="134">
        <v>0.20032605585371843</v>
      </c>
      <c r="I63" s="5" t="s">
        <v>143</v>
      </c>
      <c r="K63" s="136">
        <v>7.9605</v>
      </c>
    </row>
    <row r="64" ht="13.5" customHeight="1">
      <c r="A64" s="5" t="s">
        <v>139</v>
      </c>
      <c r="B64" s="134">
        <v>-0.03710010033466041</v>
      </c>
      <c r="I64" s="5" t="s">
        <v>144</v>
      </c>
      <c r="K64" s="81">
        <f>$B$61*100+$B$62*K63*100+$B$63*K63^2*100+$B$64*K63^3*100+$B$65*K63^4*100</f>
        <v>1050.633502</v>
      </c>
    </row>
    <row r="65" ht="13.5" customHeight="1">
      <c r="A65" s="5" t="s">
        <v>151</v>
      </c>
      <c r="B65" s="134">
        <v>0.0021052382555968208</v>
      </c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13"/>
    <col customWidth="1" min="3" max="3" width="10.63"/>
    <col customWidth="1" min="4" max="26" width="8.0"/>
  </cols>
  <sheetData>
    <row r="1" ht="13.5" customHeight="1">
      <c r="A1" s="129" t="s">
        <v>101</v>
      </c>
      <c r="B1" s="130" t="s">
        <v>89</v>
      </c>
    </row>
    <row r="2" ht="13.5" customHeight="1">
      <c r="A2" s="5" t="s">
        <v>152</v>
      </c>
    </row>
    <row r="3" ht="13.5" customHeight="1">
      <c r="A3" s="5" t="s">
        <v>153</v>
      </c>
    </row>
    <row r="4" ht="13.5" customHeight="1"/>
    <row r="5" ht="13.5" customHeight="1">
      <c r="A5" s="5" t="s">
        <v>131</v>
      </c>
      <c r="B5" s="5" t="s">
        <v>9</v>
      </c>
      <c r="C5" s="5" t="s">
        <v>140</v>
      </c>
      <c r="D5" s="131" t="s">
        <v>132</v>
      </c>
      <c r="E5" s="5" t="s">
        <v>133</v>
      </c>
      <c r="F5" s="133" t="s">
        <v>134</v>
      </c>
    </row>
    <row r="6" ht="13.5" customHeight="1">
      <c r="A6" s="132">
        <v>0.0</v>
      </c>
      <c r="B6" s="131">
        <v>3.0E-4</v>
      </c>
      <c r="C6" s="131">
        <f t="shared" ref="C6:C11" si="1">B6*8</f>
        <v>0.0024</v>
      </c>
      <c r="D6" s="131">
        <f t="shared" ref="D6:D11" si="2">$B$15+$B$16*$A6+$B$17*$A6^2+$B$18*$A6^3</f>
        <v>-0.02545793553</v>
      </c>
      <c r="E6" s="131">
        <f t="shared" ref="E6:E11" si="3">$D6-$C6</f>
        <v>-0.02785793553</v>
      </c>
      <c r="F6" s="133">
        <f t="shared" ref="F6:F11" si="4">$E6^2</f>
        <v>0.000776064572</v>
      </c>
    </row>
    <row r="7" ht="13.5" customHeight="1">
      <c r="A7" s="132">
        <v>1.0</v>
      </c>
      <c r="B7" s="131">
        <v>0.1109</v>
      </c>
      <c r="C7" s="131">
        <f t="shared" si="1"/>
        <v>0.8872</v>
      </c>
      <c r="D7" s="131">
        <f t="shared" si="2"/>
        <v>0.9176386054</v>
      </c>
      <c r="E7" s="131">
        <f t="shared" si="3"/>
        <v>0.03043860538</v>
      </c>
      <c r="F7" s="133">
        <f t="shared" si="4"/>
        <v>0.0009265086973</v>
      </c>
    </row>
    <row r="8" ht="13.5" customHeight="1">
      <c r="A8" s="132">
        <v>2.0</v>
      </c>
      <c r="B8" s="131">
        <v>0.2215</v>
      </c>
      <c r="C8" s="131">
        <f t="shared" si="1"/>
        <v>1.772</v>
      </c>
      <c r="D8" s="131">
        <f t="shared" si="2"/>
        <v>1.807449821</v>
      </c>
      <c r="E8" s="131">
        <f t="shared" si="3"/>
        <v>0.03544982069</v>
      </c>
      <c r="F8" s="133">
        <f t="shared" si="4"/>
        <v>0.001256689787</v>
      </c>
    </row>
    <row r="9" ht="13.5" customHeight="1">
      <c r="A9" s="132">
        <v>3.0</v>
      </c>
      <c r="B9" s="131">
        <v>0.3318</v>
      </c>
      <c r="C9" s="131">
        <f t="shared" si="1"/>
        <v>2.6544</v>
      </c>
      <c r="D9" s="131">
        <f t="shared" si="2"/>
        <v>2.64397571</v>
      </c>
      <c r="E9" s="131">
        <f t="shared" si="3"/>
        <v>-0.01042428958</v>
      </c>
      <c r="F9" s="133">
        <f t="shared" si="4"/>
        <v>0.0001086658132</v>
      </c>
    </row>
    <row r="10" ht="13.5" customHeight="1">
      <c r="A10" s="132">
        <v>4.0</v>
      </c>
      <c r="B10" s="131">
        <v>0.4369</v>
      </c>
      <c r="C10" s="131">
        <f t="shared" si="1"/>
        <v>3.4952</v>
      </c>
      <c r="D10" s="131">
        <f t="shared" si="2"/>
        <v>3.427216275</v>
      </c>
      <c r="E10" s="131">
        <f t="shared" si="3"/>
        <v>-0.06798372543</v>
      </c>
      <c r="F10" s="133">
        <f t="shared" si="4"/>
        <v>0.004621786924</v>
      </c>
    </row>
    <row r="11" ht="13.5" customHeight="1">
      <c r="A11" s="132">
        <v>5.0</v>
      </c>
      <c r="B11" s="131">
        <v>0.5146</v>
      </c>
      <c r="C11" s="131">
        <f t="shared" si="1"/>
        <v>4.1168</v>
      </c>
      <c r="D11" s="131">
        <f t="shared" si="2"/>
        <v>4.157171513</v>
      </c>
      <c r="E11" s="131">
        <f t="shared" si="3"/>
        <v>0.04037151312</v>
      </c>
      <c r="F11" s="133">
        <f t="shared" si="4"/>
        <v>0.001629859071</v>
      </c>
    </row>
    <row r="12" ht="13.5" customHeight="1">
      <c r="F12" s="133">
        <f>SUM(F6:F11)</f>
        <v>0.009319574865</v>
      </c>
    </row>
    <row r="13" ht="13.5" customHeight="1"/>
    <row r="14" ht="13.5" customHeight="1">
      <c r="A14" s="5" t="s">
        <v>135</v>
      </c>
    </row>
    <row r="15" ht="13.5" customHeight="1">
      <c r="A15" s="5" t="s">
        <v>136</v>
      </c>
      <c r="B15" s="134">
        <v>-0.02545793553013644</v>
      </c>
    </row>
    <row r="16" ht="13.5" customHeight="1">
      <c r="A16" s="5" t="s">
        <v>137</v>
      </c>
      <c r="B16" s="134">
        <v>0.9697392037010372</v>
      </c>
    </row>
    <row r="17" ht="13.5" customHeight="1">
      <c r="A17" s="5" t="s">
        <v>138</v>
      </c>
      <c r="B17" s="134">
        <v>-0.026642662794306847</v>
      </c>
    </row>
    <row r="18" ht="13.5" customHeight="1">
      <c r="A18" s="5" t="s">
        <v>139</v>
      </c>
      <c r="B18" s="134">
        <v>0.0</v>
      </c>
    </row>
    <row r="19" ht="13.5" customHeight="1"/>
    <row r="20" ht="13.5" customHeight="1"/>
    <row r="21" ht="13.5" customHeight="1"/>
    <row r="22" ht="13.5" customHeight="1"/>
    <row r="23" ht="13.5" customHeight="1">
      <c r="A23" s="5" t="s">
        <v>131</v>
      </c>
      <c r="B23" s="5" t="s">
        <v>9</v>
      </c>
      <c r="C23" s="5" t="s">
        <v>140</v>
      </c>
      <c r="D23" s="131" t="s">
        <v>132</v>
      </c>
      <c r="E23" s="5" t="s">
        <v>133</v>
      </c>
      <c r="F23" s="133" t="s">
        <v>134</v>
      </c>
    </row>
    <row r="24" ht="13.5" customHeight="1">
      <c r="A24" s="132">
        <v>0.0</v>
      </c>
      <c r="B24" s="131">
        <v>3.0E-4</v>
      </c>
      <c r="C24" s="131">
        <f t="shared" ref="C24:C29" si="5">B24*8</f>
        <v>0.0024</v>
      </c>
      <c r="D24" s="131">
        <f t="shared" ref="D24:D29" si="6">$B$33+$B$34*$C24+$B$35*$C24^2+$B$36*$C24^3</f>
        <v>0.03307242754</v>
      </c>
      <c r="E24" s="131">
        <f t="shared" ref="E24:E29" si="7">$D24-$A24</f>
        <v>0.03307242754</v>
      </c>
      <c r="F24" s="133">
        <f t="shared" ref="F24:F29" si="8">$E24^2</f>
        <v>0.001093785464</v>
      </c>
    </row>
    <row r="25" ht="13.5" customHeight="1">
      <c r="A25" s="132">
        <v>1.0</v>
      </c>
      <c r="B25" s="131">
        <v>0.1109</v>
      </c>
      <c r="C25" s="131">
        <f t="shared" si="5"/>
        <v>0.8872</v>
      </c>
      <c r="D25" s="131">
        <f t="shared" si="6"/>
        <v>0.9609429105</v>
      </c>
      <c r="E25" s="131">
        <f t="shared" si="7"/>
        <v>-0.03905708953</v>
      </c>
      <c r="F25" s="133">
        <f t="shared" si="8"/>
        <v>0.001525456243</v>
      </c>
    </row>
    <row r="26" ht="13.5" customHeight="1">
      <c r="A26" s="132">
        <v>2.0</v>
      </c>
      <c r="B26" s="131">
        <v>0.2215</v>
      </c>
      <c r="C26" s="131">
        <f t="shared" si="5"/>
        <v>1.772</v>
      </c>
      <c r="D26" s="131">
        <f t="shared" si="6"/>
        <v>1.957638871</v>
      </c>
      <c r="E26" s="131">
        <f t="shared" si="7"/>
        <v>-0.04236112911</v>
      </c>
      <c r="F26" s="133">
        <f t="shared" si="8"/>
        <v>0.001794465259</v>
      </c>
    </row>
    <row r="27" ht="13.5" customHeight="1">
      <c r="A27" s="132">
        <v>3.0</v>
      </c>
      <c r="B27" s="131">
        <v>0.3318</v>
      </c>
      <c r="C27" s="131">
        <f t="shared" si="5"/>
        <v>2.6544</v>
      </c>
      <c r="D27" s="131">
        <f t="shared" si="6"/>
        <v>3.020177015</v>
      </c>
      <c r="E27" s="131">
        <f t="shared" si="7"/>
        <v>0.02017701542</v>
      </c>
      <c r="F27" s="133">
        <f t="shared" si="8"/>
        <v>0.0004071119513</v>
      </c>
    </row>
    <row r="28" ht="13.5" customHeight="1">
      <c r="A28" s="132">
        <v>4.0</v>
      </c>
      <c r="B28" s="131">
        <v>0.4369</v>
      </c>
      <c r="C28" s="131">
        <f t="shared" si="5"/>
        <v>3.4952</v>
      </c>
      <c r="D28" s="131">
        <f t="shared" si="6"/>
        <v>4.096310669</v>
      </c>
      <c r="E28" s="131">
        <f t="shared" si="7"/>
        <v>0.09631066868</v>
      </c>
      <c r="F28" s="133">
        <f t="shared" si="8"/>
        <v>0.009275744902</v>
      </c>
    </row>
    <row r="29" ht="13.5" customHeight="1">
      <c r="A29" s="132">
        <v>5.0</v>
      </c>
      <c r="B29" s="131">
        <v>0.5146</v>
      </c>
      <c r="C29" s="131">
        <f t="shared" si="5"/>
        <v>4.1168</v>
      </c>
      <c r="D29" s="131">
        <f t="shared" si="6"/>
        <v>4.931850101</v>
      </c>
      <c r="E29" s="131">
        <f t="shared" si="7"/>
        <v>-0.06814989876</v>
      </c>
      <c r="F29" s="133">
        <f t="shared" si="8"/>
        <v>0.004644408701</v>
      </c>
    </row>
    <row r="30" ht="13.5" customHeight="1">
      <c r="F30" s="133">
        <f>SUM(F24:F29)</f>
        <v>0.01874097252</v>
      </c>
    </row>
    <row r="31" ht="13.5" customHeight="1"/>
    <row r="32" ht="13.5" customHeight="1">
      <c r="A32" s="5" t="s">
        <v>135</v>
      </c>
    </row>
    <row r="33" ht="13.5" customHeight="1">
      <c r="A33" s="5" t="s">
        <v>136</v>
      </c>
      <c r="B33" s="134">
        <v>0.030649196801649507</v>
      </c>
    </row>
    <row r="34" ht="13.5" customHeight="1">
      <c r="A34" s="5" t="s">
        <v>137</v>
      </c>
      <c r="B34" s="134">
        <v>1.0095739789986617</v>
      </c>
    </row>
    <row r="35" ht="13.5" customHeight="1">
      <c r="A35" s="5" t="s">
        <v>138</v>
      </c>
      <c r="B35" s="134">
        <v>0.04395709764866958</v>
      </c>
    </row>
    <row r="36" ht="13.5" customHeight="1">
      <c r="A36" s="5" t="s">
        <v>139</v>
      </c>
      <c r="B36" s="134">
        <v>0.0</v>
      </c>
    </row>
    <row r="37" ht="13.5" customHeight="1"/>
    <row r="38" ht="13.5" customHeight="1"/>
    <row r="39" ht="13.5" customHeight="1"/>
    <row r="40" ht="14.25" customHeight="1"/>
    <row r="41" ht="14.25" customHeight="1">
      <c r="I41" s="5" t="s">
        <v>141</v>
      </c>
      <c r="K41" s="135">
        <v>97.0</v>
      </c>
    </row>
    <row r="42" ht="13.5" customHeight="1">
      <c r="I42" s="5" t="s">
        <v>142</v>
      </c>
      <c r="K42" s="131">
        <f>$B$15+$B$16*K41/100+$B$17*K41^2*0.0001+$B$18*K41^3*0.000001</f>
        <v>0.8901210106</v>
      </c>
    </row>
    <row r="43" ht="14.25" customHeight="1"/>
    <row r="44" ht="14.25" customHeight="1">
      <c r="I44" s="5" t="s">
        <v>143</v>
      </c>
      <c r="K44" s="136">
        <v>0.5</v>
      </c>
    </row>
    <row r="45" ht="13.5" customHeight="1">
      <c r="I45" s="5" t="s">
        <v>144</v>
      </c>
      <c r="K45" s="81">
        <f>$B$33*100+$B$34*K44*100+$B$35*K44^2*100+$B$36*K44^3*100</f>
        <v>54.64254607</v>
      </c>
    </row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0.63"/>
    <col customWidth="1" min="3" max="3" width="11.25"/>
    <col customWidth="1" min="4" max="5" width="8.0"/>
    <col customWidth="1" min="6" max="6" width="9.5"/>
    <col customWidth="1" min="7" max="26" width="8.0"/>
  </cols>
  <sheetData>
    <row r="1" ht="13.5" customHeight="1">
      <c r="A1" s="129" t="s">
        <v>102</v>
      </c>
      <c r="B1" s="130" t="s">
        <v>103</v>
      </c>
    </row>
    <row r="2" ht="13.5" customHeight="1">
      <c r="A2" s="5" t="s">
        <v>145</v>
      </c>
    </row>
    <row r="3" ht="13.5" customHeight="1">
      <c r="A3" s="5" t="s">
        <v>153</v>
      </c>
    </row>
    <row r="4" ht="13.5" customHeight="1"/>
    <row r="5" ht="13.5" customHeight="1">
      <c r="A5" s="5" t="s">
        <v>131</v>
      </c>
      <c r="B5" s="5" t="s">
        <v>9</v>
      </c>
      <c r="C5" s="5" t="s">
        <v>140</v>
      </c>
      <c r="D5" s="131" t="s">
        <v>132</v>
      </c>
      <c r="E5" s="5" t="s">
        <v>133</v>
      </c>
      <c r="F5" s="133" t="s">
        <v>134</v>
      </c>
    </row>
    <row r="6" ht="13.5" customHeight="1">
      <c r="A6" s="132">
        <v>0.0</v>
      </c>
      <c r="B6" s="131">
        <v>0.0193</v>
      </c>
      <c r="C6" s="131">
        <f t="shared" ref="C6:C26" si="1">B6*2</f>
        <v>0.0386</v>
      </c>
      <c r="D6" s="131">
        <f t="shared" ref="D6:D26" si="2">$B$30+$B$31*$A6+$B$32*$A6^2+$B$33*$A6^3</f>
        <v>0.09473275717</v>
      </c>
      <c r="E6" s="131">
        <f t="shared" ref="E6:E26" si="3">$D6-$C6</f>
        <v>0.05613275717</v>
      </c>
      <c r="F6" s="133">
        <f t="shared" ref="F6:F26" si="4">$E6^2</f>
        <v>0.003150886428</v>
      </c>
    </row>
    <row r="7" ht="13.5" customHeight="1">
      <c r="A7" s="132">
        <v>1.0</v>
      </c>
      <c r="B7" s="131">
        <v>0.3903</v>
      </c>
      <c r="C7" s="131">
        <f t="shared" si="1"/>
        <v>0.7806</v>
      </c>
      <c r="D7" s="131">
        <f t="shared" si="2"/>
        <v>0.7699217438</v>
      </c>
      <c r="E7" s="131">
        <f t="shared" si="3"/>
        <v>-0.01067825618</v>
      </c>
      <c r="F7" s="133">
        <f t="shared" si="4"/>
        <v>0.0001140251551</v>
      </c>
    </row>
    <row r="8" ht="13.5" customHeight="1">
      <c r="A8" s="132">
        <v>2.0</v>
      </c>
      <c r="B8" s="131">
        <v>0.7589</v>
      </c>
      <c r="C8" s="131">
        <f t="shared" si="1"/>
        <v>1.5178</v>
      </c>
      <c r="D8" s="131">
        <f t="shared" si="2"/>
        <v>1.477468904</v>
      </c>
      <c r="E8" s="131">
        <f t="shared" si="3"/>
        <v>-0.04033109574</v>
      </c>
      <c r="F8" s="133">
        <f t="shared" si="4"/>
        <v>0.001626597283</v>
      </c>
    </row>
    <row r="9" ht="13.5" customHeight="1">
      <c r="A9" s="132">
        <v>3.0</v>
      </c>
      <c r="B9" s="131">
        <v>1.1282</v>
      </c>
      <c r="C9" s="131">
        <f t="shared" si="1"/>
        <v>2.2564</v>
      </c>
      <c r="D9" s="131">
        <f t="shared" si="2"/>
        <v>2.211034475</v>
      </c>
      <c r="E9" s="131">
        <f t="shared" si="3"/>
        <v>-0.04536552522</v>
      </c>
      <c r="F9" s="133">
        <f t="shared" si="4"/>
        <v>0.002058030878</v>
      </c>
    </row>
    <row r="10" ht="13.5" customHeight="1">
      <c r="A10" s="132">
        <v>4.0</v>
      </c>
      <c r="B10" s="131">
        <v>1.4982</v>
      </c>
      <c r="C10" s="131">
        <f t="shared" si="1"/>
        <v>2.9964</v>
      </c>
      <c r="D10" s="131">
        <f t="shared" si="2"/>
        <v>2.964278692</v>
      </c>
      <c r="E10" s="131">
        <f t="shared" si="3"/>
        <v>-0.03212130834</v>
      </c>
      <c r="F10" s="133">
        <f t="shared" si="4"/>
        <v>0.00103177845</v>
      </c>
    </row>
    <row r="11" ht="13.5" customHeight="1">
      <c r="A11" s="132">
        <v>5.0</v>
      </c>
      <c r="B11" s="131">
        <v>1.8716</v>
      </c>
      <c r="C11" s="131">
        <f t="shared" si="1"/>
        <v>3.7432</v>
      </c>
      <c r="D11" s="131">
        <f t="shared" si="2"/>
        <v>3.730861791</v>
      </c>
      <c r="E11" s="131">
        <f t="shared" si="3"/>
        <v>-0.01233820884</v>
      </c>
      <c r="F11" s="133">
        <f t="shared" si="4"/>
        <v>0.0001522313973</v>
      </c>
    </row>
    <row r="12" ht="13.5" customHeight="1">
      <c r="A12" s="132">
        <v>6.0</v>
      </c>
      <c r="B12" s="131">
        <v>2.2445</v>
      </c>
      <c r="C12" s="131">
        <f t="shared" si="1"/>
        <v>4.489</v>
      </c>
      <c r="D12" s="131">
        <f t="shared" si="2"/>
        <v>4.50444401</v>
      </c>
      <c r="E12" s="131">
        <f t="shared" si="3"/>
        <v>0.01544400958</v>
      </c>
      <c r="F12" s="133">
        <f t="shared" si="4"/>
        <v>0.0002385174319</v>
      </c>
    </row>
    <row r="13" ht="13.5" customHeight="1">
      <c r="A13" s="132">
        <v>7.0</v>
      </c>
      <c r="B13" s="131">
        <v>2.6231</v>
      </c>
      <c r="C13" s="131">
        <f t="shared" si="1"/>
        <v>5.2462</v>
      </c>
      <c r="D13" s="131">
        <f t="shared" si="2"/>
        <v>5.278685583</v>
      </c>
      <c r="E13" s="131">
        <f t="shared" si="3"/>
        <v>0.03248558318</v>
      </c>
      <c r="F13" s="133">
        <f t="shared" si="4"/>
        <v>0.001055313115</v>
      </c>
    </row>
    <row r="14" ht="13.5" customHeight="1">
      <c r="A14" s="132">
        <v>8.0</v>
      </c>
      <c r="B14" s="131">
        <v>2.999</v>
      </c>
      <c r="C14" s="131">
        <f t="shared" si="1"/>
        <v>5.998</v>
      </c>
      <c r="D14" s="131">
        <f t="shared" si="2"/>
        <v>6.047246748</v>
      </c>
      <c r="E14" s="131">
        <f t="shared" si="3"/>
        <v>0.04924674825</v>
      </c>
      <c r="F14" s="133">
        <f t="shared" si="4"/>
        <v>0.002425242213</v>
      </c>
    </row>
    <row r="15" ht="13.5" customHeight="1">
      <c r="A15" s="132">
        <v>9.0</v>
      </c>
      <c r="B15" s="131">
        <v>3.3802</v>
      </c>
      <c r="C15" s="131">
        <f t="shared" si="1"/>
        <v>6.7604</v>
      </c>
      <c r="D15" s="131">
        <f t="shared" si="2"/>
        <v>6.803787741</v>
      </c>
      <c r="E15" s="131">
        <f t="shared" si="3"/>
        <v>0.04338774106</v>
      </c>
      <c r="F15" s="133">
        <f t="shared" si="4"/>
        <v>0.001882496074</v>
      </c>
    </row>
    <row r="16" ht="13.5" customHeight="1">
      <c r="A16" s="132">
        <v>10.0</v>
      </c>
      <c r="B16" s="131">
        <v>3.7573</v>
      </c>
      <c r="C16" s="131">
        <f t="shared" si="1"/>
        <v>7.5146</v>
      </c>
      <c r="D16" s="131">
        <f t="shared" si="2"/>
        <v>7.541968798</v>
      </c>
      <c r="E16" s="131">
        <f t="shared" si="3"/>
        <v>0.02736879789</v>
      </c>
      <c r="F16" s="133">
        <f t="shared" si="4"/>
        <v>0.000749051098</v>
      </c>
    </row>
    <row r="17" ht="13.5" customHeight="1">
      <c r="A17" s="132">
        <v>11.0</v>
      </c>
      <c r="B17" s="131">
        <v>4.1362</v>
      </c>
      <c r="C17" s="131">
        <f t="shared" si="1"/>
        <v>8.2724</v>
      </c>
      <c r="D17" s="131">
        <f t="shared" si="2"/>
        <v>8.255450155</v>
      </c>
      <c r="E17" s="131">
        <f t="shared" si="3"/>
        <v>-0.01694984498</v>
      </c>
      <c r="F17" s="133">
        <f t="shared" si="4"/>
        <v>0.0002872972449</v>
      </c>
    </row>
    <row r="18" ht="13.5" customHeight="1">
      <c r="A18" s="132">
        <v>12.0</v>
      </c>
      <c r="B18" s="131">
        <v>4.488</v>
      </c>
      <c r="C18" s="131">
        <f t="shared" si="1"/>
        <v>8.976</v>
      </c>
      <c r="D18" s="131">
        <f t="shared" si="2"/>
        <v>8.937892049</v>
      </c>
      <c r="E18" s="131">
        <f t="shared" si="3"/>
        <v>-0.03810795128</v>
      </c>
      <c r="F18" s="133">
        <f t="shared" si="4"/>
        <v>0.001452215951</v>
      </c>
    </row>
    <row r="19" ht="13.5" customHeight="1">
      <c r="A19" s="132">
        <v>13.0</v>
      </c>
      <c r="B19" s="131">
        <v>4.808</v>
      </c>
      <c r="C19" s="131">
        <f t="shared" si="1"/>
        <v>9.616</v>
      </c>
      <c r="D19" s="131">
        <f t="shared" si="2"/>
        <v>9.582954715</v>
      </c>
      <c r="E19" s="131">
        <f t="shared" si="3"/>
        <v>-0.03304528472</v>
      </c>
      <c r="F19" s="133">
        <f t="shared" si="4"/>
        <v>0.001091990842</v>
      </c>
    </row>
    <row r="20" ht="13.5" customHeight="1">
      <c r="A20" s="132">
        <v>14.0</v>
      </c>
      <c r="B20" s="131">
        <v>5.1003</v>
      </c>
      <c r="C20" s="131">
        <f t="shared" si="1"/>
        <v>10.2006</v>
      </c>
      <c r="D20" s="131">
        <f t="shared" si="2"/>
        <v>10.18429839</v>
      </c>
      <c r="E20" s="131">
        <f t="shared" si="3"/>
        <v>-0.01630160903</v>
      </c>
      <c r="F20" s="133">
        <f t="shared" si="4"/>
        <v>0.000265742457</v>
      </c>
    </row>
    <row r="21" ht="13.5" customHeight="1">
      <c r="A21" s="132">
        <v>15.0</v>
      </c>
      <c r="B21" s="131">
        <v>5.3694</v>
      </c>
      <c r="C21" s="131">
        <f t="shared" si="1"/>
        <v>10.7388</v>
      </c>
      <c r="D21" s="131">
        <f t="shared" si="2"/>
        <v>10.73558331</v>
      </c>
      <c r="E21" s="131">
        <f t="shared" si="3"/>
        <v>-0.003216687932</v>
      </c>
      <c r="F21" s="133">
        <f t="shared" si="4"/>
        <v>0.00001034708125</v>
      </c>
    </row>
    <row r="22" ht="13.5" customHeight="1">
      <c r="A22" s="132">
        <v>16.0</v>
      </c>
      <c r="B22" s="131">
        <v>5.6149</v>
      </c>
      <c r="C22" s="131">
        <f t="shared" si="1"/>
        <v>11.2298</v>
      </c>
      <c r="D22" s="131">
        <f t="shared" si="2"/>
        <v>11.23046971</v>
      </c>
      <c r="E22" s="131">
        <f t="shared" si="3"/>
        <v>0.000669714853</v>
      </c>
      <c r="F22" s="133">
        <f t="shared" si="4"/>
        <v>0.0000004485179844</v>
      </c>
    </row>
    <row r="23" ht="13.5" customHeight="1">
      <c r="A23" s="132">
        <v>17.0</v>
      </c>
      <c r="B23" s="131">
        <v>5.8307</v>
      </c>
      <c r="C23" s="131">
        <f t="shared" si="1"/>
        <v>11.6614</v>
      </c>
      <c r="D23" s="131">
        <f t="shared" si="2"/>
        <v>11.66261784</v>
      </c>
      <c r="E23" s="131">
        <f t="shared" si="3"/>
        <v>0.001217835603</v>
      </c>
      <c r="F23" s="133">
        <f t="shared" si="4"/>
        <v>0.000001483123555</v>
      </c>
    </row>
    <row r="24" ht="13.5" customHeight="1">
      <c r="A24" s="132">
        <v>18.0</v>
      </c>
      <c r="B24" s="131">
        <v>6.0064</v>
      </c>
      <c r="C24" s="131">
        <f t="shared" si="1"/>
        <v>12.0128</v>
      </c>
      <c r="D24" s="131">
        <f t="shared" si="2"/>
        <v>12.02568791</v>
      </c>
      <c r="E24" s="131">
        <f t="shared" si="3"/>
        <v>0.01288791059</v>
      </c>
      <c r="F24" s="133">
        <f t="shared" si="4"/>
        <v>0.0001660982395</v>
      </c>
    </row>
    <row r="25" ht="13.5" customHeight="1">
      <c r="A25" s="132">
        <v>19.0</v>
      </c>
      <c r="B25" s="131">
        <v>6.1458</v>
      </c>
      <c r="C25" s="131">
        <f t="shared" si="1"/>
        <v>12.2916</v>
      </c>
      <c r="D25" s="131">
        <f t="shared" si="2"/>
        <v>12.31334018</v>
      </c>
      <c r="E25" s="131">
        <f t="shared" si="3"/>
        <v>0.02174017611</v>
      </c>
      <c r="F25" s="133">
        <f t="shared" si="4"/>
        <v>0.0004726352571</v>
      </c>
    </row>
    <row r="26" ht="13.5" customHeight="1">
      <c r="A26" s="132">
        <v>20.0</v>
      </c>
      <c r="B26" s="131">
        <v>6.2667</v>
      </c>
      <c r="C26" s="131">
        <f t="shared" si="1"/>
        <v>12.5334</v>
      </c>
      <c r="D26" s="131">
        <f t="shared" si="2"/>
        <v>12.51923487</v>
      </c>
      <c r="E26" s="131">
        <f t="shared" si="3"/>
        <v>-0.01416513158</v>
      </c>
      <c r="F26" s="133">
        <f t="shared" si="4"/>
        <v>0.0002006509528</v>
      </c>
    </row>
    <row r="27" ht="13.5" customHeight="1">
      <c r="F27" s="133">
        <f>SUM(F6:F26)</f>
        <v>0.01843307919</v>
      </c>
    </row>
    <row r="28" ht="13.5" customHeight="1"/>
    <row r="29" ht="13.5" customHeight="1">
      <c r="A29" s="5" t="s">
        <v>135</v>
      </c>
    </row>
    <row r="30" ht="13.5" customHeight="1">
      <c r="A30" s="5" t="s">
        <v>136</v>
      </c>
      <c r="B30" s="134">
        <v>0.09473275717347998</v>
      </c>
    </row>
    <row r="31" ht="13.5" customHeight="1">
      <c r="A31" s="5" t="s">
        <v>137</v>
      </c>
      <c r="B31" s="134">
        <v>0.6568966451726166</v>
      </c>
    </row>
    <row r="32" ht="13.5" customHeight="1">
      <c r="A32" s="5" t="s">
        <v>138</v>
      </c>
      <c r="B32" s="134">
        <v>0.019348968760335875</v>
      </c>
    </row>
    <row r="33" ht="13.5" customHeight="1">
      <c r="A33" s="5" t="s">
        <v>139</v>
      </c>
      <c r="B33" s="134">
        <v>-0.001056627287043042</v>
      </c>
    </row>
    <row r="34" ht="13.5" customHeight="1"/>
    <row r="35" ht="13.5" customHeight="1"/>
    <row r="36" ht="13.5" customHeight="1">
      <c r="A36" s="5" t="s">
        <v>131</v>
      </c>
      <c r="B36" s="5" t="s">
        <v>9</v>
      </c>
      <c r="C36" s="5" t="s">
        <v>140</v>
      </c>
      <c r="D36" s="131" t="s">
        <v>132</v>
      </c>
      <c r="E36" s="5" t="s">
        <v>133</v>
      </c>
      <c r="F36" s="133" t="s">
        <v>134</v>
      </c>
    </row>
    <row r="37" ht="13.5" customHeight="1">
      <c r="A37" s="132">
        <v>0.0</v>
      </c>
      <c r="B37" s="131">
        <v>0.0193</v>
      </c>
      <c r="C37" s="131">
        <f t="shared" ref="C37:C57" si="5">B37*2</f>
        <v>0.0386</v>
      </c>
      <c r="D37" s="131">
        <f t="shared" ref="D37:D57" si="6">$B$61+$B$62*$C37+$B$63*$C37^2+$B$64*$C37^3+$B$65*$C37^4</f>
        <v>0.08717459966</v>
      </c>
      <c r="E37" s="131">
        <f t="shared" ref="E37:E57" si="7">$D37-$A37</f>
        <v>0.08717459966</v>
      </c>
      <c r="F37" s="133">
        <f t="shared" ref="F37:F57" si="8">$E37^2</f>
        <v>0.007599410825</v>
      </c>
    </row>
    <row r="38" ht="13.5" customHeight="1">
      <c r="A38" s="132">
        <v>1.0</v>
      </c>
      <c r="B38" s="131">
        <v>0.3903</v>
      </c>
      <c r="C38" s="131">
        <f t="shared" si="5"/>
        <v>0.7806</v>
      </c>
      <c r="D38" s="131">
        <f t="shared" si="6"/>
        <v>0.954326651</v>
      </c>
      <c r="E38" s="131">
        <f t="shared" si="7"/>
        <v>-0.045673349</v>
      </c>
      <c r="F38" s="133">
        <f t="shared" si="8"/>
        <v>0.002086054809</v>
      </c>
    </row>
    <row r="39" ht="13.5" customHeight="1">
      <c r="A39" s="132">
        <v>2.0</v>
      </c>
      <c r="B39" s="131">
        <v>0.7589</v>
      </c>
      <c r="C39" s="131">
        <f t="shared" si="5"/>
        <v>1.5178</v>
      </c>
      <c r="D39" s="131">
        <f t="shared" si="6"/>
        <v>1.919265267</v>
      </c>
      <c r="E39" s="131">
        <f t="shared" si="7"/>
        <v>-0.08073473281</v>
      </c>
      <c r="F39" s="133">
        <f t="shared" si="8"/>
        <v>0.006518097081</v>
      </c>
    </row>
    <row r="40" ht="13.5" customHeight="1">
      <c r="A40" s="132">
        <v>3.0</v>
      </c>
      <c r="B40" s="131">
        <v>1.1282</v>
      </c>
      <c r="C40" s="131">
        <f t="shared" si="5"/>
        <v>2.2564</v>
      </c>
      <c r="D40" s="131">
        <f t="shared" si="6"/>
        <v>2.943497468</v>
      </c>
      <c r="E40" s="131">
        <f t="shared" si="7"/>
        <v>-0.05650253244</v>
      </c>
      <c r="F40" s="133">
        <f t="shared" si="8"/>
        <v>0.003192536172</v>
      </c>
    </row>
    <row r="41" ht="13.5" customHeight="1">
      <c r="A41" s="132">
        <v>4.0</v>
      </c>
      <c r="B41" s="131">
        <v>1.4982</v>
      </c>
      <c r="C41" s="131">
        <f t="shared" si="5"/>
        <v>2.9964</v>
      </c>
      <c r="D41" s="131">
        <f t="shared" si="6"/>
        <v>3.990755227</v>
      </c>
      <c r="E41" s="131">
        <f t="shared" si="7"/>
        <v>-0.009244772613</v>
      </c>
      <c r="F41" s="133">
        <f t="shared" si="8"/>
        <v>0.00008546582067</v>
      </c>
    </row>
    <row r="42" ht="13.5" customHeight="1">
      <c r="A42" s="132">
        <v>5.0</v>
      </c>
      <c r="B42" s="131">
        <v>1.8716</v>
      </c>
      <c r="C42" s="131">
        <f t="shared" si="5"/>
        <v>3.7432</v>
      </c>
      <c r="D42" s="131">
        <f t="shared" si="6"/>
        <v>5.041362703</v>
      </c>
      <c r="E42" s="131">
        <f t="shared" si="7"/>
        <v>0.0413627029</v>
      </c>
      <c r="F42" s="133">
        <f t="shared" si="8"/>
        <v>0.001710873191</v>
      </c>
    </row>
    <row r="43" ht="13.5" customHeight="1">
      <c r="A43" s="132">
        <v>6.0</v>
      </c>
      <c r="B43" s="131">
        <v>2.2445</v>
      </c>
      <c r="C43" s="131">
        <f t="shared" si="5"/>
        <v>4.489</v>
      </c>
      <c r="D43" s="131">
        <f t="shared" si="6"/>
        <v>6.066154853</v>
      </c>
      <c r="E43" s="131">
        <f t="shared" si="7"/>
        <v>0.06615485311</v>
      </c>
      <c r="F43" s="133">
        <f t="shared" si="8"/>
        <v>0.00437646459</v>
      </c>
    </row>
    <row r="44" ht="13.5" customHeight="1">
      <c r="A44" s="132">
        <v>7.0</v>
      </c>
      <c r="B44" s="131">
        <v>2.6231</v>
      </c>
      <c r="C44" s="131">
        <f t="shared" si="5"/>
        <v>5.2462</v>
      </c>
      <c r="D44" s="131">
        <f t="shared" si="6"/>
        <v>7.073058359</v>
      </c>
      <c r="E44" s="131">
        <f t="shared" si="7"/>
        <v>0.07305835937</v>
      </c>
      <c r="F44" s="133">
        <f t="shared" si="8"/>
        <v>0.005337523873</v>
      </c>
    </row>
    <row r="45" ht="13.5" customHeight="1">
      <c r="A45" s="132">
        <v>8.0</v>
      </c>
      <c r="B45" s="131">
        <v>2.999</v>
      </c>
      <c r="C45" s="131">
        <f t="shared" si="5"/>
        <v>5.998</v>
      </c>
      <c r="D45" s="131">
        <f t="shared" si="6"/>
        <v>8.040841215</v>
      </c>
      <c r="E45" s="131">
        <f t="shared" si="7"/>
        <v>0.04084121499</v>
      </c>
      <c r="F45" s="133">
        <f t="shared" si="8"/>
        <v>0.001668004842</v>
      </c>
    </row>
    <row r="46" ht="13.5" customHeight="1">
      <c r="A46" s="132">
        <v>9.0</v>
      </c>
      <c r="B46" s="131">
        <v>3.3802</v>
      </c>
      <c r="C46" s="131">
        <f t="shared" si="5"/>
        <v>6.7604</v>
      </c>
      <c r="D46" s="131">
        <f t="shared" si="6"/>
        <v>9.001717188</v>
      </c>
      <c r="E46" s="131">
        <f t="shared" si="7"/>
        <v>0.001717187638</v>
      </c>
      <c r="F46" s="133">
        <f t="shared" si="8"/>
        <v>0.000002948733384</v>
      </c>
    </row>
    <row r="47" ht="13.5" customHeight="1">
      <c r="A47" s="132">
        <v>10.0</v>
      </c>
      <c r="B47" s="131">
        <v>3.7573</v>
      </c>
      <c r="C47" s="131">
        <f t="shared" si="5"/>
        <v>7.5146</v>
      </c>
      <c r="D47" s="131">
        <f t="shared" si="6"/>
        <v>9.954043736</v>
      </c>
      <c r="E47" s="131">
        <f t="shared" si="7"/>
        <v>-0.04595626384</v>
      </c>
      <c r="F47" s="133">
        <f t="shared" si="8"/>
        <v>0.002111978187</v>
      </c>
    </row>
    <row r="48" ht="13.5" customHeight="1">
      <c r="A48" s="132">
        <v>11.0</v>
      </c>
      <c r="B48" s="131">
        <v>4.1362</v>
      </c>
      <c r="C48" s="131">
        <f t="shared" si="5"/>
        <v>8.2724</v>
      </c>
      <c r="D48" s="131">
        <f t="shared" si="6"/>
        <v>10.94532141</v>
      </c>
      <c r="E48" s="131">
        <f t="shared" si="7"/>
        <v>-0.05467858896</v>
      </c>
      <c r="F48" s="133">
        <f t="shared" si="8"/>
        <v>0.00298974809</v>
      </c>
    </row>
    <row r="49" ht="13.5" customHeight="1">
      <c r="A49" s="132">
        <v>12.0</v>
      </c>
      <c r="B49" s="131">
        <v>4.488</v>
      </c>
      <c r="C49" s="131">
        <f t="shared" si="5"/>
        <v>8.976</v>
      </c>
      <c r="D49" s="131">
        <f t="shared" si="6"/>
        <v>11.93401211</v>
      </c>
      <c r="E49" s="131">
        <f t="shared" si="7"/>
        <v>-0.06598789055</v>
      </c>
      <c r="F49" s="133">
        <f t="shared" si="8"/>
        <v>0.004354401699</v>
      </c>
    </row>
    <row r="50" ht="13.5" customHeight="1">
      <c r="A50" s="132">
        <v>13.0</v>
      </c>
      <c r="B50" s="131">
        <v>4.808</v>
      </c>
      <c r="C50" s="131">
        <f t="shared" si="5"/>
        <v>9.616</v>
      </c>
      <c r="D50" s="131">
        <f t="shared" si="6"/>
        <v>12.92694131</v>
      </c>
      <c r="E50" s="131">
        <f t="shared" si="7"/>
        <v>-0.07305869336</v>
      </c>
      <c r="F50" s="133">
        <f t="shared" si="8"/>
        <v>0.005337572675</v>
      </c>
    </row>
    <row r="51" ht="13.5" customHeight="1">
      <c r="A51" s="132">
        <v>14.0</v>
      </c>
      <c r="B51" s="131">
        <v>5.1003</v>
      </c>
      <c r="C51" s="131">
        <f t="shared" si="5"/>
        <v>10.2006</v>
      </c>
      <c r="D51" s="131">
        <f t="shared" si="6"/>
        <v>13.94459653</v>
      </c>
      <c r="E51" s="131">
        <f t="shared" si="7"/>
        <v>-0.0554034702</v>
      </c>
      <c r="F51" s="133">
        <f t="shared" si="8"/>
        <v>0.00306954451</v>
      </c>
    </row>
    <row r="52" ht="13.5" customHeight="1">
      <c r="A52" s="132">
        <v>15.0</v>
      </c>
      <c r="B52" s="131">
        <v>5.3694</v>
      </c>
      <c r="C52" s="131">
        <f t="shared" si="5"/>
        <v>10.7388</v>
      </c>
      <c r="D52" s="131">
        <f t="shared" si="6"/>
        <v>15.00362534</v>
      </c>
      <c r="E52" s="131">
        <f t="shared" si="7"/>
        <v>0.003625335154</v>
      </c>
      <c r="F52" s="133">
        <f t="shared" si="8"/>
        <v>0.00001314305498</v>
      </c>
    </row>
    <row r="53" ht="13.5" customHeight="1">
      <c r="A53" s="132">
        <v>16.0</v>
      </c>
      <c r="B53" s="131">
        <v>5.6149</v>
      </c>
      <c r="C53" s="131">
        <f t="shared" si="5"/>
        <v>11.2298</v>
      </c>
      <c r="D53" s="131">
        <f t="shared" si="6"/>
        <v>16.09632845</v>
      </c>
      <c r="E53" s="131">
        <f t="shared" si="7"/>
        <v>0.09632844627</v>
      </c>
      <c r="F53" s="133">
        <f t="shared" si="8"/>
        <v>0.00927916956</v>
      </c>
    </row>
    <row r="54" ht="13.5" customHeight="1">
      <c r="A54" s="132">
        <v>17.0</v>
      </c>
      <c r="B54" s="131">
        <v>5.8307</v>
      </c>
      <c r="C54" s="131">
        <f t="shared" si="5"/>
        <v>11.6614</v>
      </c>
      <c r="D54" s="131">
        <f t="shared" si="6"/>
        <v>17.17553167</v>
      </c>
      <c r="E54" s="131">
        <f t="shared" si="7"/>
        <v>0.1755316678</v>
      </c>
      <c r="F54" s="133">
        <f t="shared" si="8"/>
        <v>0.03081136641</v>
      </c>
    </row>
    <row r="55" ht="13.5" customHeight="1">
      <c r="A55" s="132">
        <v>18.0</v>
      </c>
      <c r="B55" s="131">
        <v>6.0064</v>
      </c>
      <c r="C55" s="131">
        <f t="shared" si="5"/>
        <v>12.0128</v>
      </c>
      <c r="D55" s="131">
        <f t="shared" si="6"/>
        <v>18.14848137</v>
      </c>
      <c r="E55" s="131">
        <f t="shared" si="7"/>
        <v>0.1484813672</v>
      </c>
      <c r="F55" s="133">
        <f t="shared" si="8"/>
        <v>0.0220467164</v>
      </c>
    </row>
    <row r="56" ht="13.5" customHeight="1">
      <c r="A56" s="132">
        <v>19.0</v>
      </c>
      <c r="B56" s="131">
        <v>6.1458</v>
      </c>
      <c r="C56" s="131">
        <f t="shared" si="5"/>
        <v>12.2916</v>
      </c>
      <c r="D56" s="131">
        <f t="shared" si="6"/>
        <v>18.98753535</v>
      </c>
      <c r="E56" s="131">
        <f t="shared" si="7"/>
        <v>-0.01246465416</v>
      </c>
      <c r="F56" s="133">
        <f t="shared" si="8"/>
        <v>0.0001553676034</v>
      </c>
    </row>
    <row r="57" ht="13.5" customHeight="1">
      <c r="A57" s="132">
        <v>20.0</v>
      </c>
      <c r="B57" s="131">
        <v>6.2667</v>
      </c>
      <c r="C57" s="131">
        <f t="shared" si="5"/>
        <v>12.5334</v>
      </c>
      <c r="D57" s="131">
        <f t="shared" si="6"/>
        <v>19.76757846</v>
      </c>
      <c r="E57" s="131">
        <f t="shared" si="7"/>
        <v>-0.2324215431</v>
      </c>
      <c r="F57" s="133">
        <f t="shared" si="8"/>
        <v>0.0540197737</v>
      </c>
    </row>
    <row r="58" ht="13.5" customHeight="1">
      <c r="F58" s="133">
        <f>SUM(F37:F57)</f>
        <v>0.1667661618</v>
      </c>
    </row>
    <row r="59" ht="14.25" customHeight="1"/>
    <row r="60" ht="14.25" customHeight="1">
      <c r="A60" s="5" t="s">
        <v>135</v>
      </c>
      <c r="I60" s="5" t="s">
        <v>141</v>
      </c>
      <c r="K60" s="135">
        <v>1345.0</v>
      </c>
    </row>
    <row r="61" ht="13.5" customHeight="1">
      <c r="A61" s="5" t="s">
        <v>136</v>
      </c>
      <c r="B61" s="134">
        <v>0.045924894447263824</v>
      </c>
      <c r="I61" s="5" t="s">
        <v>142</v>
      </c>
      <c r="K61" s="131">
        <f>$B$30+$B$31*K60/100+$B$32*K60^2*0.0001+$B$33*K60^3*0.000001</f>
        <v>9.859348792</v>
      </c>
    </row>
    <row r="62" ht="14.25" customHeight="1">
      <c r="A62" s="5" t="s">
        <v>137</v>
      </c>
      <c r="B62" s="134">
        <v>1.062977572643017</v>
      </c>
    </row>
    <row r="63" ht="14.25" customHeight="1">
      <c r="A63" s="5" t="s">
        <v>138</v>
      </c>
      <c r="B63" s="134">
        <v>0.14779406242525808</v>
      </c>
      <c r="I63" s="5" t="s">
        <v>143</v>
      </c>
      <c r="K63" s="136">
        <v>9.8799</v>
      </c>
    </row>
    <row r="64" ht="13.5" customHeight="1">
      <c r="A64" s="5" t="s">
        <v>139</v>
      </c>
      <c r="B64" s="134">
        <v>-0.02502508955336344</v>
      </c>
      <c r="I64" s="5" t="s">
        <v>144</v>
      </c>
      <c r="K64" s="81">
        <f>$B$61*100+$B$62*K63*100+$B$63*K63^2*100+$B$64*K63^3*100+$B$65*K63^4*100</f>
        <v>1337.127065</v>
      </c>
    </row>
    <row r="65" ht="13.5" customHeight="1">
      <c r="A65" s="5" t="s">
        <v>151</v>
      </c>
      <c r="B65" s="134">
        <v>0.0013151421406001993</v>
      </c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0.63"/>
    <col customWidth="1" min="3" max="3" width="11.25"/>
    <col customWidth="1" min="4" max="5" width="8.0"/>
    <col customWidth="1" min="6" max="6" width="9.5"/>
    <col customWidth="1" min="7" max="26" width="8.0"/>
  </cols>
  <sheetData>
    <row r="1" ht="13.5" customHeight="1">
      <c r="A1" s="129" t="s">
        <v>104</v>
      </c>
      <c r="B1" s="130" t="s">
        <v>105</v>
      </c>
    </row>
    <row r="2" ht="13.5" customHeight="1">
      <c r="A2" s="5" t="s">
        <v>145</v>
      </c>
    </row>
    <row r="3" ht="13.5" customHeight="1">
      <c r="A3" s="5" t="s">
        <v>149</v>
      </c>
    </row>
    <row r="4" ht="13.5" customHeight="1"/>
    <row r="5" ht="13.5" customHeight="1">
      <c r="A5" s="5" t="s">
        <v>131</v>
      </c>
      <c r="B5" s="5" t="s">
        <v>9</v>
      </c>
      <c r="C5" s="5" t="s">
        <v>140</v>
      </c>
      <c r="D5" s="131" t="s">
        <v>132</v>
      </c>
      <c r="E5" s="5" t="s">
        <v>133</v>
      </c>
      <c r="F5" s="133" t="s">
        <v>134</v>
      </c>
    </row>
    <row r="6" ht="13.5" customHeight="1">
      <c r="A6" s="132">
        <v>0.0</v>
      </c>
      <c r="B6" s="131">
        <v>0.0169</v>
      </c>
      <c r="C6" s="131">
        <f t="shared" ref="C6:C26" si="1">B6*2</f>
        <v>0.0338</v>
      </c>
      <c r="D6" s="131">
        <f t="shared" ref="D6:D26" si="2">$B$30+$B$31*$A6+$B$32*$A6^2+$B$33*$A6^3</f>
        <v>0.07101107886</v>
      </c>
      <c r="E6" s="131">
        <f t="shared" ref="E6:E26" si="3">$D6-$C6</f>
        <v>0.03721107886</v>
      </c>
      <c r="F6" s="133">
        <f t="shared" ref="F6:F26" si="4">$E6^2</f>
        <v>0.00138466439</v>
      </c>
    </row>
    <row r="7" ht="13.5" customHeight="1">
      <c r="A7" s="132">
        <v>1.0</v>
      </c>
      <c r="B7" s="131">
        <v>0.3819</v>
      </c>
      <c r="C7" s="131">
        <f t="shared" si="1"/>
        <v>0.7638</v>
      </c>
      <c r="D7" s="131">
        <f t="shared" si="2"/>
        <v>0.7507710548</v>
      </c>
      <c r="E7" s="131">
        <f t="shared" si="3"/>
        <v>-0.01302894517</v>
      </c>
      <c r="F7" s="133">
        <f t="shared" si="4"/>
        <v>0.0001697534123</v>
      </c>
    </row>
    <row r="8" ht="13.5" customHeight="1">
      <c r="A8" s="132">
        <v>2.0</v>
      </c>
      <c r="B8" s="131">
        <v>0.7485</v>
      </c>
      <c r="C8" s="131">
        <f t="shared" si="1"/>
        <v>1.497</v>
      </c>
      <c r="D8" s="131">
        <f t="shared" si="2"/>
        <v>1.460816716</v>
      </c>
      <c r="E8" s="131">
        <f t="shared" si="3"/>
        <v>-0.03618328414</v>
      </c>
      <c r="F8" s="133">
        <f t="shared" si="4"/>
        <v>0.001309230051</v>
      </c>
    </row>
    <row r="9" ht="13.5" customHeight="1">
      <c r="A9" s="132">
        <v>3.0</v>
      </c>
      <c r="B9" s="131">
        <v>1.1144</v>
      </c>
      <c r="C9" s="131">
        <f t="shared" si="1"/>
        <v>2.2288</v>
      </c>
      <c r="D9" s="131">
        <f t="shared" si="2"/>
        <v>2.194720618</v>
      </c>
      <c r="E9" s="131">
        <f t="shared" si="3"/>
        <v>-0.03407938199</v>
      </c>
      <c r="F9" s="133">
        <f t="shared" si="4"/>
        <v>0.001161404277</v>
      </c>
    </row>
    <row r="10" ht="13.5" customHeight="1">
      <c r="A10" s="132">
        <v>4.0</v>
      </c>
      <c r="B10" s="131">
        <v>1.4797</v>
      </c>
      <c r="C10" s="131">
        <f t="shared" si="1"/>
        <v>2.9594</v>
      </c>
      <c r="D10" s="131">
        <f t="shared" si="2"/>
        <v>2.946055317</v>
      </c>
      <c r="E10" s="131">
        <f t="shared" si="3"/>
        <v>-0.01334468271</v>
      </c>
      <c r="F10" s="133">
        <f t="shared" si="4"/>
        <v>0.0001780805567</v>
      </c>
    </row>
    <row r="11" ht="13.5" customHeight="1">
      <c r="A11" s="132">
        <v>5.0</v>
      </c>
      <c r="B11" s="131">
        <v>1.8555</v>
      </c>
      <c r="C11" s="131">
        <f t="shared" si="1"/>
        <v>3.711</v>
      </c>
      <c r="D11" s="131">
        <f t="shared" si="2"/>
        <v>3.70839337</v>
      </c>
      <c r="E11" s="131">
        <f t="shared" si="3"/>
        <v>-0.002606630258</v>
      </c>
      <c r="F11" s="133">
        <f t="shared" si="4"/>
        <v>0.0000067945213</v>
      </c>
    </row>
    <row r="12" ht="13.5" customHeight="1">
      <c r="A12" s="132">
        <v>6.0</v>
      </c>
      <c r="B12" s="131">
        <v>2.2247</v>
      </c>
      <c r="C12" s="131">
        <f t="shared" si="1"/>
        <v>4.4494</v>
      </c>
      <c r="D12" s="131">
        <f t="shared" si="2"/>
        <v>4.475307331</v>
      </c>
      <c r="E12" s="131">
        <f t="shared" si="3"/>
        <v>0.0259073314</v>
      </c>
      <c r="F12" s="133">
        <f t="shared" si="4"/>
        <v>0.0006711898203</v>
      </c>
    </row>
    <row r="13" ht="13.5" customHeight="1">
      <c r="A13" s="132">
        <v>7.0</v>
      </c>
      <c r="B13" s="131">
        <v>2.6004</v>
      </c>
      <c r="C13" s="131">
        <f t="shared" si="1"/>
        <v>5.2008</v>
      </c>
      <c r="D13" s="131">
        <f t="shared" si="2"/>
        <v>5.240369758</v>
      </c>
      <c r="E13" s="131">
        <f t="shared" si="3"/>
        <v>0.03956975829</v>
      </c>
      <c r="F13" s="133">
        <f t="shared" si="4"/>
        <v>0.001565765771</v>
      </c>
    </row>
    <row r="14" ht="13.5" customHeight="1">
      <c r="A14" s="132">
        <v>8.0</v>
      </c>
      <c r="B14" s="131">
        <v>2.9743</v>
      </c>
      <c r="C14" s="131">
        <f t="shared" si="1"/>
        <v>5.9486</v>
      </c>
      <c r="D14" s="131">
        <f t="shared" si="2"/>
        <v>5.997153206</v>
      </c>
      <c r="E14" s="131">
        <f t="shared" si="3"/>
        <v>0.04855320645</v>
      </c>
      <c r="F14" s="133">
        <f t="shared" si="4"/>
        <v>0.002357413857</v>
      </c>
    </row>
    <row r="15" ht="13.5" customHeight="1">
      <c r="A15" s="132">
        <v>9.0</v>
      </c>
      <c r="B15" s="131">
        <v>3.355</v>
      </c>
      <c r="C15" s="131">
        <f t="shared" si="1"/>
        <v>6.71</v>
      </c>
      <c r="D15" s="131">
        <f t="shared" si="2"/>
        <v>6.739230232</v>
      </c>
      <c r="E15" s="131">
        <f t="shared" si="3"/>
        <v>0.02923023191</v>
      </c>
      <c r="F15" s="133">
        <f t="shared" si="4"/>
        <v>0.0008544064577</v>
      </c>
    </row>
    <row r="16" ht="13.5" customHeight="1">
      <c r="A16" s="132">
        <v>10.0</v>
      </c>
      <c r="B16" s="131">
        <v>3.7331</v>
      </c>
      <c r="C16" s="131">
        <f t="shared" si="1"/>
        <v>7.4662</v>
      </c>
      <c r="D16" s="131">
        <f t="shared" si="2"/>
        <v>7.460173391</v>
      </c>
      <c r="E16" s="131">
        <f t="shared" si="3"/>
        <v>-0.006026609294</v>
      </c>
      <c r="F16" s="133">
        <f t="shared" si="4"/>
        <v>0.00003632001958</v>
      </c>
    </row>
    <row r="17" ht="13.5" customHeight="1">
      <c r="A17" s="132">
        <v>11.0</v>
      </c>
      <c r="B17" s="131">
        <v>4.0982</v>
      </c>
      <c r="C17" s="131">
        <f t="shared" si="1"/>
        <v>8.1964</v>
      </c>
      <c r="D17" s="131">
        <f t="shared" si="2"/>
        <v>8.153555239</v>
      </c>
      <c r="E17" s="131">
        <f t="shared" si="3"/>
        <v>-0.04284476114</v>
      </c>
      <c r="F17" s="133">
        <f t="shared" si="4"/>
        <v>0.001835673557</v>
      </c>
    </row>
    <row r="18" ht="13.5" customHeight="1">
      <c r="A18" s="132">
        <v>12.0</v>
      </c>
      <c r="B18" s="131">
        <v>4.4291</v>
      </c>
      <c r="C18" s="131">
        <f t="shared" si="1"/>
        <v>8.8582</v>
      </c>
      <c r="D18" s="131">
        <f t="shared" si="2"/>
        <v>8.812948332</v>
      </c>
      <c r="E18" s="131">
        <f t="shared" si="3"/>
        <v>-0.04525166758</v>
      </c>
      <c r="F18" s="133">
        <f t="shared" si="4"/>
        <v>0.002047713419</v>
      </c>
    </row>
    <row r="19" ht="13.5" customHeight="1">
      <c r="A19" s="132">
        <v>13.0</v>
      </c>
      <c r="B19" s="131">
        <v>4.7312</v>
      </c>
      <c r="C19" s="131">
        <f t="shared" si="1"/>
        <v>9.4624</v>
      </c>
      <c r="D19" s="131">
        <f t="shared" si="2"/>
        <v>9.431925227</v>
      </c>
      <c r="E19" s="131">
        <f t="shared" si="3"/>
        <v>-0.0304747726</v>
      </c>
      <c r="F19" s="133">
        <f t="shared" si="4"/>
        <v>0.0009287117651</v>
      </c>
    </row>
    <row r="20" ht="13.5" customHeight="1">
      <c r="A20" s="132">
        <v>14.0</v>
      </c>
      <c r="B20" s="131">
        <v>5.008</v>
      </c>
      <c r="C20" s="131">
        <f t="shared" si="1"/>
        <v>10.016</v>
      </c>
      <c r="D20" s="131">
        <f t="shared" si="2"/>
        <v>10.00405848</v>
      </c>
      <c r="E20" s="131">
        <f t="shared" si="3"/>
        <v>-0.01194152016</v>
      </c>
      <c r="F20" s="133">
        <f t="shared" si="4"/>
        <v>0.0001425999037</v>
      </c>
    </row>
    <row r="21" ht="13.5" customHeight="1">
      <c r="A21" s="132">
        <v>15.0</v>
      </c>
      <c r="B21" s="131">
        <v>5.2602</v>
      </c>
      <c r="C21" s="131">
        <f t="shared" si="1"/>
        <v>10.5204</v>
      </c>
      <c r="D21" s="131">
        <f t="shared" si="2"/>
        <v>10.52292065</v>
      </c>
      <c r="E21" s="131">
        <f t="shared" si="3"/>
        <v>0.002520645778</v>
      </c>
      <c r="F21" s="133">
        <f t="shared" si="4"/>
        <v>0.000006353655136</v>
      </c>
    </row>
    <row r="22" ht="13.5" customHeight="1">
      <c r="A22" s="132">
        <v>16.0</v>
      </c>
      <c r="B22" s="131">
        <v>5.4861</v>
      </c>
      <c r="C22" s="131">
        <f t="shared" si="1"/>
        <v>10.9722</v>
      </c>
      <c r="D22" s="131">
        <f t="shared" si="2"/>
        <v>10.98208428</v>
      </c>
      <c r="E22" s="131">
        <f t="shared" si="3"/>
        <v>0.009884281238</v>
      </c>
      <c r="F22" s="133">
        <f t="shared" si="4"/>
        <v>0.0000976990156</v>
      </c>
    </row>
    <row r="23" ht="13.5" customHeight="1">
      <c r="A23" s="132">
        <v>17.0</v>
      </c>
      <c r="B23" s="131">
        <v>5.6751</v>
      </c>
      <c r="C23" s="131">
        <f t="shared" si="1"/>
        <v>11.3502</v>
      </c>
      <c r="D23" s="131">
        <f t="shared" si="2"/>
        <v>11.37512194</v>
      </c>
      <c r="E23" s="131">
        <f t="shared" si="3"/>
        <v>0.02492194226</v>
      </c>
      <c r="F23" s="133">
        <f t="shared" si="4"/>
        <v>0.0006211032058</v>
      </c>
    </row>
    <row r="24" ht="13.5" customHeight="1">
      <c r="A24" s="132">
        <v>18.0</v>
      </c>
      <c r="B24" s="131">
        <v>5.8268</v>
      </c>
      <c r="C24" s="131">
        <f t="shared" si="1"/>
        <v>11.6536</v>
      </c>
      <c r="D24" s="131">
        <f t="shared" si="2"/>
        <v>11.69560618</v>
      </c>
      <c r="E24" s="131">
        <f t="shared" si="3"/>
        <v>0.04200618486</v>
      </c>
      <c r="F24" s="133">
        <f t="shared" si="4"/>
        <v>0.001764519567</v>
      </c>
    </row>
    <row r="25" ht="13.5" customHeight="1">
      <c r="A25" s="132">
        <v>19.0</v>
      </c>
      <c r="B25" s="131">
        <v>5.957</v>
      </c>
      <c r="C25" s="131">
        <f t="shared" si="1"/>
        <v>11.914</v>
      </c>
      <c r="D25" s="131">
        <f t="shared" si="2"/>
        <v>11.93710957</v>
      </c>
      <c r="E25" s="131">
        <f t="shared" si="3"/>
        <v>0.02310956509</v>
      </c>
      <c r="F25" s="133">
        <f t="shared" si="4"/>
        <v>0.0005340519988</v>
      </c>
    </row>
    <row r="26" ht="13.5" customHeight="1">
      <c r="A26" s="132">
        <v>20.0</v>
      </c>
      <c r="B26" s="131">
        <v>6.0717</v>
      </c>
      <c r="C26" s="131">
        <f t="shared" si="1"/>
        <v>12.1434</v>
      </c>
      <c r="D26" s="131">
        <f t="shared" si="2"/>
        <v>12.09320464</v>
      </c>
      <c r="E26" s="131">
        <f t="shared" si="3"/>
        <v>-0.05019536102</v>
      </c>
      <c r="F26" s="133">
        <f t="shared" si="4"/>
        <v>0.002519574268</v>
      </c>
    </row>
    <row r="27" ht="13.5" customHeight="1">
      <c r="F27" s="133">
        <f>SUM(F6:F26)</f>
        <v>0.02019302349</v>
      </c>
    </row>
    <row r="28" ht="13.5" customHeight="1"/>
    <row r="29" ht="13.5" customHeight="1">
      <c r="A29" s="5" t="s">
        <v>135</v>
      </c>
    </row>
    <row r="30" ht="13.5" customHeight="1">
      <c r="A30" s="5" t="s">
        <v>136</v>
      </c>
      <c r="B30" s="134">
        <v>0.07101107886456799</v>
      </c>
    </row>
    <row r="31" ht="13.5" customHeight="1">
      <c r="A31" s="5" t="s">
        <v>137</v>
      </c>
      <c r="B31" s="134">
        <v>0.6624746521016951</v>
      </c>
    </row>
    <row r="32" ht="13.5" customHeight="1">
      <c r="A32" s="5" t="s">
        <v>138</v>
      </c>
      <c r="B32" s="134">
        <v>0.01835656452130239</v>
      </c>
    </row>
    <row r="33" ht="13.5" customHeight="1">
      <c r="A33" s="5" t="s">
        <v>139</v>
      </c>
      <c r="B33" s="134">
        <v>-0.001071240661305327</v>
      </c>
    </row>
    <row r="34" ht="13.5" customHeight="1"/>
    <row r="35" ht="13.5" customHeight="1"/>
    <row r="36" ht="13.5" customHeight="1">
      <c r="A36" s="5" t="s">
        <v>131</v>
      </c>
      <c r="B36" s="5" t="s">
        <v>9</v>
      </c>
      <c r="C36" s="5" t="s">
        <v>140</v>
      </c>
      <c r="D36" s="131" t="s">
        <v>132</v>
      </c>
      <c r="E36" s="5" t="s">
        <v>133</v>
      </c>
      <c r="F36" s="133" t="s">
        <v>134</v>
      </c>
    </row>
    <row r="37" ht="13.5" customHeight="1">
      <c r="A37" s="132">
        <v>0.0</v>
      </c>
      <c r="B37" s="131">
        <v>0.0169</v>
      </c>
      <c r="C37" s="131">
        <f t="shared" ref="C37:C57" si="5">B37*2</f>
        <v>0.0338</v>
      </c>
      <c r="D37" s="131">
        <f t="shared" ref="D37:D57" si="6">$B$61+$B$62*$C37+$B$63*$C37^2+$B$64*$C37^3+$B$65*$C37^4</f>
        <v>0.08468094234</v>
      </c>
      <c r="E37" s="131">
        <f t="shared" ref="E37:E57" si="7">$D37-$A37</f>
        <v>0.08468094234</v>
      </c>
      <c r="F37" s="133">
        <f t="shared" ref="F37:F57" si="8">$E37^2</f>
        <v>0.007170861996</v>
      </c>
    </row>
    <row r="38" ht="13.5" customHeight="1">
      <c r="A38" s="132">
        <v>1.0</v>
      </c>
      <c r="B38" s="131">
        <v>0.3819</v>
      </c>
      <c r="C38" s="131">
        <f t="shared" si="5"/>
        <v>0.7638</v>
      </c>
      <c r="D38" s="131">
        <f t="shared" si="6"/>
        <v>0.9474314976</v>
      </c>
      <c r="E38" s="131">
        <f t="shared" si="7"/>
        <v>-0.05256850239</v>
      </c>
      <c r="F38" s="133">
        <f t="shared" si="8"/>
        <v>0.002763447443</v>
      </c>
    </row>
    <row r="39" ht="13.5" customHeight="1">
      <c r="A39" s="132">
        <v>2.0</v>
      </c>
      <c r="B39" s="131">
        <v>0.7485</v>
      </c>
      <c r="C39" s="131">
        <f t="shared" si="5"/>
        <v>1.497</v>
      </c>
      <c r="D39" s="131">
        <f t="shared" si="6"/>
        <v>1.922860163</v>
      </c>
      <c r="E39" s="131">
        <f t="shared" si="7"/>
        <v>-0.07713983674</v>
      </c>
      <c r="F39" s="133">
        <f t="shared" si="8"/>
        <v>0.005950554412</v>
      </c>
    </row>
    <row r="40" ht="13.5" customHeight="1">
      <c r="A40" s="132">
        <v>3.0</v>
      </c>
      <c r="B40" s="131">
        <v>1.1144</v>
      </c>
      <c r="C40" s="131">
        <f t="shared" si="5"/>
        <v>2.2288</v>
      </c>
      <c r="D40" s="131">
        <f t="shared" si="6"/>
        <v>2.954019472</v>
      </c>
      <c r="E40" s="131">
        <f t="shared" si="7"/>
        <v>-0.04598052772</v>
      </c>
      <c r="F40" s="133">
        <f t="shared" si="8"/>
        <v>0.00211420893</v>
      </c>
    </row>
    <row r="41" ht="13.5" customHeight="1">
      <c r="A41" s="132">
        <v>4.0</v>
      </c>
      <c r="B41" s="131">
        <v>1.4797</v>
      </c>
      <c r="C41" s="131">
        <f t="shared" si="5"/>
        <v>2.9594</v>
      </c>
      <c r="D41" s="131">
        <f t="shared" si="6"/>
        <v>4.000822519</v>
      </c>
      <c r="E41" s="131">
        <f t="shared" si="7"/>
        <v>0.0008225187618</v>
      </c>
      <c r="F41" s="133">
        <f t="shared" si="8"/>
        <v>0.0000006765371136</v>
      </c>
    </row>
    <row r="42" ht="13.5" customHeight="1">
      <c r="A42" s="132">
        <v>5.0</v>
      </c>
      <c r="B42" s="131">
        <v>1.8555</v>
      </c>
      <c r="C42" s="131">
        <f t="shared" si="5"/>
        <v>3.711</v>
      </c>
      <c r="D42" s="131">
        <f t="shared" si="6"/>
        <v>5.065324212</v>
      </c>
      <c r="E42" s="131">
        <f t="shared" si="7"/>
        <v>0.06532421159</v>
      </c>
      <c r="F42" s="133">
        <f t="shared" si="8"/>
        <v>0.004267252619</v>
      </c>
    </row>
    <row r="43" ht="13.5" customHeight="1">
      <c r="A43" s="132">
        <v>6.0</v>
      </c>
      <c r="B43" s="131">
        <v>2.2247</v>
      </c>
      <c r="C43" s="131">
        <f t="shared" si="5"/>
        <v>4.4494</v>
      </c>
      <c r="D43" s="131">
        <f t="shared" si="6"/>
        <v>6.080284758</v>
      </c>
      <c r="E43" s="131">
        <f t="shared" si="7"/>
        <v>0.08028475753</v>
      </c>
      <c r="F43" s="133">
        <f t="shared" si="8"/>
        <v>0.006445642292</v>
      </c>
    </row>
    <row r="44" ht="13.5" customHeight="1">
      <c r="A44" s="132">
        <v>7.0</v>
      </c>
      <c r="B44" s="131">
        <v>2.6004</v>
      </c>
      <c r="C44" s="131">
        <f t="shared" si="5"/>
        <v>5.2008</v>
      </c>
      <c r="D44" s="131">
        <f t="shared" si="6"/>
        <v>7.074576624</v>
      </c>
      <c r="E44" s="131">
        <f t="shared" si="7"/>
        <v>0.07457662383</v>
      </c>
      <c r="F44" s="133">
        <f t="shared" si="8"/>
        <v>0.005561672822</v>
      </c>
    </row>
    <row r="45" ht="13.5" customHeight="1">
      <c r="A45" s="132">
        <v>8.0</v>
      </c>
      <c r="B45" s="131">
        <v>2.9743</v>
      </c>
      <c r="C45" s="131">
        <f t="shared" si="5"/>
        <v>5.9486</v>
      </c>
      <c r="D45" s="131">
        <f t="shared" si="6"/>
        <v>8.030383447</v>
      </c>
      <c r="E45" s="131">
        <f t="shared" si="7"/>
        <v>0.03038344666</v>
      </c>
      <c r="F45" s="133">
        <f t="shared" si="8"/>
        <v>0.0009231538307</v>
      </c>
    </row>
    <row r="46" ht="13.5" customHeight="1">
      <c r="A46" s="132">
        <v>9.0</v>
      </c>
      <c r="B46" s="131">
        <v>3.355</v>
      </c>
      <c r="C46" s="131">
        <f t="shared" si="5"/>
        <v>6.71</v>
      </c>
      <c r="D46" s="131">
        <f t="shared" si="6"/>
        <v>8.986549567</v>
      </c>
      <c r="E46" s="131">
        <f t="shared" si="7"/>
        <v>-0.01345043299</v>
      </c>
      <c r="F46" s="133">
        <f t="shared" si="8"/>
        <v>0.0001809141476</v>
      </c>
    </row>
    <row r="47" ht="13.5" customHeight="1">
      <c r="A47" s="132">
        <v>10.0</v>
      </c>
      <c r="B47" s="131">
        <v>3.7331</v>
      </c>
      <c r="C47" s="131">
        <f t="shared" si="5"/>
        <v>7.4662</v>
      </c>
      <c r="D47" s="131">
        <f t="shared" si="6"/>
        <v>9.949315982</v>
      </c>
      <c r="E47" s="131">
        <f t="shared" si="7"/>
        <v>-0.05068401773</v>
      </c>
      <c r="F47" s="133">
        <f t="shared" si="8"/>
        <v>0.002568869654</v>
      </c>
    </row>
    <row r="48" ht="13.5" customHeight="1">
      <c r="A48" s="132">
        <v>11.0</v>
      </c>
      <c r="B48" s="131">
        <v>4.0982</v>
      </c>
      <c r="C48" s="131">
        <f t="shared" si="5"/>
        <v>8.1964</v>
      </c>
      <c r="D48" s="131">
        <f t="shared" si="6"/>
        <v>10.93139495</v>
      </c>
      <c r="E48" s="131">
        <f t="shared" si="7"/>
        <v>-0.06860504974</v>
      </c>
      <c r="F48" s="133">
        <f t="shared" si="8"/>
        <v>0.004706652849</v>
      </c>
    </row>
    <row r="49" ht="13.5" customHeight="1">
      <c r="A49" s="132">
        <v>12.0</v>
      </c>
      <c r="B49" s="131">
        <v>4.4291</v>
      </c>
      <c r="C49" s="131">
        <f t="shared" si="5"/>
        <v>8.8582</v>
      </c>
      <c r="D49" s="131">
        <f t="shared" si="6"/>
        <v>11.90764503</v>
      </c>
      <c r="E49" s="131">
        <f t="shared" si="7"/>
        <v>-0.0923549718</v>
      </c>
      <c r="F49" s="133">
        <f t="shared" si="8"/>
        <v>0.008529440816</v>
      </c>
    </row>
    <row r="50" ht="13.5" customHeight="1">
      <c r="A50" s="132">
        <v>13.0</v>
      </c>
      <c r="B50" s="131">
        <v>4.7312</v>
      </c>
      <c r="C50" s="131">
        <f t="shared" si="5"/>
        <v>9.4624</v>
      </c>
      <c r="D50" s="131">
        <f t="shared" si="6"/>
        <v>12.90936908</v>
      </c>
      <c r="E50" s="131">
        <f t="shared" si="7"/>
        <v>-0.09063091807</v>
      </c>
      <c r="F50" s="133">
        <f t="shared" si="8"/>
        <v>0.008213963311</v>
      </c>
    </row>
    <row r="51" ht="13.5" customHeight="1">
      <c r="A51" s="132">
        <v>14.0</v>
      </c>
      <c r="B51" s="131">
        <v>5.008</v>
      </c>
      <c r="C51" s="131">
        <f t="shared" si="5"/>
        <v>10.016</v>
      </c>
      <c r="D51" s="131">
        <f t="shared" si="6"/>
        <v>13.95422508</v>
      </c>
      <c r="E51" s="131">
        <f t="shared" si="7"/>
        <v>-0.04577492355</v>
      </c>
      <c r="F51" s="133">
        <f t="shared" si="8"/>
        <v>0.002095343626</v>
      </c>
    </row>
    <row r="52" ht="13.5" customHeight="1">
      <c r="A52" s="132">
        <v>15.0</v>
      </c>
      <c r="B52" s="131">
        <v>5.2602</v>
      </c>
      <c r="C52" s="131">
        <f t="shared" si="5"/>
        <v>10.5204</v>
      </c>
      <c r="D52" s="131">
        <f t="shared" si="6"/>
        <v>15.04150972</v>
      </c>
      <c r="E52" s="131">
        <f t="shared" si="7"/>
        <v>0.04150972481</v>
      </c>
      <c r="F52" s="133">
        <f t="shared" si="8"/>
        <v>0.001723057254</v>
      </c>
    </row>
    <row r="53" ht="13.5" customHeight="1">
      <c r="A53" s="132">
        <v>16.0</v>
      </c>
      <c r="B53" s="131">
        <v>5.4861</v>
      </c>
      <c r="C53" s="131">
        <f t="shared" si="5"/>
        <v>10.9722</v>
      </c>
      <c r="D53" s="131">
        <f t="shared" si="6"/>
        <v>16.14885439</v>
      </c>
      <c r="E53" s="131">
        <f t="shared" si="7"/>
        <v>0.148854386</v>
      </c>
      <c r="F53" s="133">
        <f t="shared" si="8"/>
        <v>0.02215762823</v>
      </c>
    </row>
    <row r="54" ht="13.5" customHeight="1">
      <c r="A54" s="132">
        <v>17.0</v>
      </c>
      <c r="B54" s="131">
        <v>5.6751</v>
      </c>
      <c r="C54" s="131">
        <f t="shared" si="5"/>
        <v>11.3502</v>
      </c>
      <c r="D54" s="131">
        <f t="shared" si="6"/>
        <v>17.18882353</v>
      </c>
      <c r="E54" s="131">
        <f t="shared" si="7"/>
        <v>0.1888235262</v>
      </c>
      <c r="F54" s="133">
        <f t="shared" si="8"/>
        <v>0.03565432403</v>
      </c>
    </row>
    <row r="55" ht="13.5" customHeight="1">
      <c r="A55" s="132">
        <v>18.0</v>
      </c>
      <c r="B55" s="131">
        <v>5.8268</v>
      </c>
      <c r="C55" s="131">
        <f t="shared" si="5"/>
        <v>11.6536</v>
      </c>
      <c r="D55" s="131">
        <f t="shared" si="6"/>
        <v>18.10827941</v>
      </c>
      <c r="E55" s="131">
        <f t="shared" si="7"/>
        <v>0.1082794095</v>
      </c>
      <c r="F55" s="133">
        <f t="shared" si="8"/>
        <v>0.01172443052</v>
      </c>
    </row>
    <row r="56" ht="13.5" customHeight="1">
      <c r="A56" s="132">
        <v>19.0</v>
      </c>
      <c r="B56" s="131">
        <v>5.957</v>
      </c>
      <c r="C56" s="131">
        <f t="shared" si="5"/>
        <v>11.914</v>
      </c>
      <c r="D56" s="131">
        <f t="shared" si="6"/>
        <v>18.96375621</v>
      </c>
      <c r="E56" s="131">
        <f t="shared" si="7"/>
        <v>-0.03624378777</v>
      </c>
      <c r="F56" s="133">
        <f t="shared" si="8"/>
        <v>0.001313612152</v>
      </c>
    </row>
    <row r="57" ht="13.5" customHeight="1">
      <c r="A57" s="132">
        <v>20.0</v>
      </c>
      <c r="B57" s="131">
        <v>6.0717</v>
      </c>
      <c r="C57" s="131">
        <f t="shared" si="5"/>
        <v>12.1434</v>
      </c>
      <c r="D57" s="131">
        <f t="shared" si="6"/>
        <v>19.77229618</v>
      </c>
      <c r="E57" s="131">
        <f t="shared" si="7"/>
        <v>-0.2277038213</v>
      </c>
      <c r="F57" s="133">
        <f t="shared" si="8"/>
        <v>0.05184903021</v>
      </c>
    </row>
    <row r="58" ht="13.5" customHeight="1">
      <c r="F58" s="133">
        <f>SUM(F37:F57)</f>
        <v>0.1859147377</v>
      </c>
    </row>
    <row r="59" ht="14.25" customHeight="1"/>
    <row r="60" ht="14.25" customHeight="1">
      <c r="A60" s="5" t="s">
        <v>135</v>
      </c>
      <c r="I60" s="5" t="s">
        <v>141</v>
      </c>
      <c r="K60" s="135">
        <v>1325.0</v>
      </c>
    </row>
    <row r="61" ht="13.5" customHeight="1">
      <c r="A61" s="5" t="s">
        <v>136</v>
      </c>
      <c r="B61" s="134">
        <v>0.04833436931125327</v>
      </c>
      <c r="I61" s="5" t="s">
        <v>142</v>
      </c>
      <c r="K61" s="131">
        <f>$B$30+$B$31*K60/100+$B$32*K60^2*0.0001+$B$33*K60^3*0.000001</f>
        <v>9.579601204</v>
      </c>
    </row>
    <row r="62" ht="14.25" customHeight="1">
      <c r="A62" s="5" t="s">
        <v>137</v>
      </c>
      <c r="B62" s="134">
        <v>1.069912910808689</v>
      </c>
    </row>
    <row r="63" ht="14.25" customHeight="1">
      <c r="A63" s="5" t="s">
        <v>138</v>
      </c>
      <c r="B63" s="134">
        <v>0.16161485979153004</v>
      </c>
      <c r="I63" s="5" t="s">
        <v>143</v>
      </c>
      <c r="K63" s="136">
        <v>9.603</v>
      </c>
    </row>
    <row r="64" ht="13.5" customHeight="1">
      <c r="A64" s="5" t="s">
        <v>139</v>
      </c>
      <c r="B64" s="134">
        <v>-0.02902356296152249</v>
      </c>
      <c r="I64" s="5" t="s">
        <v>144</v>
      </c>
      <c r="K64" s="81">
        <f>$B$61*100+$B$62*K63*100+$B$63*K63^2*100+$B$64*K63^3*100+$B$65*K63^4*100</f>
        <v>1316.185147</v>
      </c>
    </row>
    <row r="65" ht="13.5" customHeight="1">
      <c r="A65" s="5" t="s">
        <v>151</v>
      </c>
      <c r="B65" s="134">
        <v>0.0016036617034068694</v>
      </c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0.63"/>
    <col customWidth="1" min="3" max="3" width="11.25"/>
    <col customWidth="1" min="4" max="5" width="8.0"/>
    <col customWidth="1" min="6" max="6" width="9.5"/>
    <col customWidth="1" min="7" max="26" width="8.0"/>
  </cols>
  <sheetData>
    <row r="1" ht="13.5" customHeight="1">
      <c r="A1" s="129" t="s">
        <v>106</v>
      </c>
      <c r="B1" s="130" t="s">
        <v>107</v>
      </c>
    </row>
    <row r="2" ht="13.5" customHeight="1">
      <c r="A2" s="5" t="s">
        <v>145</v>
      </c>
    </row>
    <row r="3" ht="13.5" customHeight="1">
      <c r="A3" s="5" t="s">
        <v>149</v>
      </c>
    </row>
    <row r="4" ht="13.5" customHeight="1"/>
    <row r="5" ht="13.5" customHeight="1">
      <c r="A5" s="5" t="s">
        <v>131</v>
      </c>
      <c r="B5" s="5" t="s">
        <v>9</v>
      </c>
      <c r="C5" s="5" t="s">
        <v>140</v>
      </c>
      <c r="D5" s="131" t="s">
        <v>132</v>
      </c>
      <c r="E5" s="5" t="s">
        <v>133</v>
      </c>
      <c r="F5" s="133" t="s">
        <v>134</v>
      </c>
    </row>
    <row r="6" ht="13.5" customHeight="1">
      <c r="A6" s="132">
        <v>0.0</v>
      </c>
      <c r="B6" s="131">
        <v>0.0131</v>
      </c>
      <c r="C6" s="131">
        <f t="shared" ref="C6:C26" si="1">B6*2</f>
        <v>0.0262</v>
      </c>
      <c r="D6" s="131">
        <f t="shared" ref="D6:D26" si="2">$B$30+$B$31*$A6+$B$32*$A6^2+$B$33*$A6^3</f>
        <v>0.04398923209</v>
      </c>
      <c r="E6" s="131">
        <f t="shared" ref="E6:E26" si="3">$D6-$C6</f>
        <v>0.01778923209</v>
      </c>
      <c r="F6" s="133">
        <f t="shared" ref="F6:F26" si="4">$E6^2</f>
        <v>0.0003164567784</v>
      </c>
    </row>
    <row r="7" ht="13.5" customHeight="1">
      <c r="A7" s="132">
        <v>1.0</v>
      </c>
      <c r="B7" s="131">
        <v>0.3775</v>
      </c>
      <c r="C7" s="131">
        <f t="shared" si="1"/>
        <v>0.755</v>
      </c>
      <c r="D7" s="131">
        <f t="shared" si="2"/>
        <v>0.7344903981</v>
      </c>
      <c r="E7" s="131">
        <f t="shared" si="3"/>
        <v>-0.02050960191</v>
      </c>
      <c r="F7" s="133">
        <f t="shared" si="4"/>
        <v>0.0004206437705</v>
      </c>
    </row>
    <row r="8" ht="13.5" customHeight="1">
      <c r="A8" s="132">
        <v>2.0</v>
      </c>
      <c r="B8" s="131">
        <v>0.7401</v>
      </c>
      <c r="C8" s="131">
        <f t="shared" si="1"/>
        <v>1.4802</v>
      </c>
      <c r="D8" s="131">
        <f t="shared" si="2"/>
        <v>1.450109065</v>
      </c>
      <c r="E8" s="131">
        <f t="shared" si="3"/>
        <v>-0.03009093501</v>
      </c>
      <c r="F8" s="133">
        <f t="shared" si="4"/>
        <v>0.0009054643701</v>
      </c>
    </row>
    <row r="9" ht="13.5" customHeight="1">
      <c r="A9" s="132">
        <v>3.0</v>
      </c>
      <c r="B9" s="131">
        <v>1.1015</v>
      </c>
      <c r="C9" s="131">
        <f t="shared" si="1"/>
        <v>2.203</v>
      </c>
      <c r="D9" s="131">
        <f t="shared" si="2"/>
        <v>2.184511043</v>
      </c>
      <c r="E9" s="131">
        <f t="shared" si="3"/>
        <v>-0.01848895651</v>
      </c>
      <c r="F9" s="133">
        <f t="shared" si="4"/>
        <v>0.000341841513</v>
      </c>
    </row>
    <row r="10" ht="13.5" customHeight="1">
      <c r="A10" s="132">
        <v>4.0</v>
      </c>
      <c r="B10" s="131">
        <v>1.4661</v>
      </c>
      <c r="C10" s="131">
        <f t="shared" si="1"/>
        <v>2.9322</v>
      </c>
      <c r="D10" s="131">
        <f t="shared" si="2"/>
        <v>2.931362144</v>
      </c>
      <c r="E10" s="131">
        <f t="shared" si="3"/>
        <v>-0.0008378557</v>
      </c>
      <c r="F10" s="133">
        <f t="shared" si="4"/>
        <v>0.000000702002174</v>
      </c>
    </row>
    <row r="11" ht="13.5" customHeight="1">
      <c r="A11" s="132">
        <v>5.0</v>
      </c>
      <c r="B11" s="131">
        <v>1.8316</v>
      </c>
      <c r="C11" s="131">
        <f t="shared" si="1"/>
        <v>3.6632</v>
      </c>
      <c r="D11" s="131">
        <f t="shared" si="2"/>
        <v>3.684328178</v>
      </c>
      <c r="E11" s="131">
        <f t="shared" si="3"/>
        <v>0.02112817814</v>
      </c>
      <c r="F11" s="133">
        <f t="shared" si="4"/>
        <v>0.0004463999115</v>
      </c>
    </row>
    <row r="12" ht="13.5" customHeight="1">
      <c r="A12" s="132">
        <v>6.0</v>
      </c>
      <c r="B12" s="131">
        <v>2.196</v>
      </c>
      <c r="C12" s="131">
        <f t="shared" si="1"/>
        <v>4.392</v>
      </c>
      <c r="D12" s="131">
        <f t="shared" si="2"/>
        <v>4.437074956</v>
      </c>
      <c r="E12" s="131">
        <f t="shared" si="3"/>
        <v>0.04507495571</v>
      </c>
      <c r="F12" s="133">
        <f t="shared" si="4"/>
        <v>0.002031751632</v>
      </c>
    </row>
    <row r="13" ht="13.5" customHeight="1">
      <c r="A13" s="132">
        <v>7.0</v>
      </c>
      <c r="B13" s="131">
        <v>2.5668</v>
      </c>
      <c r="C13" s="131">
        <f t="shared" si="1"/>
        <v>5.1336</v>
      </c>
      <c r="D13" s="131">
        <f t="shared" si="2"/>
        <v>5.183268288</v>
      </c>
      <c r="E13" s="131">
        <f t="shared" si="3"/>
        <v>0.04966828773</v>
      </c>
      <c r="F13" s="133">
        <f t="shared" si="4"/>
        <v>0.002466938806</v>
      </c>
    </row>
    <row r="14" ht="13.5" customHeight="1">
      <c r="A14" s="132">
        <v>8.0</v>
      </c>
      <c r="B14" s="131">
        <v>2.9391</v>
      </c>
      <c r="C14" s="131">
        <f t="shared" si="1"/>
        <v>5.8782</v>
      </c>
      <c r="D14" s="131">
        <f t="shared" si="2"/>
        <v>5.916573985</v>
      </c>
      <c r="E14" s="131">
        <f t="shared" si="3"/>
        <v>0.0383739849</v>
      </c>
      <c r="F14" s="133">
        <f t="shared" si="4"/>
        <v>0.001472562717</v>
      </c>
    </row>
    <row r="15" ht="13.5" customHeight="1">
      <c r="A15" s="132">
        <v>9.0</v>
      </c>
      <c r="B15" s="131">
        <v>3.31</v>
      </c>
      <c r="C15" s="131">
        <f t="shared" si="1"/>
        <v>6.62</v>
      </c>
      <c r="D15" s="131">
        <f t="shared" si="2"/>
        <v>6.630657858</v>
      </c>
      <c r="E15" s="131">
        <f t="shared" si="3"/>
        <v>0.01065785793</v>
      </c>
      <c r="F15" s="133">
        <f t="shared" si="4"/>
        <v>0.0001135899357</v>
      </c>
    </row>
    <row r="16" ht="13.5" customHeight="1">
      <c r="A16" s="132">
        <v>10.0</v>
      </c>
      <c r="B16" s="131">
        <v>3.6789</v>
      </c>
      <c r="C16" s="131">
        <f t="shared" si="1"/>
        <v>7.3578</v>
      </c>
      <c r="D16" s="131">
        <f t="shared" si="2"/>
        <v>7.319185718</v>
      </c>
      <c r="E16" s="131">
        <f t="shared" si="3"/>
        <v>-0.03861428246</v>
      </c>
      <c r="F16" s="133">
        <f t="shared" si="4"/>
        <v>0.00149106281</v>
      </c>
    </row>
    <row r="17" ht="13.5" customHeight="1">
      <c r="A17" s="132">
        <v>11.0</v>
      </c>
      <c r="B17" s="131">
        <v>4.0241</v>
      </c>
      <c r="C17" s="131">
        <f t="shared" si="1"/>
        <v>8.0482</v>
      </c>
      <c r="D17" s="131">
        <f t="shared" si="2"/>
        <v>7.975823374</v>
      </c>
      <c r="E17" s="131">
        <f t="shared" si="3"/>
        <v>-0.07237662558</v>
      </c>
      <c r="F17" s="133">
        <f t="shared" si="4"/>
        <v>0.00523837593</v>
      </c>
    </row>
    <row r="18" ht="13.5" customHeight="1">
      <c r="A18" s="132">
        <v>12.0</v>
      </c>
      <c r="B18" s="131">
        <v>4.3244</v>
      </c>
      <c r="C18" s="131">
        <f t="shared" si="1"/>
        <v>8.6488</v>
      </c>
      <c r="D18" s="131">
        <f t="shared" si="2"/>
        <v>8.594236639</v>
      </c>
      <c r="E18" s="131">
        <f t="shared" si="3"/>
        <v>-0.0545633607</v>
      </c>
      <c r="F18" s="133">
        <f t="shared" si="4"/>
        <v>0.002977160331</v>
      </c>
    </row>
    <row r="19" ht="13.5" customHeight="1">
      <c r="A19" s="132">
        <v>13.0</v>
      </c>
      <c r="B19" s="131">
        <v>4.6033</v>
      </c>
      <c r="C19" s="131">
        <f t="shared" si="1"/>
        <v>9.2066</v>
      </c>
      <c r="D19" s="131">
        <f t="shared" si="2"/>
        <v>9.168091323</v>
      </c>
      <c r="E19" s="131">
        <f t="shared" si="3"/>
        <v>-0.03850867712</v>
      </c>
      <c r="F19" s="133">
        <f t="shared" si="4"/>
        <v>0.001482918214</v>
      </c>
    </row>
    <row r="20" ht="13.5" customHeight="1">
      <c r="A20" s="132">
        <v>14.0</v>
      </c>
      <c r="B20" s="131">
        <v>4.8507</v>
      </c>
      <c r="C20" s="131">
        <f t="shared" si="1"/>
        <v>9.7014</v>
      </c>
      <c r="D20" s="131">
        <f t="shared" si="2"/>
        <v>9.691053236</v>
      </c>
      <c r="E20" s="131">
        <f t="shared" si="3"/>
        <v>-0.01034676413</v>
      </c>
      <c r="F20" s="133">
        <f t="shared" si="4"/>
        <v>0.000107055528</v>
      </c>
    </row>
    <row r="21" ht="13.5" customHeight="1">
      <c r="A21" s="132">
        <v>15.0</v>
      </c>
      <c r="B21" s="131">
        <v>5.074</v>
      </c>
      <c r="C21" s="131">
        <f t="shared" si="1"/>
        <v>10.148</v>
      </c>
      <c r="D21" s="131">
        <f t="shared" si="2"/>
        <v>10.15678819</v>
      </c>
      <c r="E21" s="131">
        <f t="shared" si="3"/>
        <v>0.008788188976</v>
      </c>
      <c r="F21" s="133">
        <f t="shared" si="4"/>
        <v>0.00007723226548</v>
      </c>
    </row>
    <row r="22" ht="13.5" customHeight="1">
      <c r="A22" s="132">
        <v>16.0</v>
      </c>
      <c r="B22" s="131">
        <v>5.2648</v>
      </c>
      <c r="C22" s="131">
        <f t="shared" si="1"/>
        <v>10.5296</v>
      </c>
      <c r="D22" s="131">
        <f t="shared" si="2"/>
        <v>10.55896199</v>
      </c>
      <c r="E22" s="131">
        <f t="shared" si="3"/>
        <v>0.02936199291</v>
      </c>
      <c r="F22" s="133">
        <f t="shared" si="4"/>
        <v>0.0008621266279</v>
      </c>
    </row>
    <row r="23" ht="13.5" customHeight="1">
      <c r="A23" s="132">
        <v>17.0</v>
      </c>
      <c r="B23" s="131">
        <v>5.4147</v>
      </c>
      <c r="C23" s="131">
        <f t="shared" si="1"/>
        <v>10.8294</v>
      </c>
      <c r="D23" s="131">
        <f t="shared" si="2"/>
        <v>10.89124046</v>
      </c>
      <c r="E23" s="131">
        <f t="shared" si="3"/>
        <v>0.06184045839</v>
      </c>
      <c r="F23" s="133">
        <f t="shared" si="4"/>
        <v>0.003824242294</v>
      </c>
    </row>
    <row r="24" ht="13.5" customHeight="1">
      <c r="A24" s="132">
        <v>18.0</v>
      </c>
      <c r="B24" s="131">
        <v>5.5389</v>
      </c>
      <c r="C24" s="131">
        <f t="shared" si="1"/>
        <v>11.0778</v>
      </c>
      <c r="D24" s="131">
        <f t="shared" si="2"/>
        <v>11.1472894</v>
      </c>
      <c r="E24" s="131">
        <f t="shared" si="3"/>
        <v>0.06948939612</v>
      </c>
      <c r="F24" s="133">
        <f t="shared" si="4"/>
        <v>0.004828776173</v>
      </c>
    </row>
    <row r="25" ht="13.5" customHeight="1">
      <c r="A25" s="132">
        <v>19.0</v>
      </c>
      <c r="B25" s="131">
        <v>5.6496</v>
      </c>
      <c r="C25" s="131">
        <f t="shared" si="1"/>
        <v>11.2992</v>
      </c>
      <c r="D25" s="131">
        <f t="shared" si="2"/>
        <v>11.32077462</v>
      </c>
      <c r="E25" s="131">
        <f t="shared" si="3"/>
        <v>0.0215746168</v>
      </c>
      <c r="F25" s="133">
        <f t="shared" si="4"/>
        <v>0.0004654640902</v>
      </c>
    </row>
    <row r="26" ht="13.5" customHeight="1">
      <c r="A26" s="132">
        <v>20.0</v>
      </c>
      <c r="B26" s="131">
        <v>5.748</v>
      </c>
      <c r="C26" s="131">
        <f t="shared" si="1"/>
        <v>11.496</v>
      </c>
      <c r="D26" s="131">
        <f t="shared" si="2"/>
        <v>11.40536193</v>
      </c>
      <c r="E26" s="131">
        <f t="shared" si="3"/>
        <v>-0.09063806884</v>
      </c>
      <c r="F26" s="133">
        <f t="shared" si="4"/>
        <v>0.008215259524</v>
      </c>
    </row>
    <row r="27" ht="13.5" customHeight="1">
      <c r="F27" s="133">
        <f>SUM(F6:F26)</f>
        <v>0.03808602522</v>
      </c>
    </row>
    <row r="28" ht="13.5" customHeight="1"/>
    <row r="29" ht="13.5" customHeight="1">
      <c r="A29" s="5" t="s">
        <v>135</v>
      </c>
    </row>
    <row r="30" ht="13.5" customHeight="1">
      <c r="A30" s="5" t="s">
        <v>136</v>
      </c>
      <c r="B30" s="134">
        <v>0.04398923209193109</v>
      </c>
    </row>
    <row r="31" ht="13.5" customHeight="1">
      <c r="A31" s="5" t="s">
        <v>137</v>
      </c>
      <c r="B31" s="134">
        <v>0.6758310191208416</v>
      </c>
    </row>
    <row r="32" ht="13.5" customHeight="1">
      <c r="A32" s="5" t="s">
        <v>138</v>
      </c>
      <c r="B32" s="134">
        <v>0.01572584509309066</v>
      </c>
    </row>
    <row r="33" ht="13.5" customHeight="1">
      <c r="A33" s="5" t="s">
        <v>139</v>
      </c>
      <c r="B33" s="134">
        <v>-0.001055698215073723</v>
      </c>
    </row>
    <row r="34" ht="13.5" customHeight="1"/>
    <row r="35" ht="13.5" customHeight="1"/>
    <row r="36" ht="13.5" customHeight="1">
      <c r="A36" s="5" t="s">
        <v>131</v>
      </c>
      <c r="B36" s="5" t="s">
        <v>9</v>
      </c>
      <c r="C36" s="5" t="s">
        <v>140</v>
      </c>
      <c r="D36" s="131" t="s">
        <v>132</v>
      </c>
      <c r="E36" s="5" t="s">
        <v>133</v>
      </c>
      <c r="F36" s="133" t="s">
        <v>134</v>
      </c>
    </row>
    <row r="37" ht="13.5" customHeight="1">
      <c r="A37" s="132">
        <v>0.0</v>
      </c>
      <c r="B37" s="131">
        <v>0.0131</v>
      </c>
      <c r="C37" s="131">
        <f t="shared" ref="C37:C57" si="5">B37*2</f>
        <v>0.0262</v>
      </c>
      <c r="D37" s="131">
        <f t="shared" ref="D37:D57" si="6">$B$61+$B$62*$C37+$B$63*$C37^2+$B$64*$C37^3+$B$65*$C37^4</f>
        <v>0.03613229837</v>
      </c>
      <c r="E37" s="131">
        <f t="shared" ref="E37:E57" si="7">$D37-$A37</f>
        <v>0.03613229837</v>
      </c>
      <c r="F37" s="133">
        <f t="shared" ref="F37:F57" si="8">$E37^2</f>
        <v>0.001305542986</v>
      </c>
    </row>
    <row r="38" ht="13.5" customHeight="1">
      <c r="A38" s="132">
        <v>1.0</v>
      </c>
      <c r="B38" s="131">
        <v>0.3775</v>
      </c>
      <c r="C38" s="131">
        <f t="shared" si="5"/>
        <v>0.755</v>
      </c>
      <c r="D38" s="131">
        <f t="shared" si="6"/>
        <v>0.9060585475</v>
      </c>
      <c r="E38" s="131">
        <f t="shared" si="7"/>
        <v>-0.09394145249</v>
      </c>
      <c r="F38" s="133">
        <f t="shared" si="8"/>
        <v>0.008824996496</v>
      </c>
    </row>
    <row r="39" ht="13.5" customHeight="1">
      <c r="A39" s="132">
        <v>2.0</v>
      </c>
      <c r="B39" s="131">
        <v>0.7401</v>
      </c>
      <c r="C39" s="131">
        <f t="shared" si="5"/>
        <v>1.4802</v>
      </c>
      <c r="D39" s="131">
        <f t="shared" si="6"/>
        <v>1.901686915</v>
      </c>
      <c r="E39" s="131">
        <f t="shared" si="7"/>
        <v>-0.09831308506</v>
      </c>
      <c r="F39" s="133">
        <f t="shared" si="8"/>
        <v>0.009665462694</v>
      </c>
    </row>
    <row r="40" ht="13.5" customHeight="1">
      <c r="A40" s="132">
        <v>3.0</v>
      </c>
      <c r="B40" s="131">
        <v>1.1015</v>
      </c>
      <c r="C40" s="131">
        <f t="shared" si="5"/>
        <v>2.203</v>
      </c>
      <c r="D40" s="131">
        <f t="shared" si="6"/>
        <v>2.95707238</v>
      </c>
      <c r="E40" s="131">
        <f t="shared" si="7"/>
        <v>-0.04292762004</v>
      </c>
      <c r="F40" s="133">
        <f t="shared" si="8"/>
        <v>0.001842780562</v>
      </c>
    </row>
    <row r="41" ht="13.5" customHeight="1">
      <c r="A41" s="132">
        <v>4.0</v>
      </c>
      <c r="B41" s="131">
        <v>1.4661</v>
      </c>
      <c r="C41" s="131">
        <f t="shared" si="5"/>
        <v>2.9322</v>
      </c>
      <c r="D41" s="131">
        <f t="shared" si="6"/>
        <v>4.034333379</v>
      </c>
      <c r="E41" s="131">
        <f t="shared" si="7"/>
        <v>0.03433337872</v>
      </c>
      <c r="F41" s="133">
        <f t="shared" si="8"/>
        <v>0.001178780894</v>
      </c>
    </row>
    <row r="42" ht="13.5" customHeight="1">
      <c r="A42" s="132">
        <v>5.0</v>
      </c>
      <c r="B42" s="131">
        <v>1.8316</v>
      </c>
      <c r="C42" s="131">
        <f t="shared" si="5"/>
        <v>3.6632</v>
      </c>
      <c r="D42" s="131">
        <f t="shared" si="6"/>
        <v>5.090763185</v>
      </c>
      <c r="E42" s="131">
        <f t="shared" si="7"/>
        <v>0.09076318539</v>
      </c>
      <c r="F42" s="133">
        <f t="shared" si="8"/>
        <v>0.008237955822</v>
      </c>
    </row>
    <row r="43" ht="13.5" customHeight="1">
      <c r="A43" s="132">
        <v>6.0</v>
      </c>
      <c r="B43" s="131">
        <v>2.196</v>
      </c>
      <c r="C43" s="131">
        <f t="shared" si="5"/>
        <v>4.392</v>
      </c>
      <c r="D43" s="131">
        <f t="shared" si="6"/>
        <v>6.100194773</v>
      </c>
      <c r="E43" s="131">
        <f t="shared" si="7"/>
        <v>0.1001947733</v>
      </c>
      <c r="F43" s="133">
        <f t="shared" si="8"/>
        <v>0.0100389926</v>
      </c>
    </row>
    <row r="44" ht="13.5" customHeight="1">
      <c r="A44" s="132">
        <v>7.0</v>
      </c>
      <c r="B44" s="131">
        <v>2.5668</v>
      </c>
      <c r="C44" s="131">
        <f t="shared" si="5"/>
        <v>5.1336</v>
      </c>
      <c r="D44" s="131">
        <f t="shared" si="6"/>
        <v>7.077694787</v>
      </c>
      <c r="E44" s="131">
        <f t="shared" si="7"/>
        <v>0.07769478697</v>
      </c>
      <c r="F44" s="133">
        <f t="shared" si="8"/>
        <v>0.006036479923</v>
      </c>
    </row>
    <row r="45" ht="13.5" customHeight="1">
      <c r="A45" s="132">
        <v>8.0</v>
      </c>
      <c r="B45" s="131">
        <v>2.9391</v>
      </c>
      <c r="C45" s="131">
        <f t="shared" si="5"/>
        <v>5.8782</v>
      </c>
      <c r="D45" s="131">
        <f t="shared" si="6"/>
        <v>8.020619797</v>
      </c>
      <c r="E45" s="131">
        <f t="shared" si="7"/>
        <v>0.02061979675</v>
      </c>
      <c r="F45" s="133">
        <f t="shared" si="8"/>
        <v>0.000425176018</v>
      </c>
    </row>
    <row r="46" ht="13.5" customHeight="1">
      <c r="A46" s="132">
        <v>9.0</v>
      </c>
      <c r="B46" s="131">
        <v>3.31</v>
      </c>
      <c r="C46" s="131">
        <f t="shared" si="5"/>
        <v>6.62</v>
      </c>
      <c r="D46" s="131">
        <f t="shared" si="6"/>
        <v>8.950318167</v>
      </c>
      <c r="E46" s="131">
        <f t="shared" si="7"/>
        <v>-0.0496818325</v>
      </c>
      <c r="F46" s="133">
        <f t="shared" si="8"/>
        <v>0.002468284481</v>
      </c>
    </row>
    <row r="47" ht="13.5" customHeight="1">
      <c r="A47" s="132">
        <v>10.0</v>
      </c>
      <c r="B47" s="131">
        <v>3.6789</v>
      </c>
      <c r="C47" s="131">
        <f t="shared" si="5"/>
        <v>7.3578</v>
      </c>
      <c r="D47" s="131">
        <f t="shared" si="6"/>
        <v>9.910463183</v>
      </c>
      <c r="E47" s="131">
        <f t="shared" si="7"/>
        <v>-0.08953681655</v>
      </c>
      <c r="F47" s="133">
        <f t="shared" si="8"/>
        <v>0.008016841517</v>
      </c>
    </row>
    <row r="48" ht="13.5" customHeight="1">
      <c r="A48" s="132">
        <v>11.0</v>
      </c>
      <c r="B48" s="131">
        <v>4.0241</v>
      </c>
      <c r="C48" s="131">
        <f t="shared" si="5"/>
        <v>8.0482</v>
      </c>
      <c r="D48" s="131">
        <f t="shared" si="6"/>
        <v>10.89508381</v>
      </c>
      <c r="E48" s="131">
        <f t="shared" si="7"/>
        <v>-0.104916192</v>
      </c>
      <c r="F48" s="133">
        <f t="shared" si="8"/>
        <v>0.01100740734</v>
      </c>
    </row>
    <row r="49" ht="13.5" customHeight="1">
      <c r="A49" s="132">
        <v>12.0</v>
      </c>
      <c r="B49" s="131">
        <v>4.3244</v>
      </c>
      <c r="C49" s="131">
        <f t="shared" si="5"/>
        <v>8.6488</v>
      </c>
      <c r="D49" s="131">
        <f t="shared" si="6"/>
        <v>11.8692742</v>
      </c>
      <c r="E49" s="131">
        <f t="shared" si="7"/>
        <v>-0.1307257999</v>
      </c>
      <c r="F49" s="133">
        <f t="shared" si="8"/>
        <v>0.01708923475</v>
      </c>
    </row>
    <row r="50" ht="13.5" customHeight="1">
      <c r="A50" s="132">
        <v>13.0</v>
      </c>
      <c r="B50" s="131">
        <v>4.6033</v>
      </c>
      <c r="C50" s="131">
        <f t="shared" si="5"/>
        <v>9.2066</v>
      </c>
      <c r="D50" s="131">
        <f t="shared" si="6"/>
        <v>12.91711251</v>
      </c>
      <c r="E50" s="131">
        <f t="shared" si="7"/>
        <v>-0.0828874946</v>
      </c>
      <c r="F50" s="133">
        <f t="shared" si="8"/>
        <v>0.006870336761</v>
      </c>
    </row>
    <row r="51" ht="13.5" customHeight="1">
      <c r="A51" s="132">
        <v>14.0</v>
      </c>
      <c r="B51" s="131">
        <v>4.8507</v>
      </c>
      <c r="C51" s="131">
        <f t="shared" si="5"/>
        <v>9.7014</v>
      </c>
      <c r="D51" s="131">
        <f t="shared" si="6"/>
        <v>13.99905664</v>
      </c>
      <c r="E51" s="131">
        <f t="shared" si="7"/>
        <v>-0.0009433580776</v>
      </c>
      <c r="F51" s="133">
        <f t="shared" si="8"/>
        <v>0.0000008899244627</v>
      </c>
    </row>
    <row r="52" ht="13.5" customHeight="1">
      <c r="A52" s="132">
        <v>15.0</v>
      </c>
      <c r="B52" s="131">
        <v>5.074</v>
      </c>
      <c r="C52" s="131">
        <f t="shared" si="5"/>
        <v>10.148</v>
      </c>
      <c r="D52" s="131">
        <f t="shared" si="6"/>
        <v>15.12891611</v>
      </c>
      <c r="E52" s="131">
        <f t="shared" si="7"/>
        <v>0.1289161088</v>
      </c>
      <c r="F52" s="133">
        <f t="shared" si="8"/>
        <v>0.01661936311</v>
      </c>
    </row>
    <row r="53" ht="13.5" customHeight="1">
      <c r="A53" s="132">
        <v>16.0</v>
      </c>
      <c r="B53" s="131">
        <v>5.2648</v>
      </c>
      <c r="C53" s="131">
        <f t="shared" si="5"/>
        <v>10.5296</v>
      </c>
      <c r="D53" s="131">
        <f t="shared" si="6"/>
        <v>16.23146097</v>
      </c>
      <c r="E53" s="131">
        <f t="shared" si="7"/>
        <v>0.2314609705</v>
      </c>
      <c r="F53" s="133">
        <f t="shared" si="8"/>
        <v>0.05357418085</v>
      </c>
    </row>
    <row r="54" ht="13.5" customHeight="1">
      <c r="A54" s="132">
        <v>17.0</v>
      </c>
      <c r="B54" s="131">
        <v>5.4147</v>
      </c>
      <c r="C54" s="131">
        <f t="shared" si="5"/>
        <v>10.8294</v>
      </c>
      <c r="D54" s="131">
        <f t="shared" si="6"/>
        <v>17.19922845</v>
      </c>
      <c r="E54" s="131">
        <f t="shared" si="7"/>
        <v>0.199228453</v>
      </c>
      <c r="F54" s="133">
        <f t="shared" si="8"/>
        <v>0.03969197649</v>
      </c>
    </row>
    <row r="55" ht="13.5" customHeight="1">
      <c r="A55" s="132">
        <v>18.0</v>
      </c>
      <c r="B55" s="131">
        <v>5.5389</v>
      </c>
      <c r="C55" s="131">
        <f t="shared" si="5"/>
        <v>11.0778</v>
      </c>
      <c r="D55" s="131">
        <f t="shared" si="6"/>
        <v>18.07628222</v>
      </c>
      <c r="E55" s="131">
        <f t="shared" si="7"/>
        <v>0.07628222202</v>
      </c>
      <c r="F55" s="133">
        <f t="shared" si="8"/>
        <v>0.005818977396</v>
      </c>
    </row>
    <row r="56" ht="13.5" customHeight="1">
      <c r="A56" s="132">
        <v>19.0</v>
      </c>
      <c r="B56" s="131">
        <v>5.6496</v>
      </c>
      <c r="C56" s="131">
        <f t="shared" si="5"/>
        <v>11.2992</v>
      </c>
      <c r="D56" s="131">
        <f t="shared" si="6"/>
        <v>18.92040923</v>
      </c>
      <c r="E56" s="131">
        <f t="shared" si="7"/>
        <v>-0.0795907653</v>
      </c>
      <c r="F56" s="133">
        <f t="shared" si="8"/>
        <v>0.006334689921</v>
      </c>
    </row>
    <row r="57" ht="13.5" customHeight="1">
      <c r="A57" s="132">
        <v>20.0</v>
      </c>
      <c r="B57" s="131">
        <v>5.748</v>
      </c>
      <c r="C57" s="131">
        <f t="shared" si="5"/>
        <v>11.496</v>
      </c>
      <c r="D57" s="131">
        <f t="shared" si="6"/>
        <v>19.7236443</v>
      </c>
      <c r="E57" s="131">
        <f t="shared" si="7"/>
        <v>-0.276355697</v>
      </c>
      <c r="F57" s="133">
        <f t="shared" si="8"/>
        <v>0.07637247128</v>
      </c>
    </row>
    <row r="58" ht="13.5" customHeight="1">
      <c r="F58" s="133">
        <f>SUM(F37:F57)</f>
        <v>0.2914208218</v>
      </c>
    </row>
    <row r="59" ht="14.25" customHeight="1"/>
    <row r="60" ht="14.25" customHeight="1">
      <c r="A60" s="5" t="s">
        <v>135</v>
      </c>
      <c r="I60" s="5" t="s">
        <v>141</v>
      </c>
      <c r="K60" s="135">
        <v>1000.0</v>
      </c>
    </row>
    <row r="61" ht="13.5" customHeight="1">
      <c r="A61" s="5" t="s">
        <v>136</v>
      </c>
      <c r="B61" s="134">
        <v>0.008294934274771036</v>
      </c>
      <c r="I61" s="5" t="s">
        <v>142</v>
      </c>
      <c r="K61" s="131">
        <f>$B$30+$B$31*K60/100+$B$32*K60^2*0.0001+$B$33*K60^3*0.000001</f>
        <v>7.319185718</v>
      </c>
    </row>
    <row r="62" ht="14.25" customHeight="1">
      <c r="A62" s="5" t="s">
        <v>137</v>
      </c>
      <c r="B62" s="134">
        <v>1.0572022023046597</v>
      </c>
    </row>
    <row r="63" ht="14.25" customHeight="1">
      <c r="A63" s="5" t="s">
        <v>138</v>
      </c>
      <c r="B63" s="134">
        <v>0.20303600541206454</v>
      </c>
      <c r="I63" s="5" t="s">
        <v>143</v>
      </c>
      <c r="K63" s="136">
        <v>7.359</v>
      </c>
    </row>
    <row r="64" ht="13.5" customHeight="1">
      <c r="A64" s="5" t="s">
        <v>139</v>
      </c>
      <c r="B64" s="134">
        <v>-0.03929609865533563</v>
      </c>
      <c r="I64" s="5" t="s">
        <v>144</v>
      </c>
      <c r="K64" s="81">
        <f>$B$61*100+$B$62*K63*100+$B$63*K63^2*100+$B$64*K63^3*100+$B$65*K63^4*100</f>
        <v>991.208475</v>
      </c>
    </row>
    <row r="65" ht="13.5" customHeight="1">
      <c r="A65" s="5" t="s">
        <v>151</v>
      </c>
      <c r="B65" s="134">
        <v>0.0023148762812343964</v>
      </c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0.63"/>
    <col customWidth="1" min="3" max="3" width="11.25"/>
    <col customWidth="1" min="4" max="5" width="8.0"/>
    <col customWidth="1" min="6" max="6" width="9.5"/>
    <col customWidth="1" min="7" max="26" width="8.0"/>
  </cols>
  <sheetData>
    <row r="1" ht="13.5" customHeight="1">
      <c r="A1" s="129" t="s">
        <v>112</v>
      </c>
      <c r="B1" s="130" t="s">
        <v>107</v>
      </c>
    </row>
    <row r="2" ht="13.5" customHeight="1">
      <c r="A2" s="5" t="s">
        <v>145</v>
      </c>
    </row>
    <row r="3" ht="13.5" customHeight="1">
      <c r="A3" s="5" t="s">
        <v>149</v>
      </c>
    </row>
    <row r="4" ht="13.5" customHeight="1"/>
    <row r="5" ht="13.5" customHeight="1">
      <c r="A5" s="5" t="s">
        <v>131</v>
      </c>
      <c r="B5" s="5" t="s">
        <v>9</v>
      </c>
      <c r="C5" s="5" t="s">
        <v>140</v>
      </c>
      <c r="D5" s="131" t="s">
        <v>132</v>
      </c>
      <c r="E5" s="5" t="s">
        <v>133</v>
      </c>
      <c r="F5" s="133" t="s">
        <v>134</v>
      </c>
    </row>
    <row r="6" ht="13.5" customHeight="1">
      <c r="A6" s="132">
        <v>0.0</v>
      </c>
      <c r="B6" s="131">
        <v>0.0144</v>
      </c>
      <c r="C6" s="131">
        <f t="shared" ref="C6:C26" si="1">B6*2</f>
        <v>0.0288</v>
      </c>
      <c r="D6" s="131">
        <f t="shared" ref="D6:D26" si="2">$B$30+$B$31*$A6+$B$32*$A6^2+$B$33*$A6^3</f>
        <v>0.04147091123</v>
      </c>
      <c r="E6" s="131">
        <f t="shared" ref="E6:E26" si="3">$D6-$C6</f>
        <v>0.01267091123</v>
      </c>
      <c r="F6" s="133">
        <f t="shared" ref="F6:F26" si="4">$E6^2</f>
        <v>0.0001605519915</v>
      </c>
    </row>
    <row r="7" ht="13.5" customHeight="1">
      <c r="A7" s="132">
        <v>1.0</v>
      </c>
      <c r="B7" s="131">
        <v>0.3815</v>
      </c>
      <c r="C7" s="131">
        <f t="shared" si="1"/>
        <v>0.763</v>
      </c>
      <c r="D7" s="131">
        <f t="shared" si="2"/>
        <v>0.7425569581</v>
      </c>
      <c r="E7" s="131">
        <f t="shared" si="3"/>
        <v>-0.02044304188</v>
      </c>
      <c r="F7" s="133">
        <f t="shared" si="4"/>
        <v>0.0004179179614</v>
      </c>
    </row>
    <row r="8" ht="13.5" customHeight="1">
      <c r="A8" s="132">
        <v>2.0</v>
      </c>
      <c r="B8" s="131">
        <v>0.7468</v>
      </c>
      <c r="C8" s="131">
        <f t="shared" si="1"/>
        <v>1.4936</v>
      </c>
      <c r="D8" s="131">
        <f t="shared" si="2"/>
        <v>1.467907745</v>
      </c>
      <c r="E8" s="131">
        <f t="shared" si="3"/>
        <v>-0.02569225488</v>
      </c>
      <c r="F8" s="133">
        <f t="shared" si="4"/>
        <v>0.0006600919607</v>
      </c>
    </row>
    <row r="9" ht="13.5" customHeight="1">
      <c r="A9" s="132">
        <v>3.0</v>
      </c>
      <c r="B9" s="131">
        <v>1.1127</v>
      </c>
      <c r="C9" s="131">
        <f t="shared" si="1"/>
        <v>2.2254</v>
      </c>
      <c r="D9" s="131">
        <f t="shared" si="2"/>
        <v>2.211149029</v>
      </c>
      <c r="E9" s="131">
        <f t="shared" si="3"/>
        <v>-0.01425097117</v>
      </c>
      <c r="F9" s="133">
        <f t="shared" si="4"/>
        <v>0.0002030901791</v>
      </c>
    </row>
    <row r="10" ht="13.5" customHeight="1">
      <c r="A10" s="132">
        <v>4.0</v>
      </c>
      <c r="B10" s="131">
        <v>1.4797</v>
      </c>
      <c r="C10" s="131">
        <f t="shared" si="1"/>
        <v>2.9594</v>
      </c>
      <c r="D10" s="131">
        <f t="shared" si="2"/>
        <v>2.965906566</v>
      </c>
      <c r="E10" s="131">
        <f t="shared" si="3"/>
        <v>0.006506565845</v>
      </c>
      <c r="F10" s="133">
        <f t="shared" si="4"/>
        <v>0.00004233539909</v>
      </c>
    </row>
    <row r="11" ht="13.5" customHeight="1">
      <c r="A11" s="132">
        <v>5.0</v>
      </c>
      <c r="B11" s="131">
        <v>1.8516</v>
      </c>
      <c r="C11" s="131">
        <f t="shared" si="1"/>
        <v>3.7032</v>
      </c>
      <c r="D11" s="131">
        <f t="shared" si="2"/>
        <v>3.725806113</v>
      </c>
      <c r="E11" s="131">
        <f t="shared" si="3"/>
        <v>0.02260611274</v>
      </c>
      <c r="F11" s="133">
        <f t="shared" si="4"/>
        <v>0.0005110363332</v>
      </c>
    </row>
    <row r="12" ht="13.5" customHeight="1">
      <c r="A12" s="132">
        <v>6.0</v>
      </c>
      <c r="B12" s="131">
        <v>2.2191</v>
      </c>
      <c r="C12" s="131">
        <f t="shared" si="1"/>
        <v>4.4382</v>
      </c>
      <c r="D12" s="131">
        <f t="shared" si="2"/>
        <v>4.484473426</v>
      </c>
      <c r="E12" s="131">
        <f t="shared" si="3"/>
        <v>0.04627342611</v>
      </c>
      <c r="F12" s="133">
        <f t="shared" si="4"/>
        <v>0.002141229964</v>
      </c>
    </row>
    <row r="13" ht="13.5" customHeight="1">
      <c r="A13" s="132">
        <v>7.0</v>
      </c>
      <c r="B13" s="131">
        <v>2.5946</v>
      </c>
      <c r="C13" s="131">
        <f t="shared" si="1"/>
        <v>5.1892</v>
      </c>
      <c r="D13" s="131">
        <f t="shared" si="2"/>
        <v>5.235534263</v>
      </c>
      <c r="E13" s="131">
        <f t="shared" si="3"/>
        <v>0.04633426254</v>
      </c>
      <c r="F13" s="133">
        <f t="shared" si="4"/>
        <v>0.002146863885</v>
      </c>
    </row>
    <row r="14" ht="13.5" customHeight="1">
      <c r="A14" s="132">
        <v>8.0</v>
      </c>
      <c r="B14" s="131">
        <v>2.97</v>
      </c>
      <c r="C14" s="131">
        <f t="shared" si="1"/>
        <v>5.94</v>
      </c>
      <c r="D14" s="131">
        <f t="shared" si="2"/>
        <v>5.972614379</v>
      </c>
      <c r="E14" s="131">
        <f t="shared" si="3"/>
        <v>0.03261437863</v>
      </c>
      <c r="F14" s="133">
        <f t="shared" si="4"/>
        <v>0.001063697693</v>
      </c>
    </row>
    <row r="15" ht="13.5" customHeight="1">
      <c r="A15" s="132">
        <v>9.0</v>
      </c>
      <c r="B15" s="131">
        <v>3.3409</v>
      </c>
      <c r="C15" s="131">
        <f t="shared" si="1"/>
        <v>6.6818</v>
      </c>
      <c r="D15" s="131">
        <f t="shared" si="2"/>
        <v>6.689339531</v>
      </c>
      <c r="E15" s="131">
        <f t="shared" si="3"/>
        <v>0.00753953095</v>
      </c>
      <c r="F15" s="133">
        <f t="shared" si="4"/>
        <v>0.00005684452694</v>
      </c>
    </row>
    <row r="16" ht="13.5" customHeight="1">
      <c r="A16" s="132">
        <v>10.0</v>
      </c>
      <c r="B16" s="131">
        <v>3.713</v>
      </c>
      <c r="C16" s="131">
        <f t="shared" si="1"/>
        <v>7.426</v>
      </c>
      <c r="D16" s="131">
        <f t="shared" si="2"/>
        <v>7.379335476</v>
      </c>
      <c r="E16" s="131">
        <f t="shared" si="3"/>
        <v>-0.0466645239</v>
      </c>
      <c r="F16" s="133">
        <f t="shared" si="4"/>
        <v>0.002177577791</v>
      </c>
    </row>
    <row r="17" ht="13.5" customHeight="1">
      <c r="A17" s="132">
        <v>11.0</v>
      </c>
      <c r="B17" s="131">
        <v>4.0533</v>
      </c>
      <c r="C17" s="131">
        <f t="shared" si="1"/>
        <v>8.1066</v>
      </c>
      <c r="D17" s="131">
        <f t="shared" si="2"/>
        <v>8.036227971</v>
      </c>
      <c r="E17" s="131">
        <f t="shared" si="3"/>
        <v>-0.07037202933</v>
      </c>
      <c r="F17" s="133">
        <f t="shared" si="4"/>
        <v>0.004952222512</v>
      </c>
    </row>
    <row r="18" ht="13.5" customHeight="1">
      <c r="A18" s="132">
        <v>12.0</v>
      </c>
      <c r="B18" s="131">
        <v>4.3576</v>
      </c>
      <c r="C18" s="131">
        <f t="shared" si="1"/>
        <v>8.7152</v>
      </c>
      <c r="D18" s="131">
        <f t="shared" si="2"/>
        <v>8.653642771</v>
      </c>
      <c r="E18" s="131">
        <f t="shared" si="3"/>
        <v>-0.06155722875</v>
      </c>
      <c r="F18" s="133">
        <f t="shared" si="4"/>
        <v>0.003789292412</v>
      </c>
    </row>
    <row r="19" ht="13.5" customHeight="1">
      <c r="A19" s="132">
        <v>13.0</v>
      </c>
      <c r="B19" s="131">
        <v>4.6316</v>
      </c>
      <c r="C19" s="131">
        <f t="shared" si="1"/>
        <v>9.2632</v>
      </c>
      <c r="D19" s="131">
        <f t="shared" si="2"/>
        <v>9.225205634</v>
      </c>
      <c r="E19" s="131">
        <f t="shared" si="3"/>
        <v>-0.03799436558</v>
      </c>
      <c r="F19" s="133">
        <f t="shared" si="4"/>
        <v>0.001443571816</v>
      </c>
    </row>
    <row r="20" ht="13.5" customHeight="1">
      <c r="A20" s="132">
        <v>14.0</v>
      </c>
      <c r="B20" s="131">
        <v>4.8783</v>
      </c>
      <c r="C20" s="131">
        <f t="shared" si="1"/>
        <v>9.7566</v>
      </c>
      <c r="D20" s="131">
        <f t="shared" si="2"/>
        <v>9.744542317</v>
      </c>
      <c r="E20" s="131">
        <f t="shared" si="3"/>
        <v>-0.01205768323</v>
      </c>
      <c r="F20" s="133">
        <f t="shared" si="4"/>
        <v>0.0001453877249</v>
      </c>
    </row>
    <row r="21" ht="13.5" customHeight="1">
      <c r="A21" s="132">
        <v>15.0</v>
      </c>
      <c r="B21" s="131">
        <v>5.0974</v>
      </c>
      <c r="C21" s="131">
        <f t="shared" si="1"/>
        <v>10.1948</v>
      </c>
      <c r="D21" s="131">
        <f t="shared" si="2"/>
        <v>10.20527857</v>
      </c>
      <c r="E21" s="131">
        <f t="shared" si="3"/>
        <v>0.01047857489</v>
      </c>
      <c r="F21" s="133">
        <f t="shared" si="4"/>
        <v>0.0001098005318</v>
      </c>
    </row>
    <row r="22" ht="13.5" customHeight="1">
      <c r="A22" s="132">
        <v>16.0</v>
      </c>
      <c r="B22" s="131">
        <v>5.2817</v>
      </c>
      <c r="C22" s="131">
        <f t="shared" si="1"/>
        <v>10.5634</v>
      </c>
      <c r="D22" s="131">
        <f t="shared" si="2"/>
        <v>10.60104017</v>
      </c>
      <c r="E22" s="131">
        <f t="shared" si="3"/>
        <v>0.03764016538</v>
      </c>
      <c r="F22" s="133">
        <f t="shared" si="4"/>
        <v>0.00141678205</v>
      </c>
    </row>
    <row r="23" ht="13.5" customHeight="1">
      <c r="A23" s="132">
        <v>17.0</v>
      </c>
      <c r="B23" s="131">
        <v>5.4261</v>
      </c>
      <c r="C23" s="131">
        <f t="shared" si="1"/>
        <v>10.8522</v>
      </c>
      <c r="D23" s="131">
        <f t="shared" si="2"/>
        <v>10.92545284</v>
      </c>
      <c r="E23" s="131">
        <f t="shared" si="3"/>
        <v>0.07325284481</v>
      </c>
      <c r="F23" s="133">
        <f t="shared" si="4"/>
        <v>0.005365979273</v>
      </c>
    </row>
    <row r="24" ht="13.5" customHeight="1">
      <c r="A24" s="132">
        <v>18.0</v>
      </c>
      <c r="B24" s="131">
        <v>5.5491</v>
      </c>
      <c r="C24" s="131">
        <f t="shared" si="1"/>
        <v>11.0982</v>
      </c>
      <c r="D24" s="131">
        <f t="shared" si="2"/>
        <v>11.17214237</v>
      </c>
      <c r="E24" s="131">
        <f t="shared" si="3"/>
        <v>0.07394236979</v>
      </c>
      <c r="F24" s="133">
        <f t="shared" si="4"/>
        <v>0.005467474049</v>
      </c>
    </row>
    <row r="25" ht="13.5" customHeight="1">
      <c r="A25" s="132">
        <v>19.0</v>
      </c>
      <c r="B25" s="131">
        <v>5.6571</v>
      </c>
      <c r="C25" s="131">
        <f t="shared" si="1"/>
        <v>11.3142</v>
      </c>
      <c r="D25" s="131">
        <f t="shared" si="2"/>
        <v>11.3347345</v>
      </c>
      <c r="E25" s="131">
        <f t="shared" si="3"/>
        <v>0.02053449688</v>
      </c>
      <c r="F25" s="133">
        <f t="shared" si="4"/>
        <v>0.0004216655622</v>
      </c>
    </row>
    <row r="26" ht="13.5" customHeight="1">
      <c r="A26" s="132">
        <v>20.0</v>
      </c>
      <c r="B26" s="131">
        <v>5.7544</v>
      </c>
      <c r="C26" s="131">
        <f t="shared" si="1"/>
        <v>11.5088</v>
      </c>
      <c r="D26" s="131">
        <f t="shared" si="2"/>
        <v>11.40685498</v>
      </c>
      <c r="E26" s="131">
        <f t="shared" si="3"/>
        <v>-0.1019450173</v>
      </c>
      <c r="F26" s="133">
        <f t="shared" si="4"/>
        <v>0.01039278655</v>
      </c>
    </row>
    <row r="27" ht="13.5" customHeight="1">
      <c r="F27" s="133">
        <f>SUM(F6:F26)</f>
        <v>0.04308620017</v>
      </c>
    </row>
    <row r="28" ht="13.5" customHeight="1"/>
    <row r="29" ht="13.5" customHeight="1">
      <c r="A29" s="5" t="s">
        <v>135</v>
      </c>
    </row>
    <row r="30" ht="13.5" customHeight="1">
      <c r="A30" s="5" t="s">
        <v>136</v>
      </c>
      <c r="B30" s="134">
        <v>0.04147091123269811</v>
      </c>
    </row>
    <row r="31" ht="13.5" customHeight="1">
      <c r="A31" s="5" t="s">
        <v>137</v>
      </c>
      <c r="B31" s="134">
        <v>0.686828929021197</v>
      </c>
    </row>
    <row r="32" ht="13.5" customHeight="1">
      <c r="A32" s="5" t="s">
        <v>138</v>
      </c>
      <c r="B32" s="134">
        <v>0.015319491765548492</v>
      </c>
    </row>
    <row r="33" ht="13.5" customHeight="1">
      <c r="A33" s="5" t="s">
        <v>139</v>
      </c>
      <c r="B33" s="134">
        <v>-0.0010623739018975815</v>
      </c>
    </row>
    <row r="34" ht="13.5" customHeight="1"/>
    <row r="35" ht="13.5" customHeight="1"/>
    <row r="36" ht="13.5" customHeight="1">
      <c r="A36" s="5" t="s">
        <v>131</v>
      </c>
      <c r="B36" s="5" t="s">
        <v>9</v>
      </c>
      <c r="C36" s="5" t="s">
        <v>140</v>
      </c>
      <c r="D36" s="131" t="s">
        <v>132</v>
      </c>
      <c r="E36" s="5" t="s">
        <v>133</v>
      </c>
      <c r="F36" s="133" t="s">
        <v>134</v>
      </c>
    </row>
    <row r="37" ht="13.5" customHeight="1">
      <c r="A37" s="132">
        <v>0.0</v>
      </c>
      <c r="B37" s="131">
        <v>0.0144</v>
      </c>
      <c r="C37" s="131">
        <f t="shared" ref="C37:C57" si="5">B37*2</f>
        <v>0.0288</v>
      </c>
      <c r="D37" s="131">
        <f t="shared" ref="D37:D57" si="6">$B$61+$B$62*$C37+$B$63*$C37^2+$B$64*$C37^3+$B$65*$C37^4</f>
        <v>0.03866053155</v>
      </c>
      <c r="E37" s="131">
        <f t="shared" ref="E37:E57" si="7">$D37-$A37</f>
        <v>0.03866053155</v>
      </c>
      <c r="F37" s="133">
        <f t="shared" ref="F37:F57" si="8">$E37^2</f>
        <v>0.0014946367</v>
      </c>
    </row>
    <row r="38" ht="13.5" customHeight="1">
      <c r="A38" s="132">
        <v>1.0</v>
      </c>
      <c r="B38" s="131">
        <v>0.3815</v>
      </c>
      <c r="C38" s="131">
        <f t="shared" si="5"/>
        <v>0.763</v>
      </c>
      <c r="D38" s="131">
        <f t="shared" si="6"/>
        <v>0.9140671351</v>
      </c>
      <c r="E38" s="131">
        <f t="shared" si="7"/>
        <v>-0.08593286491</v>
      </c>
      <c r="F38" s="133">
        <f t="shared" si="8"/>
        <v>0.007384457272</v>
      </c>
    </row>
    <row r="39" ht="13.5" customHeight="1">
      <c r="A39" s="132">
        <v>2.0</v>
      </c>
      <c r="B39" s="131">
        <v>0.7468</v>
      </c>
      <c r="C39" s="131">
        <f t="shared" si="5"/>
        <v>1.4936</v>
      </c>
      <c r="D39" s="131">
        <f t="shared" si="6"/>
        <v>1.913604228</v>
      </c>
      <c r="E39" s="131">
        <f t="shared" si="7"/>
        <v>-0.0863957725</v>
      </c>
      <c r="F39" s="133">
        <f t="shared" si="8"/>
        <v>0.007464229505</v>
      </c>
    </row>
    <row r="40" ht="13.5" customHeight="1">
      <c r="A40" s="132">
        <v>3.0</v>
      </c>
      <c r="B40" s="131">
        <v>1.1127</v>
      </c>
      <c r="C40" s="131">
        <f t="shared" si="5"/>
        <v>2.2254</v>
      </c>
      <c r="D40" s="131">
        <f t="shared" si="6"/>
        <v>2.975404403</v>
      </c>
      <c r="E40" s="131">
        <f t="shared" si="7"/>
        <v>-0.02459559679</v>
      </c>
      <c r="F40" s="133">
        <f t="shared" si="8"/>
        <v>0.0006049433814</v>
      </c>
    </row>
    <row r="41" ht="13.5" customHeight="1">
      <c r="A41" s="132">
        <v>4.0</v>
      </c>
      <c r="B41" s="131">
        <v>1.4797</v>
      </c>
      <c r="C41" s="131">
        <f t="shared" si="5"/>
        <v>2.9594</v>
      </c>
      <c r="D41" s="131">
        <f t="shared" si="6"/>
        <v>4.049380535</v>
      </c>
      <c r="E41" s="131">
        <f t="shared" si="7"/>
        <v>0.04938053473</v>
      </c>
      <c r="F41" s="133">
        <f t="shared" si="8"/>
        <v>0.00243843721</v>
      </c>
    </row>
    <row r="42" ht="13.5" customHeight="1">
      <c r="A42" s="132">
        <v>5.0</v>
      </c>
      <c r="B42" s="131">
        <v>1.8516</v>
      </c>
      <c r="C42" s="131">
        <f t="shared" si="5"/>
        <v>3.7032</v>
      </c>
      <c r="D42" s="131">
        <f t="shared" si="6"/>
        <v>5.110170178</v>
      </c>
      <c r="E42" s="131">
        <f t="shared" si="7"/>
        <v>0.1101701779</v>
      </c>
      <c r="F42" s="133">
        <f t="shared" si="8"/>
        <v>0.0121374681</v>
      </c>
    </row>
    <row r="43" ht="13.5" customHeight="1">
      <c r="A43" s="132">
        <v>6.0</v>
      </c>
      <c r="B43" s="131">
        <v>2.2191</v>
      </c>
      <c r="C43" s="131">
        <f t="shared" si="5"/>
        <v>4.4382</v>
      </c>
      <c r="D43" s="131">
        <f t="shared" si="6"/>
        <v>6.11140731</v>
      </c>
      <c r="E43" s="131">
        <f t="shared" si="7"/>
        <v>0.1114073098</v>
      </c>
      <c r="F43" s="133">
        <f t="shared" si="8"/>
        <v>0.01241158868</v>
      </c>
    </row>
    <row r="44" ht="13.5" customHeight="1">
      <c r="A44" s="132">
        <v>7.0</v>
      </c>
      <c r="B44" s="131">
        <v>2.5946</v>
      </c>
      <c r="C44" s="131">
        <f t="shared" si="5"/>
        <v>5.1892</v>
      </c>
      <c r="D44" s="131">
        <f t="shared" si="6"/>
        <v>7.082960536</v>
      </c>
      <c r="E44" s="131">
        <f t="shared" si="7"/>
        <v>0.08296053575</v>
      </c>
      <c r="F44" s="133">
        <f t="shared" si="8"/>
        <v>0.006882450492</v>
      </c>
    </row>
    <row r="45" ht="13.5" customHeight="1">
      <c r="A45" s="132">
        <v>8.0</v>
      </c>
      <c r="B45" s="131">
        <v>2.97</v>
      </c>
      <c r="C45" s="131">
        <f t="shared" si="5"/>
        <v>5.94</v>
      </c>
      <c r="D45" s="131">
        <f t="shared" si="6"/>
        <v>8.016559069</v>
      </c>
      <c r="E45" s="131">
        <f t="shared" si="7"/>
        <v>0.01655906888</v>
      </c>
      <c r="F45" s="133">
        <f t="shared" si="8"/>
        <v>0.0002742027622</v>
      </c>
    </row>
    <row r="46" ht="13.5" customHeight="1">
      <c r="A46" s="132">
        <v>9.0</v>
      </c>
      <c r="B46" s="131">
        <v>3.3409</v>
      </c>
      <c r="C46" s="131">
        <f t="shared" si="5"/>
        <v>6.6818</v>
      </c>
      <c r="D46" s="131">
        <f t="shared" si="6"/>
        <v>8.933356745</v>
      </c>
      <c r="E46" s="131">
        <f t="shared" si="7"/>
        <v>-0.06664325464</v>
      </c>
      <c r="F46" s="133">
        <f t="shared" si="8"/>
        <v>0.00444132339</v>
      </c>
    </row>
    <row r="47" ht="13.5" customHeight="1">
      <c r="A47" s="132">
        <v>10.0</v>
      </c>
      <c r="B47" s="131">
        <v>3.713</v>
      </c>
      <c r="C47" s="131">
        <f t="shared" si="5"/>
        <v>7.426</v>
      </c>
      <c r="D47" s="131">
        <f t="shared" si="6"/>
        <v>9.896076088</v>
      </c>
      <c r="E47" s="131">
        <f t="shared" si="7"/>
        <v>-0.1039239122</v>
      </c>
      <c r="F47" s="133">
        <f t="shared" si="8"/>
        <v>0.01080017952</v>
      </c>
    </row>
    <row r="48" ht="13.5" customHeight="1">
      <c r="A48" s="132">
        <v>11.0</v>
      </c>
      <c r="B48" s="131">
        <v>4.0533</v>
      </c>
      <c r="C48" s="131">
        <f t="shared" si="5"/>
        <v>8.1066</v>
      </c>
      <c r="D48" s="131">
        <f t="shared" si="6"/>
        <v>10.86976541</v>
      </c>
      <c r="E48" s="131">
        <f t="shared" si="7"/>
        <v>-0.1302345863</v>
      </c>
      <c r="F48" s="133">
        <f t="shared" si="8"/>
        <v>0.01696104746</v>
      </c>
    </row>
    <row r="49" ht="13.5" customHeight="1">
      <c r="A49" s="132">
        <v>12.0</v>
      </c>
      <c r="B49" s="131">
        <v>4.3576</v>
      </c>
      <c r="C49" s="131">
        <f t="shared" si="5"/>
        <v>8.7152</v>
      </c>
      <c r="D49" s="131">
        <f t="shared" si="6"/>
        <v>11.86845336</v>
      </c>
      <c r="E49" s="131">
        <f t="shared" si="7"/>
        <v>-0.1315466385</v>
      </c>
      <c r="F49" s="133">
        <f t="shared" si="8"/>
        <v>0.0173045181</v>
      </c>
    </row>
    <row r="50" ht="13.5" customHeight="1">
      <c r="A50" s="132">
        <v>13.0</v>
      </c>
      <c r="B50" s="131">
        <v>4.6316</v>
      </c>
      <c r="C50" s="131">
        <f t="shared" si="5"/>
        <v>9.2632</v>
      </c>
      <c r="D50" s="131">
        <f t="shared" si="6"/>
        <v>12.91649408</v>
      </c>
      <c r="E50" s="131">
        <f t="shared" si="7"/>
        <v>-0.08350592162</v>
      </c>
      <c r="F50" s="133">
        <f t="shared" si="8"/>
        <v>0.006973238945</v>
      </c>
    </row>
    <row r="51" ht="13.5" customHeight="1">
      <c r="A51" s="132">
        <v>14.0</v>
      </c>
      <c r="B51" s="131">
        <v>4.8783</v>
      </c>
      <c r="C51" s="131">
        <f t="shared" si="5"/>
        <v>9.7566</v>
      </c>
      <c r="D51" s="131">
        <f t="shared" si="6"/>
        <v>14.01840894</v>
      </c>
      <c r="E51" s="131">
        <f t="shared" si="7"/>
        <v>0.01840893831</v>
      </c>
      <c r="F51" s="133">
        <f t="shared" si="8"/>
        <v>0.0003388890097</v>
      </c>
    </row>
    <row r="52" ht="13.5" customHeight="1">
      <c r="A52" s="132">
        <v>15.0</v>
      </c>
      <c r="B52" s="131">
        <v>5.0974</v>
      </c>
      <c r="C52" s="131">
        <f t="shared" si="5"/>
        <v>10.1948</v>
      </c>
      <c r="D52" s="131">
        <f t="shared" si="6"/>
        <v>15.15259557</v>
      </c>
      <c r="E52" s="131">
        <f t="shared" si="7"/>
        <v>0.152595568</v>
      </c>
      <c r="F52" s="133">
        <f t="shared" si="8"/>
        <v>0.02328540736</v>
      </c>
    </row>
    <row r="53" ht="13.5" customHeight="1">
      <c r="A53" s="132">
        <v>16.0</v>
      </c>
      <c r="B53" s="131">
        <v>5.2817</v>
      </c>
      <c r="C53" s="131">
        <f t="shared" si="5"/>
        <v>10.5634</v>
      </c>
      <c r="D53" s="131">
        <f t="shared" si="6"/>
        <v>16.24069302</v>
      </c>
      <c r="E53" s="131">
        <f t="shared" si="7"/>
        <v>0.240693022</v>
      </c>
      <c r="F53" s="133">
        <f t="shared" si="8"/>
        <v>0.05793313084</v>
      </c>
    </row>
    <row r="54" ht="13.5" customHeight="1">
      <c r="A54" s="132">
        <v>17.0</v>
      </c>
      <c r="B54" s="131">
        <v>5.4261</v>
      </c>
      <c r="C54" s="131">
        <f t="shared" si="5"/>
        <v>10.8522</v>
      </c>
      <c r="D54" s="131">
        <f t="shared" si="6"/>
        <v>17.19073656</v>
      </c>
      <c r="E54" s="131">
        <f t="shared" si="7"/>
        <v>0.1907365622</v>
      </c>
      <c r="F54" s="133">
        <f t="shared" si="8"/>
        <v>0.03638043616</v>
      </c>
    </row>
    <row r="55" ht="13.5" customHeight="1">
      <c r="A55" s="132">
        <v>18.0</v>
      </c>
      <c r="B55" s="131">
        <v>5.5491</v>
      </c>
      <c r="C55" s="131">
        <f t="shared" si="5"/>
        <v>11.0982</v>
      </c>
      <c r="D55" s="131">
        <f t="shared" si="6"/>
        <v>18.07474539</v>
      </c>
      <c r="E55" s="131">
        <f t="shared" si="7"/>
        <v>0.07474539175</v>
      </c>
      <c r="F55" s="133">
        <f t="shared" si="8"/>
        <v>0.005586873587</v>
      </c>
    </row>
    <row r="56" ht="13.5" customHeight="1">
      <c r="A56" s="132">
        <v>19.0</v>
      </c>
      <c r="B56" s="131">
        <v>5.6571</v>
      </c>
      <c r="C56" s="131">
        <f t="shared" si="5"/>
        <v>11.3142</v>
      </c>
      <c r="D56" s="131">
        <f t="shared" si="6"/>
        <v>18.91238483</v>
      </c>
      <c r="E56" s="131">
        <f t="shared" si="7"/>
        <v>-0.08761516777</v>
      </c>
      <c r="F56" s="133">
        <f t="shared" si="8"/>
        <v>0.007676417623</v>
      </c>
    </row>
    <row r="57" ht="13.5" customHeight="1">
      <c r="A57" s="132">
        <v>20.0</v>
      </c>
      <c r="B57" s="131">
        <v>5.7544</v>
      </c>
      <c r="C57" s="131">
        <f t="shared" si="5"/>
        <v>11.5088</v>
      </c>
      <c r="D57" s="131">
        <f t="shared" si="6"/>
        <v>19.71965474</v>
      </c>
      <c r="E57" s="131">
        <f t="shared" si="7"/>
        <v>-0.2803452644</v>
      </c>
      <c r="F57" s="133">
        <f t="shared" si="8"/>
        <v>0.07859346727</v>
      </c>
    </row>
    <row r="58" ht="13.5" customHeight="1">
      <c r="F58" s="133">
        <f>SUM(F37:F57)</f>
        <v>0.3173673434</v>
      </c>
    </row>
    <row r="59" ht="14.25" customHeight="1"/>
    <row r="60" ht="14.25" customHeight="1">
      <c r="A60" s="5" t="s">
        <v>135</v>
      </c>
      <c r="I60" s="5" t="s">
        <v>141</v>
      </c>
      <c r="K60" s="135">
        <v>1066.0</v>
      </c>
    </row>
    <row r="61" ht="13.5" customHeight="1">
      <c r="A61" s="5" t="s">
        <v>136</v>
      </c>
      <c r="B61" s="134">
        <v>0.008075909857362937</v>
      </c>
      <c r="I61" s="5" t="s">
        <v>142</v>
      </c>
      <c r="K61" s="131">
        <f>$B$30+$B$31*K60/100+$B$32*K60^2*0.0001+$B$33*K60^3*0.000001</f>
        <v>7.816994468</v>
      </c>
    </row>
    <row r="62" ht="14.25" customHeight="1">
      <c r="A62" s="5" t="s">
        <v>137</v>
      </c>
      <c r="B62" s="134">
        <v>1.0562205333051058</v>
      </c>
    </row>
    <row r="63" ht="14.25" customHeight="1">
      <c r="A63" s="5" t="s">
        <v>138</v>
      </c>
      <c r="B63" s="134">
        <v>0.20062899505934584</v>
      </c>
      <c r="I63" s="5" t="s">
        <v>143</v>
      </c>
      <c r="K63" s="136">
        <v>7.877</v>
      </c>
    </row>
    <row r="64" ht="13.5" customHeight="1">
      <c r="A64" s="5" t="s">
        <v>139</v>
      </c>
      <c r="B64" s="134">
        <v>-0.03939185529307561</v>
      </c>
      <c r="I64" s="5" t="s">
        <v>144</v>
      </c>
      <c r="K64" s="81">
        <f>$B$61*100+$B$62*K63*100+$B$63*K63^2*100+$B$64*K63^3*100+$B$65*K63^4*100</f>
        <v>1052.750034</v>
      </c>
    </row>
    <row r="65" ht="13.5" customHeight="1">
      <c r="A65" s="5" t="s">
        <v>151</v>
      </c>
      <c r="B65" s="134">
        <v>0.00233871776328841</v>
      </c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0.63"/>
    <col customWidth="1" min="3" max="3" width="11.25"/>
    <col customWidth="1" min="4" max="5" width="8.0"/>
    <col customWidth="1" min="6" max="6" width="9.5"/>
    <col customWidth="1" min="7" max="26" width="8.0"/>
  </cols>
  <sheetData>
    <row r="1" ht="13.5" customHeight="1">
      <c r="A1" s="129" t="s">
        <v>113</v>
      </c>
      <c r="B1" s="130" t="s">
        <v>107</v>
      </c>
    </row>
    <row r="2" ht="13.5" customHeight="1">
      <c r="A2" s="5" t="s">
        <v>145</v>
      </c>
    </row>
    <row r="3" ht="13.5" customHeight="1">
      <c r="A3" s="5" t="s">
        <v>149</v>
      </c>
    </row>
    <row r="4" ht="13.5" customHeight="1"/>
    <row r="5" ht="13.5" customHeight="1">
      <c r="A5" s="5" t="s">
        <v>131</v>
      </c>
      <c r="B5" s="5" t="s">
        <v>9</v>
      </c>
      <c r="C5" s="5" t="s">
        <v>140</v>
      </c>
      <c r="D5" s="131" t="s">
        <v>132</v>
      </c>
      <c r="E5" s="5" t="s">
        <v>133</v>
      </c>
      <c r="F5" s="133" t="s">
        <v>134</v>
      </c>
    </row>
    <row r="6" ht="13.5" customHeight="1">
      <c r="A6" s="132">
        <v>0.0</v>
      </c>
      <c r="B6" s="131">
        <v>0.0166</v>
      </c>
      <c r="C6" s="131">
        <f t="shared" ref="C6:C26" si="1">B6*2</f>
        <v>0.0332</v>
      </c>
      <c r="D6" s="131">
        <f t="shared" ref="D6:D26" si="2">$B$30+$B$31*$A6+$B$32*$A6^2+$B$33*$A6^3</f>
        <v>0.04223608756</v>
      </c>
      <c r="E6" s="131">
        <f t="shared" ref="E6:E26" si="3">$D6-$C6</f>
        <v>0.009036087562</v>
      </c>
      <c r="F6" s="133">
        <f t="shared" ref="F6:F26" si="4">$E6^2</f>
        <v>0.00008165087844</v>
      </c>
    </row>
    <row r="7" ht="13.5" customHeight="1">
      <c r="A7" s="132">
        <v>1.0</v>
      </c>
      <c r="B7" s="131">
        <v>0.3794</v>
      </c>
      <c r="C7" s="131">
        <f t="shared" si="1"/>
        <v>0.7588</v>
      </c>
      <c r="D7" s="131">
        <f t="shared" si="2"/>
        <v>0.7394050327</v>
      </c>
      <c r="E7" s="131">
        <f t="shared" si="3"/>
        <v>-0.01939496731</v>
      </c>
      <c r="F7" s="133">
        <f t="shared" si="4"/>
        <v>0.0003761647569</v>
      </c>
    </row>
    <row r="8" ht="13.5" customHeight="1">
      <c r="A8" s="132">
        <v>2.0</v>
      </c>
      <c r="B8" s="131">
        <v>0.7426</v>
      </c>
      <c r="C8" s="131">
        <f t="shared" si="1"/>
        <v>1.4852</v>
      </c>
      <c r="D8" s="131">
        <f t="shared" si="2"/>
        <v>1.461587106</v>
      </c>
      <c r="E8" s="131">
        <f t="shared" si="3"/>
        <v>-0.023612894</v>
      </c>
      <c r="F8" s="133">
        <f t="shared" si="4"/>
        <v>0.000557568763</v>
      </c>
    </row>
    <row r="9" ht="13.5" customHeight="1">
      <c r="A9" s="132">
        <v>3.0</v>
      </c>
      <c r="B9" s="131">
        <v>1.1079</v>
      </c>
      <c r="C9" s="131">
        <f t="shared" si="1"/>
        <v>2.2158</v>
      </c>
      <c r="D9" s="131">
        <f t="shared" si="2"/>
        <v>2.202352941</v>
      </c>
      <c r="E9" s="131">
        <f t="shared" si="3"/>
        <v>-0.01344705878</v>
      </c>
      <c r="F9" s="133">
        <f t="shared" si="4"/>
        <v>0.0001808233898</v>
      </c>
    </row>
    <row r="10" ht="13.5" customHeight="1">
      <c r="A10" s="132">
        <v>4.0</v>
      </c>
      <c r="B10" s="131">
        <v>1.4761</v>
      </c>
      <c r="C10" s="131">
        <f t="shared" si="1"/>
        <v>2.9522</v>
      </c>
      <c r="D10" s="131">
        <f t="shared" si="2"/>
        <v>2.955273172</v>
      </c>
      <c r="E10" s="131">
        <f t="shared" si="3"/>
        <v>0.003073172074</v>
      </c>
      <c r="F10" s="133">
        <f t="shared" si="4"/>
        <v>0.000009444386595</v>
      </c>
    </row>
    <row r="11" ht="13.5" customHeight="1">
      <c r="A11" s="132">
        <v>5.0</v>
      </c>
      <c r="B11" s="131">
        <v>1.8465</v>
      </c>
      <c r="C11" s="131">
        <f t="shared" si="1"/>
        <v>3.693</v>
      </c>
      <c r="D11" s="131">
        <f t="shared" si="2"/>
        <v>3.713918432</v>
      </c>
      <c r="E11" s="131">
        <f t="shared" si="3"/>
        <v>0.02091843229</v>
      </c>
      <c r="F11" s="133">
        <f t="shared" si="4"/>
        <v>0.0004375808094</v>
      </c>
    </row>
    <row r="12" ht="13.5" customHeight="1">
      <c r="A12" s="132">
        <v>6.0</v>
      </c>
      <c r="B12" s="131">
        <v>2.2129</v>
      </c>
      <c r="C12" s="131">
        <f t="shared" si="1"/>
        <v>4.4258</v>
      </c>
      <c r="D12" s="131">
        <f t="shared" si="2"/>
        <v>4.471859356</v>
      </c>
      <c r="E12" s="131">
        <f t="shared" si="3"/>
        <v>0.04605935559</v>
      </c>
      <c r="F12" s="133">
        <f t="shared" si="4"/>
        <v>0.002121464237</v>
      </c>
    </row>
    <row r="13" ht="13.5" customHeight="1">
      <c r="A13" s="132">
        <v>7.0</v>
      </c>
      <c r="B13" s="131">
        <v>2.5871</v>
      </c>
      <c r="C13" s="131">
        <f t="shared" si="1"/>
        <v>5.1742</v>
      </c>
      <c r="D13" s="131">
        <f t="shared" si="2"/>
        <v>5.222666576</v>
      </c>
      <c r="E13" s="131">
        <f t="shared" si="3"/>
        <v>0.0484665757</v>
      </c>
      <c r="F13" s="133">
        <f t="shared" si="4"/>
        <v>0.00234900896</v>
      </c>
    </row>
    <row r="14" ht="13.5" customHeight="1">
      <c r="A14" s="132">
        <v>8.0</v>
      </c>
      <c r="B14" s="131">
        <v>2.9603</v>
      </c>
      <c r="C14" s="131">
        <f t="shared" si="1"/>
        <v>5.9206</v>
      </c>
      <c r="D14" s="131">
        <f t="shared" si="2"/>
        <v>5.959910726</v>
      </c>
      <c r="E14" s="131">
        <f t="shared" si="3"/>
        <v>0.03931072635</v>
      </c>
      <c r="F14" s="133">
        <f t="shared" si="4"/>
        <v>0.001545333206</v>
      </c>
    </row>
    <row r="15" ht="13.5" customHeight="1">
      <c r="A15" s="132">
        <v>9.0</v>
      </c>
      <c r="B15" s="131">
        <v>3.3336</v>
      </c>
      <c r="C15" s="131">
        <f t="shared" si="1"/>
        <v>6.6672</v>
      </c>
      <c r="D15" s="131">
        <f t="shared" si="2"/>
        <v>6.677162441</v>
      </c>
      <c r="E15" s="131">
        <f t="shared" si="3"/>
        <v>0.009962441271</v>
      </c>
      <c r="F15" s="133">
        <f t="shared" si="4"/>
        <v>0.00009925023608</v>
      </c>
    </row>
    <row r="16" ht="13.5" customHeight="1">
      <c r="A16" s="132">
        <v>10.0</v>
      </c>
      <c r="B16" s="131">
        <v>3.7068</v>
      </c>
      <c r="C16" s="131">
        <f t="shared" si="1"/>
        <v>7.4136</v>
      </c>
      <c r="D16" s="131">
        <f t="shared" si="2"/>
        <v>7.367992354</v>
      </c>
      <c r="E16" s="131">
        <f t="shared" si="3"/>
        <v>-0.04560764582</v>
      </c>
      <c r="F16" s="133">
        <f t="shared" si="4"/>
        <v>0.002080057357</v>
      </c>
    </row>
    <row r="17" ht="13.5" customHeight="1">
      <c r="A17" s="132">
        <v>11.0</v>
      </c>
      <c r="B17" s="131">
        <v>4.0487</v>
      </c>
      <c r="C17" s="131">
        <f t="shared" si="1"/>
        <v>8.0974</v>
      </c>
      <c r="D17" s="131">
        <f t="shared" si="2"/>
        <v>8.025971099</v>
      </c>
      <c r="E17" s="131">
        <f t="shared" si="3"/>
        <v>-0.0714289012</v>
      </c>
      <c r="F17" s="133">
        <f t="shared" si="4"/>
        <v>0.005102087926</v>
      </c>
    </row>
    <row r="18" ht="13.5" customHeight="1">
      <c r="A18" s="132">
        <v>12.0</v>
      </c>
      <c r="B18" s="131">
        <v>4.3533</v>
      </c>
      <c r="C18" s="131">
        <f t="shared" si="1"/>
        <v>8.7066</v>
      </c>
      <c r="D18" s="131">
        <f t="shared" si="2"/>
        <v>8.644669309</v>
      </c>
      <c r="E18" s="131">
        <f t="shared" si="3"/>
        <v>-0.06193069113</v>
      </c>
      <c r="F18" s="133">
        <f t="shared" si="4"/>
        <v>0.003835410503</v>
      </c>
    </row>
    <row r="19" ht="13.5" customHeight="1">
      <c r="A19" s="132">
        <v>13.0</v>
      </c>
      <c r="B19" s="131">
        <v>4.6261</v>
      </c>
      <c r="C19" s="131">
        <f t="shared" si="1"/>
        <v>9.2522</v>
      </c>
      <c r="D19" s="131">
        <f t="shared" si="2"/>
        <v>9.217657618</v>
      </c>
      <c r="E19" s="131">
        <f t="shared" si="3"/>
        <v>-0.03454238189</v>
      </c>
      <c r="F19" s="133">
        <f t="shared" si="4"/>
        <v>0.001193176147</v>
      </c>
    </row>
    <row r="20" ht="13.5" customHeight="1">
      <c r="A20" s="132">
        <v>14.0</v>
      </c>
      <c r="B20" s="131">
        <v>4.8777</v>
      </c>
      <c r="C20" s="131">
        <f t="shared" si="1"/>
        <v>9.7554</v>
      </c>
      <c r="D20" s="131">
        <f t="shared" si="2"/>
        <v>9.73850666</v>
      </c>
      <c r="E20" s="131">
        <f t="shared" si="3"/>
        <v>-0.01689333976</v>
      </c>
      <c r="F20" s="133">
        <f t="shared" si="4"/>
        <v>0.0002853849281</v>
      </c>
    </row>
    <row r="21" ht="13.5" customHeight="1">
      <c r="A21" s="132">
        <v>15.0</v>
      </c>
      <c r="B21" s="131">
        <v>5.0983</v>
      </c>
      <c r="C21" s="131">
        <f t="shared" si="1"/>
        <v>10.1966</v>
      </c>
      <c r="D21" s="131">
        <f t="shared" si="2"/>
        <v>10.20078707</v>
      </c>
      <c r="E21" s="131">
        <f t="shared" si="3"/>
        <v>0.004187068999</v>
      </c>
      <c r="F21" s="133">
        <f t="shared" si="4"/>
        <v>0.0000175315468</v>
      </c>
    </row>
    <row r="22" ht="13.5" customHeight="1">
      <c r="A22" s="132">
        <v>16.0</v>
      </c>
      <c r="B22" s="131">
        <v>5.2824</v>
      </c>
      <c r="C22" s="131">
        <f t="shared" si="1"/>
        <v>10.5648</v>
      </c>
      <c r="D22" s="131">
        <f t="shared" si="2"/>
        <v>10.59806948</v>
      </c>
      <c r="E22" s="131">
        <f t="shared" si="3"/>
        <v>0.0332694781</v>
      </c>
      <c r="F22" s="133">
        <f t="shared" si="4"/>
        <v>0.001106858173</v>
      </c>
    </row>
    <row r="23" ht="13.5" customHeight="1">
      <c r="A23" s="132">
        <v>17.0</v>
      </c>
      <c r="B23" s="131">
        <v>5.4279</v>
      </c>
      <c r="C23" s="131">
        <f t="shared" si="1"/>
        <v>10.8558</v>
      </c>
      <c r="D23" s="131">
        <f t="shared" si="2"/>
        <v>10.92392452</v>
      </c>
      <c r="E23" s="131">
        <f t="shared" si="3"/>
        <v>0.06812452128</v>
      </c>
      <c r="F23" s="133">
        <f t="shared" si="4"/>
        <v>0.004640950399</v>
      </c>
    </row>
    <row r="24" ht="13.5" customHeight="1">
      <c r="A24" s="132">
        <v>18.0</v>
      </c>
      <c r="B24" s="131">
        <v>5.5492</v>
      </c>
      <c r="C24" s="131">
        <f t="shared" si="1"/>
        <v>11.0984</v>
      </c>
      <c r="D24" s="131">
        <f t="shared" si="2"/>
        <v>11.17192283</v>
      </c>
      <c r="E24" s="131">
        <f t="shared" si="3"/>
        <v>0.07352283225</v>
      </c>
      <c r="F24" s="133">
        <f t="shared" si="4"/>
        <v>0.005405606863</v>
      </c>
    </row>
    <row r="25" ht="13.5" customHeight="1">
      <c r="A25" s="132">
        <v>19.0</v>
      </c>
      <c r="B25" s="131">
        <v>5.6496</v>
      </c>
      <c r="C25" s="131">
        <f t="shared" si="1"/>
        <v>11.2992</v>
      </c>
      <c r="D25" s="131">
        <f t="shared" si="2"/>
        <v>11.33563504</v>
      </c>
      <c r="E25" s="131">
        <f t="shared" si="3"/>
        <v>0.03643504475</v>
      </c>
      <c r="F25" s="133">
        <f t="shared" si="4"/>
        <v>0.001327512486</v>
      </c>
    </row>
    <row r="26" ht="13.5" customHeight="1">
      <c r="A26" s="132">
        <v>20.0</v>
      </c>
      <c r="B26" s="131">
        <v>5.7575</v>
      </c>
      <c r="C26" s="131">
        <f t="shared" si="1"/>
        <v>11.515</v>
      </c>
      <c r="D26" s="131">
        <f t="shared" si="2"/>
        <v>11.40863179</v>
      </c>
      <c r="E26" s="131">
        <f t="shared" si="3"/>
        <v>-0.1063682075</v>
      </c>
      <c r="F26" s="133">
        <f t="shared" si="4"/>
        <v>0.01131419556</v>
      </c>
    </row>
    <row r="27" ht="13.5" customHeight="1">
      <c r="F27" s="133">
        <f>SUM(F6:F26)</f>
        <v>0.04406706152</v>
      </c>
    </row>
    <row r="28" ht="13.5" customHeight="1"/>
    <row r="29" ht="13.5" customHeight="1">
      <c r="A29" s="5" t="s">
        <v>135</v>
      </c>
    </row>
    <row r="30" ht="13.5" customHeight="1">
      <c r="A30" s="5" t="s">
        <v>136</v>
      </c>
      <c r="B30" s="134">
        <v>0.042236087562438025</v>
      </c>
    </row>
    <row r="31" ht="13.5" customHeight="1">
      <c r="A31" s="5" t="s">
        <v>137</v>
      </c>
      <c r="B31" s="134">
        <v>0.6825192589459499</v>
      </c>
    </row>
    <row r="32" ht="13.5" customHeight="1">
      <c r="A32" s="5" t="s">
        <v>138</v>
      </c>
      <c r="B32" s="134">
        <v>0.015721247228075195</v>
      </c>
    </row>
    <row r="33" ht="13.5" customHeight="1">
      <c r="A33" s="5" t="s">
        <v>139</v>
      </c>
      <c r="B33" s="134">
        <v>-0.0010715610456503626</v>
      </c>
    </row>
    <row r="34" ht="13.5" customHeight="1"/>
    <row r="35" ht="13.5" customHeight="1"/>
    <row r="36" ht="13.5" customHeight="1">
      <c r="A36" s="5" t="s">
        <v>131</v>
      </c>
      <c r="B36" s="5" t="s">
        <v>9</v>
      </c>
      <c r="C36" s="5" t="s">
        <v>140</v>
      </c>
      <c r="D36" s="131" t="s">
        <v>132</v>
      </c>
      <c r="E36" s="5" t="s">
        <v>133</v>
      </c>
      <c r="F36" s="133" t="s">
        <v>134</v>
      </c>
    </row>
    <row r="37" ht="13.5" customHeight="1">
      <c r="A37" s="132">
        <v>0.0</v>
      </c>
      <c r="B37" s="131">
        <v>0.0166</v>
      </c>
      <c r="C37" s="131">
        <f t="shared" ref="C37:C57" si="5">B37*2</f>
        <v>0.0332</v>
      </c>
      <c r="D37" s="131">
        <f t="shared" ref="D37:D57" si="6">$B$61+$B$62*$C37+$B$63*$C37^2+$B$64*$C37^3+$B$65*$C37^4</f>
        <v>0.04336315278</v>
      </c>
      <c r="E37" s="131">
        <f t="shared" ref="E37:E57" si="7">$D37-$A37</f>
        <v>0.04336315278</v>
      </c>
      <c r="F37" s="133">
        <f t="shared" ref="F37:F57" si="8">$E37^2</f>
        <v>0.001880363019</v>
      </c>
    </row>
    <row r="38" ht="13.5" customHeight="1">
      <c r="A38" s="132">
        <v>1.0</v>
      </c>
      <c r="B38" s="131">
        <v>0.3794</v>
      </c>
      <c r="C38" s="131">
        <f t="shared" si="5"/>
        <v>0.7588</v>
      </c>
      <c r="D38" s="131">
        <f t="shared" si="6"/>
        <v>0.9086812363</v>
      </c>
      <c r="E38" s="131">
        <f t="shared" si="7"/>
        <v>-0.09131876369</v>
      </c>
      <c r="F38" s="133">
        <f t="shared" si="8"/>
        <v>0.008339116602</v>
      </c>
    </row>
    <row r="39" ht="13.5" customHeight="1">
      <c r="A39" s="132">
        <v>2.0</v>
      </c>
      <c r="B39" s="131">
        <v>0.7426</v>
      </c>
      <c r="C39" s="131">
        <f t="shared" si="5"/>
        <v>1.4852</v>
      </c>
      <c r="D39" s="131">
        <f t="shared" si="6"/>
        <v>1.902028014</v>
      </c>
      <c r="E39" s="131">
        <f t="shared" si="7"/>
        <v>-0.09797198556</v>
      </c>
      <c r="F39" s="133">
        <f t="shared" si="8"/>
        <v>0.009598509954</v>
      </c>
    </row>
    <row r="40" ht="13.5" customHeight="1">
      <c r="A40" s="132">
        <v>3.0</v>
      </c>
      <c r="B40" s="131">
        <v>1.1079</v>
      </c>
      <c r="C40" s="131">
        <f t="shared" si="5"/>
        <v>2.2158</v>
      </c>
      <c r="D40" s="131">
        <f t="shared" si="6"/>
        <v>2.962413397</v>
      </c>
      <c r="E40" s="131">
        <f t="shared" si="7"/>
        <v>-0.03758660298</v>
      </c>
      <c r="F40" s="133">
        <f t="shared" si="8"/>
        <v>0.001412752724</v>
      </c>
    </row>
    <row r="41" ht="13.5" customHeight="1">
      <c r="A41" s="132">
        <v>4.0</v>
      </c>
      <c r="B41" s="131">
        <v>1.4761</v>
      </c>
      <c r="C41" s="131">
        <f t="shared" si="5"/>
        <v>2.9522</v>
      </c>
      <c r="D41" s="131">
        <f t="shared" si="6"/>
        <v>4.041243142</v>
      </c>
      <c r="E41" s="131">
        <f t="shared" si="7"/>
        <v>0.04124314241</v>
      </c>
      <c r="F41" s="133">
        <f t="shared" si="8"/>
        <v>0.001700996796</v>
      </c>
    </row>
    <row r="42" ht="13.5" customHeight="1">
      <c r="A42" s="132">
        <v>5.0</v>
      </c>
      <c r="B42" s="131">
        <v>1.8465</v>
      </c>
      <c r="C42" s="131">
        <f t="shared" si="5"/>
        <v>3.693</v>
      </c>
      <c r="D42" s="131">
        <f t="shared" si="6"/>
        <v>5.099979375</v>
      </c>
      <c r="E42" s="131">
        <f t="shared" si="7"/>
        <v>0.09997937458</v>
      </c>
      <c r="F42" s="133">
        <f t="shared" si="8"/>
        <v>0.009995875341</v>
      </c>
    </row>
    <row r="43" ht="13.5" customHeight="1">
      <c r="A43" s="132">
        <v>6.0</v>
      </c>
      <c r="B43" s="131">
        <v>2.2129</v>
      </c>
      <c r="C43" s="131">
        <f t="shared" si="5"/>
        <v>4.4258</v>
      </c>
      <c r="D43" s="131">
        <f t="shared" si="6"/>
        <v>6.101187092</v>
      </c>
      <c r="E43" s="131">
        <f t="shared" si="7"/>
        <v>0.1011870923</v>
      </c>
      <c r="F43" s="133">
        <f t="shared" si="8"/>
        <v>0.01023882764</v>
      </c>
    </row>
    <row r="44" ht="13.5" customHeight="1">
      <c r="A44" s="132">
        <v>7.0</v>
      </c>
      <c r="B44" s="131">
        <v>2.5871</v>
      </c>
      <c r="C44" s="131">
        <f t="shared" si="5"/>
        <v>5.1742</v>
      </c>
      <c r="D44" s="131">
        <f t="shared" si="6"/>
        <v>7.072812086</v>
      </c>
      <c r="E44" s="131">
        <f t="shared" si="7"/>
        <v>0.07281208561</v>
      </c>
      <c r="F44" s="133">
        <f t="shared" si="8"/>
        <v>0.005301599811</v>
      </c>
    </row>
    <row r="45" ht="13.5" customHeight="1">
      <c r="A45" s="132">
        <v>8.0</v>
      </c>
      <c r="B45" s="131">
        <v>2.9603</v>
      </c>
      <c r="C45" s="131">
        <f t="shared" si="5"/>
        <v>5.9206</v>
      </c>
      <c r="D45" s="131">
        <f t="shared" si="6"/>
        <v>8.004183233</v>
      </c>
      <c r="E45" s="131">
        <f t="shared" si="7"/>
        <v>0.004183233292</v>
      </c>
      <c r="F45" s="133">
        <f t="shared" si="8"/>
        <v>0.00001749944078</v>
      </c>
    </row>
    <row r="46" ht="13.5" customHeight="1">
      <c r="A46" s="132">
        <v>9.0</v>
      </c>
      <c r="B46" s="131">
        <v>3.3336</v>
      </c>
      <c r="C46" s="131">
        <f t="shared" si="5"/>
        <v>6.6672</v>
      </c>
      <c r="D46" s="131">
        <f t="shared" si="6"/>
        <v>8.929125714</v>
      </c>
      <c r="E46" s="131">
        <f t="shared" si="7"/>
        <v>-0.07087428568</v>
      </c>
      <c r="F46" s="133">
        <f t="shared" si="8"/>
        <v>0.005023164371</v>
      </c>
    </row>
    <row r="47" ht="13.5" customHeight="1">
      <c r="A47" s="132">
        <v>10.0</v>
      </c>
      <c r="B47" s="131">
        <v>3.7068</v>
      </c>
      <c r="C47" s="131">
        <f t="shared" si="5"/>
        <v>7.4136</v>
      </c>
      <c r="D47" s="131">
        <f t="shared" si="6"/>
        <v>9.895413993</v>
      </c>
      <c r="E47" s="131">
        <f t="shared" si="7"/>
        <v>-0.1045860073</v>
      </c>
      <c r="F47" s="133">
        <f t="shared" si="8"/>
        <v>0.01093823292</v>
      </c>
    </row>
    <row r="48" ht="13.5" customHeight="1">
      <c r="A48" s="132">
        <v>11.0</v>
      </c>
      <c r="B48" s="131">
        <v>4.0487</v>
      </c>
      <c r="C48" s="131">
        <f t="shared" si="5"/>
        <v>8.0974</v>
      </c>
      <c r="D48" s="131">
        <f t="shared" si="6"/>
        <v>10.87283086</v>
      </c>
      <c r="E48" s="131">
        <f t="shared" si="7"/>
        <v>-0.1271691393</v>
      </c>
      <c r="F48" s="133">
        <f t="shared" si="8"/>
        <v>0.01617198998</v>
      </c>
    </row>
    <row r="49" ht="13.5" customHeight="1">
      <c r="A49" s="132">
        <v>12.0</v>
      </c>
      <c r="B49" s="131">
        <v>4.3533</v>
      </c>
      <c r="C49" s="131">
        <f t="shared" si="5"/>
        <v>8.7066</v>
      </c>
      <c r="D49" s="131">
        <f t="shared" si="6"/>
        <v>11.8702815</v>
      </c>
      <c r="E49" s="131">
        <f t="shared" si="7"/>
        <v>-0.1297184966</v>
      </c>
      <c r="F49" s="133">
        <f t="shared" si="8"/>
        <v>0.01682688836</v>
      </c>
    </row>
    <row r="50" ht="13.5" customHeight="1">
      <c r="A50" s="132">
        <v>13.0</v>
      </c>
      <c r="B50" s="131">
        <v>4.6261</v>
      </c>
      <c r="C50" s="131">
        <f t="shared" si="5"/>
        <v>9.2522</v>
      </c>
      <c r="D50" s="131">
        <f t="shared" si="6"/>
        <v>12.90969667</v>
      </c>
      <c r="E50" s="131">
        <f t="shared" si="7"/>
        <v>-0.09030332742</v>
      </c>
      <c r="F50" s="133">
        <f t="shared" si="8"/>
        <v>0.008154690943</v>
      </c>
    </row>
    <row r="51" ht="13.5" customHeight="1">
      <c r="A51" s="132">
        <v>14.0</v>
      </c>
      <c r="B51" s="131">
        <v>4.8777</v>
      </c>
      <c r="C51" s="131">
        <f t="shared" si="5"/>
        <v>9.7554</v>
      </c>
      <c r="D51" s="131">
        <f t="shared" si="6"/>
        <v>14.02930826</v>
      </c>
      <c r="E51" s="131">
        <f t="shared" si="7"/>
        <v>0.02930825799</v>
      </c>
      <c r="F51" s="133">
        <f t="shared" si="8"/>
        <v>0.0008589739863</v>
      </c>
    </row>
    <row r="52" ht="13.5" customHeight="1">
      <c r="A52" s="132">
        <v>15.0</v>
      </c>
      <c r="B52" s="131">
        <v>5.0983</v>
      </c>
      <c r="C52" s="131">
        <f t="shared" si="5"/>
        <v>10.1966</v>
      </c>
      <c r="D52" s="131">
        <f t="shared" si="6"/>
        <v>15.16847943</v>
      </c>
      <c r="E52" s="131">
        <f t="shared" si="7"/>
        <v>0.1684794294</v>
      </c>
      <c r="F52" s="133">
        <f t="shared" si="8"/>
        <v>0.02838531814</v>
      </c>
    </row>
    <row r="53" ht="13.5" customHeight="1">
      <c r="A53" s="132">
        <v>16.0</v>
      </c>
      <c r="B53" s="131">
        <v>5.2824</v>
      </c>
      <c r="C53" s="131">
        <f t="shared" si="5"/>
        <v>10.5648</v>
      </c>
      <c r="D53" s="131">
        <f t="shared" si="6"/>
        <v>16.25268266</v>
      </c>
      <c r="E53" s="131">
        <f t="shared" si="7"/>
        <v>0.252682663</v>
      </c>
      <c r="F53" s="133">
        <f t="shared" si="8"/>
        <v>0.06384852819</v>
      </c>
    </row>
    <row r="54" ht="13.5" customHeight="1">
      <c r="A54" s="132">
        <v>17.0</v>
      </c>
      <c r="B54" s="131">
        <v>5.4279</v>
      </c>
      <c r="C54" s="131">
        <f t="shared" si="5"/>
        <v>10.8558</v>
      </c>
      <c r="D54" s="131">
        <f t="shared" si="6"/>
        <v>17.20754749</v>
      </c>
      <c r="E54" s="131">
        <f t="shared" si="7"/>
        <v>0.2075474874</v>
      </c>
      <c r="F54" s="133">
        <f t="shared" si="8"/>
        <v>0.04307595954</v>
      </c>
    </row>
    <row r="55" ht="13.5" customHeight="1">
      <c r="A55" s="132">
        <v>18.0</v>
      </c>
      <c r="B55" s="131">
        <v>5.5492</v>
      </c>
      <c r="C55" s="131">
        <f t="shared" si="5"/>
        <v>11.0984</v>
      </c>
      <c r="D55" s="131">
        <f t="shared" si="6"/>
        <v>18.07674587</v>
      </c>
      <c r="E55" s="131">
        <f t="shared" si="7"/>
        <v>0.07674586798</v>
      </c>
      <c r="F55" s="133">
        <f t="shared" si="8"/>
        <v>0.005889928253</v>
      </c>
    </row>
    <row r="56" ht="13.5" customHeight="1">
      <c r="A56" s="132">
        <v>19.0</v>
      </c>
      <c r="B56" s="131">
        <v>5.6496</v>
      </c>
      <c r="C56" s="131">
        <f t="shared" si="5"/>
        <v>11.2992</v>
      </c>
      <c r="D56" s="131">
        <f t="shared" si="6"/>
        <v>18.85059571</v>
      </c>
      <c r="E56" s="131">
        <f t="shared" si="7"/>
        <v>-0.1494042872</v>
      </c>
      <c r="F56" s="133">
        <f t="shared" si="8"/>
        <v>0.02232164102</v>
      </c>
    </row>
    <row r="57" ht="13.5" customHeight="1">
      <c r="A57" s="132">
        <v>20.0</v>
      </c>
      <c r="B57" s="131">
        <v>5.7575</v>
      </c>
      <c r="C57" s="131">
        <f t="shared" si="5"/>
        <v>11.515</v>
      </c>
      <c r="D57" s="131">
        <f t="shared" si="6"/>
        <v>19.74104779</v>
      </c>
      <c r="E57" s="131">
        <f t="shared" si="7"/>
        <v>-0.2589522053</v>
      </c>
      <c r="F57" s="133">
        <f t="shared" si="8"/>
        <v>0.06705624463</v>
      </c>
    </row>
    <row r="58" ht="13.5" customHeight="1">
      <c r="F58" s="133">
        <f>SUM(F37:F57)</f>
        <v>0.3370371017</v>
      </c>
    </row>
    <row r="59" ht="14.25" customHeight="1"/>
    <row r="60" ht="14.25" customHeight="1">
      <c r="A60" s="5" t="s">
        <v>135</v>
      </c>
      <c r="I60" s="5" t="s">
        <v>141</v>
      </c>
      <c r="K60" s="135">
        <v>888.0</v>
      </c>
    </row>
    <row r="61" ht="13.5" customHeight="1">
      <c r="A61" s="5" t="s">
        <v>136</v>
      </c>
      <c r="B61" s="134">
        <v>0.00807677129556514</v>
      </c>
      <c r="I61" s="5" t="s">
        <v>142</v>
      </c>
      <c r="K61" s="131">
        <f>$B$30+$B$31*K60/100+$B$32*K60^2*0.0001+$B$33*K60^3*0.000001</f>
        <v>6.592360571</v>
      </c>
    </row>
    <row r="62" ht="14.25" customHeight="1">
      <c r="A62" s="5" t="s">
        <v>137</v>
      </c>
      <c r="B62" s="134">
        <v>1.0562243732222298</v>
      </c>
    </row>
    <row r="63" ht="14.25" customHeight="1">
      <c r="A63" s="5" t="s">
        <v>138</v>
      </c>
      <c r="B63" s="134">
        <v>0.20065222246514283</v>
      </c>
      <c r="I63" s="5" t="s">
        <v>143</v>
      </c>
      <c r="K63" s="136">
        <v>6.581</v>
      </c>
    </row>
    <row r="64" ht="13.5" customHeight="1">
      <c r="A64" s="5" t="s">
        <v>139</v>
      </c>
      <c r="B64" s="134">
        <v>-0.03928033669208204</v>
      </c>
      <c r="I64" s="5" t="s">
        <v>144</v>
      </c>
      <c r="K64" s="81">
        <f>$B$61*100+$B$62*K63*100+$B$63*K63^2*100+$B$64*K63^3*100+$B$65*K63^4*100</f>
        <v>882.1282161</v>
      </c>
    </row>
    <row r="65" ht="13.5" customHeight="1">
      <c r="A65" s="5" t="s">
        <v>151</v>
      </c>
      <c r="B65" s="134">
        <v>0.00232856068506252</v>
      </c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