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396" windowWidth="28488" windowHeight="12228" activeTab="1"/>
  </bookViews>
  <sheets>
    <sheet name="user time" sheetId="1" r:id="rId1"/>
    <sheet name="summary" sheetId="2" r:id="rId2"/>
    <sheet name="KOT" sheetId="3" r:id="rId3"/>
    <sheet name="kW-week" sheetId="7" r:id="rId4"/>
    <sheet name="K" sheetId="9" r:id="rId5"/>
    <sheet name="expect_KOT" sheetId="4" r:id="rId6"/>
    <sheet name="expect_kW" sheetId="6" r:id="rId7"/>
  </sheets>
  <definedNames>
    <definedName name="_xlnm.Print_Area" localSheetId="1">summary!$A$1:$BA$153</definedName>
    <definedName name="_xlnm.Print_Area" localSheetId="0">'user time'!$A$1:$K$39</definedName>
    <definedName name="tmp" localSheetId="5">expect_KOT!#REF!</definedName>
    <definedName name="tmp" localSheetId="6">expect_kW!#REF!</definedName>
  </definedNames>
  <calcPr calcId="145621"/>
</workbook>
</file>

<file path=xl/calcChain.xml><?xml version="1.0" encoding="utf-8"?>
<calcChain xmlns="http://schemas.openxmlformats.org/spreadsheetml/2006/main">
  <c r="H814" i="2" l="1"/>
  <c r="H813" i="2"/>
  <c r="AS813" i="2" s="1"/>
  <c r="H812" i="2"/>
  <c r="AO812" i="2" s="1"/>
  <c r="AP812" i="2" s="1"/>
  <c r="H811" i="2"/>
  <c r="H810" i="2"/>
  <c r="H809" i="2"/>
  <c r="AS809" i="2" s="1"/>
  <c r="Z10" i="1"/>
  <c r="H808" i="2"/>
  <c r="AO808" i="2" s="1"/>
  <c r="AP808" i="2" s="1"/>
  <c r="H807" i="2"/>
  <c r="AO807" i="2" s="1"/>
  <c r="AP807" i="2" s="1"/>
  <c r="H806" i="2"/>
  <c r="AO806" i="2" s="1"/>
  <c r="AP806" i="2" s="1"/>
  <c r="H805" i="2"/>
  <c r="H804" i="2"/>
  <c r="AO804" i="2" s="1"/>
  <c r="AP804" i="2" s="1"/>
  <c r="AV814" i="2"/>
  <c r="AU814" i="2"/>
  <c r="AW814" i="2" s="1"/>
  <c r="AS814" i="2"/>
  <c r="AO814" i="2"/>
  <c r="AP814" i="2" s="1"/>
  <c r="AV813" i="2"/>
  <c r="AU813" i="2"/>
  <c r="AV812" i="2"/>
  <c r="AU812" i="2"/>
  <c r="AS812" i="2"/>
  <c r="AV811" i="2"/>
  <c r="AU811" i="2"/>
  <c r="AS811" i="2"/>
  <c r="AO811" i="2"/>
  <c r="AP811" i="2" s="1"/>
  <c r="AV810" i="2"/>
  <c r="AU810" i="2"/>
  <c r="AS810" i="2"/>
  <c r="AO810" i="2"/>
  <c r="AP810" i="2" s="1"/>
  <c r="AV809" i="2"/>
  <c r="AU809" i="2"/>
  <c r="AV808" i="2"/>
  <c r="AU808" i="2"/>
  <c r="AV807" i="2"/>
  <c r="AU807" i="2"/>
  <c r="AW807" i="2" s="1"/>
  <c r="AS807" i="2"/>
  <c r="AV806" i="2"/>
  <c r="AU806" i="2"/>
  <c r="AS806" i="2"/>
  <c r="AV805" i="2"/>
  <c r="AU805" i="2"/>
  <c r="AW805" i="2" s="1"/>
  <c r="AS805" i="2"/>
  <c r="AO805" i="2"/>
  <c r="AP805" i="2" s="1"/>
  <c r="AV804" i="2"/>
  <c r="AU804" i="2"/>
  <c r="AS804" i="2"/>
  <c r="AV803" i="2"/>
  <c r="AU803" i="2"/>
  <c r="AW803" i="2" s="1"/>
  <c r="AS803" i="2"/>
  <c r="H803" i="2"/>
  <c r="AO803" i="2" s="1"/>
  <c r="AP803" i="2" s="1"/>
  <c r="H802" i="2"/>
  <c r="H801" i="2"/>
  <c r="AV800" i="2"/>
  <c r="AU800" i="2"/>
  <c r="AW800" i="2" s="1"/>
  <c r="H800" i="2"/>
  <c r="Z9" i="1"/>
  <c r="Z8" i="1"/>
  <c r="Z7" i="1"/>
  <c r="Z6" i="1"/>
  <c r="Z5" i="1"/>
  <c r="Z4" i="1"/>
  <c r="I38" i="1"/>
  <c r="H38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H799" i="2"/>
  <c r="AO799" i="2" s="1"/>
  <c r="AP799" i="2" s="1"/>
  <c r="H798" i="2"/>
  <c r="AS798" i="2" s="1"/>
  <c r="AV799" i="2"/>
  <c r="AU799" i="2"/>
  <c r="U27" i="1"/>
  <c r="U26" i="1"/>
  <c r="AV798" i="2"/>
  <c r="AU798" i="2"/>
  <c r="H797" i="2"/>
  <c r="AO797" i="2" s="1"/>
  <c r="AP797" i="2" s="1"/>
  <c r="H796" i="2"/>
  <c r="AO796" i="2" s="1"/>
  <c r="AP796" i="2" s="1"/>
  <c r="AV797" i="2"/>
  <c r="AU797" i="2"/>
  <c r="AW797" i="2" s="1"/>
  <c r="U25" i="1"/>
  <c r="AV796" i="2"/>
  <c r="AU796" i="2"/>
  <c r="H795" i="2"/>
  <c r="AO795" i="2" s="1"/>
  <c r="AP795" i="2" s="1"/>
  <c r="H794" i="2"/>
  <c r="AV795" i="2"/>
  <c r="AU795" i="2"/>
  <c r="AV794" i="2"/>
  <c r="AW794" i="2" s="1"/>
  <c r="AU794" i="2"/>
  <c r="H793" i="2"/>
  <c r="AO793" i="2" s="1"/>
  <c r="AP793" i="2" s="1"/>
  <c r="U24" i="1"/>
  <c r="H791" i="2"/>
  <c r="AS791" i="2" s="1"/>
  <c r="U23" i="1"/>
  <c r="H790" i="2"/>
  <c r="AO790" i="2" s="1"/>
  <c r="AP790" i="2" s="1"/>
  <c r="H789" i="2"/>
  <c r="AS789" i="2" s="1"/>
  <c r="U22" i="1"/>
  <c r="AV793" i="2"/>
  <c r="AU793" i="2"/>
  <c r="AV792" i="2"/>
  <c r="AW792" i="2" s="1"/>
  <c r="AU792" i="2"/>
  <c r="H788" i="2"/>
  <c r="AO788" i="2" s="1"/>
  <c r="AP788" i="2" s="1"/>
  <c r="H792" i="2"/>
  <c r="AS792" i="2" s="1"/>
  <c r="H787" i="2"/>
  <c r="AO787" i="2" s="1"/>
  <c r="AP787" i="2" s="1"/>
  <c r="H786" i="2"/>
  <c r="AO786" i="2" s="1"/>
  <c r="AP786" i="2" s="1"/>
  <c r="H785" i="2"/>
  <c r="AO785" i="2" s="1"/>
  <c r="AP785" i="2" s="1"/>
  <c r="H784" i="2"/>
  <c r="AS784" i="2" s="1"/>
  <c r="H783" i="2"/>
  <c r="AO783" i="2" s="1"/>
  <c r="AP783" i="2" s="1"/>
  <c r="H782" i="2"/>
  <c r="AS782" i="2" s="1"/>
  <c r="H781" i="2"/>
  <c r="AO781" i="2" s="1"/>
  <c r="AP781" i="2" s="1"/>
  <c r="H780" i="2"/>
  <c r="AO780" i="2" s="1"/>
  <c r="AP780" i="2" s="1"/>
  <c r="H779" i="2"/>
  <c r="AO779" i="2" s="1"/>
  <c r="AP779" i="2" s="1"/>
  <c r="H778" i="2"/>
  <c r="AS778" i="2" s="1"/>
  <c r="H777" i="2"/>
  <c r="AS777" i="2" s="1"/>
  <c r="H776" i="2"/>
  <c r="AO776" i="2" s="1"/>
  <c r="AP776" i="2" s="1"/>
  <c r="U21" i="1"/>
  <c r="AV791" i="2"/>
  <c r="AU791" i="2"/>
  <c r="AV790" i="2"/>
  <c r="AU790" i="2"/>
  <c r="AV789" i="2"/>
  <c r="AU789" i="2"/>
  <c r="AV788" i="2"/>
  <c r="AU788" i="2"/>
  <c r="AV787" i="2"/>
  <c r="AU787" i="2"/>
  <c r="AW787" i="2" s="1"/>
  <c r="AV786" i="2"/>
  <c r="AU786" i="2"/>
  <c r="AV785" i="2"/>
  <c r="AU785" i="2"/>
  <c r="AW785" i="2" s="1"/>
  <c r="AS785" i="2"/>
  <c r="AV784" i="2"/>
  <c r="AU784" i="2"/>
  <c r="AV783" i="2"/>
  <c r="AU783" i="2"/>
  <c r="AV782" i="2"/>
  <c r="AU782" i="2"/>
  <c r="AV781" i="2"/>
  <c r="AU781" i="2"/>
  <c r="AV780" i="2"/>
  <c r="AU780" i="2"/>
  <c r="AV779" i="2"/>
  <c r="AU779" i="2"/>
  <c r="AV778" i="2"/>
  <c r="AU778" i="2"/>
  <c r="AV777" i="2"/>
  <c r="AU777" i="2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H3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AV776" i="2"/>
  <c r="AU776" i="2"/>
  <c r="P29" i="1"/>
  <c r="AV775" i="2"/>
  <c r="AU775" i="2"/>
  <c r="AW775" i="2" s="1"/>
  <c r="H775" i="2"/>
  <c r="AO775" i="2" s="1"/>
  <c r="AP775" i="2" s="1"/>
  <c r="H774" i="2"/>
  <c r="AO774" i="2" s="1"/>
  <c r="AP774" i="2" s="1"/>
  <c r="P28" i="1"/>
  <c r="AV774" i="2"/>
  <c r="AW774" i="2" s="1"/>
  <c r="AU774" i="2"/>
  <c r="H773" i="2"/>
  <c r="AS773" i="2" s="1"/>
  <c r="H772" i="2"/>
  <c r="AS772" i="2" s="1"/>
  <c r="P27" i="1"/>
  <c r="AV773" i="2"/>
  <c r="AW773" i="2" s="1"/>
  <c r="AU773" i="2"/>
  <c r="P26" i="1"/>
  <c r="H771" i="2"/>
  <c r="AS771" i="2" s="1"/>
  <c r="P25" i="1"/>
  <c r="AV772" i="2"/>
  <c r="AU772" i="2"/>
  <c r="P24" i="1"/>
  <c r="AV771" i="2"/>
  <c r="AU771" i="2"/>
  <c r="H770" i="2"/>
  <c r="P23" i="1"/>
  <c r="P22" i="1"/>
  <c r="AV770" i="2"/>
  <c r="AU770" i="2"/>
  <c r="AW770" i="2" s="1"/>
  <c r="P21" i="1"/>
  <c r="H769" i="2"/>
  <c r="AO769" i="2" s="1"/>
  <c r="AP769" i="2" s="1"/>
  <c r="P20" i="1"/>
  <c r="H768" i="2"/>
  <c r="AV769" i="2"/>
  <c r="AU769" i="2"/>
  <c r="AW769" i="2" s="1"/>
  <c r="H767" i="2"/>
  <c r="H766" i="2"/>
  <c r="H765" i="2"/>
  <c r="H764" i="2"/>
  <c r="AO813" i="2" l="1"/>
  <c r="AP813" i="2" s="1"/>
  <c r="AO809" i="2"/>
  <c r="AP809" i="2" s="1"/>
  <c r="AW813" i="2"/>
  <c r="AW811" i="2"/>
  <c r="AW810" i="2"/>
  <c r="AS800" i="2"/>
  <c r="AO800" i="2"/>
  <c r="AP800" i="2" s="1"/>
  <c r="AW808" i="2"/>
  <c r="AS808" i="2"/>
  <c r="AW806" i="2"/>
  <c r="AW812" i="2"/>
  <c r="AW809" i="2"/>
  <c r="AW804" i="2"/>
  <c r="J38" i="1"/>
  <c r="K38" i="1" s="1"/>
  <c r="AS799" i="2"/>
  <c r="AW799" i="2"/>
  <c r="AO798" i="2"/>
  <c r="AP798" i="2" s="1"/>
  <c r="AW798" i="2"/>
  <c r="I37" i="1"/>
  <c r="J37" i="1" s="1"/>
  <c r="K37" i="1" s="1"/>
  <c r="AS797" i="2"/>
  <c r="AS796" i="2"/>
  <c r="AW796" i="2"/>
  <c r="AS795" i="2"/>
  <c r="AS794" i="2"/>
  <c r="AO794" i="2"/>
  <c r="AP794" i="2" s="1"/>
  <c r="AW795" i="2"/>
  <c r="AS793" i="2"/>
  <c r="AO792" i="2"/>
  <c r="AP792" i="2" s="1"/>
  <c r="AW791" i="2"/>
  <c r="AO791" i="2"/>
  <c r="AP791" i="2" s="1"/>
  <c r="AW790" i="2"/>
  <c r="AS790" i="2"/>
  <c r="AW789" i="2"/>
  <c r="AO789" i="2"/>
  <c r="AP789" i="2" s="1"/>
  <c r="AW788" i="2"/>
  <c r="AW793" i="2"/>
  <c r="AS788" i="2"/>
  <c r="AS787" i="2"/>
  <c r="AW786" i="2"/>
  <c r="AS786" i="2"/>
  <c r="AW784" i="2"/>
  <c r="AO784" i="2"/>
  <c r="AP784" i="2" s="1"/>
  <c r="AW783" i="2"/>
  <c r="AS783" i="2"/>
  <c r="AW782" i="2"/>
  <c r="AO782" i="2"/>
  <c r="AP782" i="2" s="1"/>
  <c r="AW781" i="2"/>
  <c r="AS781" i="2"/>
  <c r="AW780" i="2"/>
  <c r="AS780" i="2"/>
  <c r="AW779" i="2"/>
  <c r="AS779" i="2"/>
  <c r="AW778" i="2"/>
  <c r="AO778" i="2"/>
  <c r="AP778" i="2" s="1"/>
  <c r="AW777" i="2"/>
  <c r="AO777" i="2"/>
  <c r="AP777" i="2" s="1"/>
  <c r="AS776" i="2"/>
  <c r="AW776" i="2"/>
  <c r="AS775" i="2"/>
  <c r="AS774" i="2"/>
  <c r="AO773" i="2"/>
  <c r="AP773" i="2" s="1"/>
  <c r="AO772" i="2"/>
  <c r="AP772" i="2" s="1"/>
  <c r="AW772" i="2"/>
  <c r="AW771" i="2"/>
  <c r="AO771" i="2"/>
  <c r="AP771" i="2" s="1"/>
  <c r="AO770" i="2"/>
  <c r="AP770" i="2" s="1"/>
  <c r="AS770" i="2"/>
  <c r="AS769" i="2"/>
  <c r="P19" i="1"/>
  <c r="H762" i="2"/>
  <c r="H761" i="2"/>
  <c r="H760" i="2"/>
  <c r="AO768" i="2"/>
  <c r="AP768" i="2" s="1"/>
  <c r="AO767" i="2"/>
  <c r="AP767" i="2" s="1"/>
  <c r="AO766" i="2"/>
  <c r="AP766" i="2" s="1"/>
  <c r="AO765" i="2"/>
  <c r="AP765" i="2" s="1"/>
  <c r="AO764" i="2"/>
  <c r="AP764" i="2" s="1"/>
  <c r="H759" i="2"/>
  <c r="AS759" i="2" s="1"/>
  <c r="H758" i="2"/>
  <c r="AV758" i="2"/>
  <c r="AU758" i="2"/>
  <c r="AV768" i="2"/>
  <c r="AU768" i="2"/>
  <c r="AW768" i="2" s="1"/>
  <c r="AS768" i="2"/>
  <c r="AV767" i="2"/>
  <c r="AU767" i="2"/>
  <c r="AW767" i="2" s="1"/>
  <c r="AS767" i="2"/>
  <c r="AV766" i="2"/>
  <c r="AW766" i="2" s="1"/>
  <c r="AU766" i="2"/>
  <c r="AS766" i="2"/>
  <c r="AV765" i="2"/>
  <c r="AU765" i="2"/>
  <c r="AS765" i="2"/>
  <c r="AV764" i="2"/>
  <c r="AU764" i="2"/>
  <c r="AS764" i="2"/>
  <c r="AV760" i="2"/>
  <c r="AU760" i="2"/>
  <c r="AV759" i="2"/>
  <c r="AU759" i="2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H757" i="2"/>
  <c r="H36" i="1"/>
  <c r="J35" i="1"/>
  <c r="K35" i="1" s="1"/>
  <c r="H756" i="2"/>
  <c r="H755" i="2"/>
  <c r="H754" i="2"/>
  <c r="H753" i="2"/>
  <c r="H752" i="2"/>
  <c r="H751" i="2"/>
  <c r="H750" i="2"/>
  <c r="H749" i="2"/>
  <c r="H748" i="2"/>
  <c r="H747" i="2"/>
  <c r="H745" i="2"/>
  <c r="H744" i="2"/>
  <c r="H743" i="2"/>
  <c r="H35" i="1"/>
  <c r="AO759" i="2" l="1"/>
  <c r="AP759" i="2" s="1"/>
  <c r="AS758" i="2"/>
  <c r="AO760" i="2"/>
  <c r="AP760" i="2" s="1"/>
  <c r="AW765" i="2"/>
  <c r="AW764" i="2"/>
  <c r="AW760" i="2"/>
  <c r="AS760" i="2"/>
  <c r="AW759" i="2"/>
  <c r="AW758" i="2"/>
  <c r="AO758" i="2"/>
  <c r="AP758" i="2" s="1"/>
  <c r="I36" i="1"/>
  <c r="J36" i="1" s="1"/>
  <c r="K36" i="1" s="1"/>
  <c r="H740" i="2"/>
  <c r="AO740" i="2" s="1"/>
  <c r="AP740" i="2" s="1"/>
  <c r="H738" i="2"/>
  <c r="AS738" i="2" s="1"/>
  <c r="H735" i="2"/>
  <c r="AS735" i="2" s="1"/>
  <c r="H733" i="2"/>
  <c r="AO733" i="2" s="1"/>
  <c r="AP733" i="2" s="1"/>
  <c r="AJ125" i="1"/>
  <c r="H742" i="2" s="1"/>
  <c r="AS742" i="2" s="1"/>
  <c r="H729" i="2"/>
  <c r="AS729" i="2" s="1"/>
  <c r="AV742" i="2"/>
  <c r="AU742" i="2"/>
  <c r="AV741" i="2"/>
  <c r="AW741" i="2" s="1"/>
  <c r="AU741" i="2"/>
  <c r="AV740" i="2"/>
  <c r="AU740" i="2"/>
  <c r="AV739" i="2"/>
  <c r="AU739" i="2"/>
  <c r="AW739" i="2" s="1"/>
  <c r="AV738" i="2"/>
  <c r="AU738" i="2"/>
  <c r="AV737" i="2"/>
  <c r="AU737" i="2"/>
  <c r="AV736" i="2"/>
  <c r="AU736" i="2"/>
  <c r="AV735" i="2"/>
  <c r="AU735" i="2"/>
  <c r="AV734" i="2"/>
  <c r="AU734" i="2"/>
  <c r="AW734" i="2" s="1"/>
  <c r="AV733" i="2"/>
  <c r="AU733" i="2"/>
  <c r="AV732" i="2"/>
  <c r="AU732" i="2"/>
  <c r="AV731" i="2"/>
  <c r="AU731" i="2"/>
  <c r="AV730" i="2"/>
  <c r="AU730" i="2"/>
  <c r="AV729" i="2"/>
  <c r="AU729" i="2"/>
  <c r="AV728" i="2"/>
  <c r="AU728" i="2"/>
  <c r="AV727" i="2"/>
  <c r="AU727" i="2"/>
  <c r="AW727" i="2" s="1"/>
  <c r="H727" i="2"/>
  <c r="AO727" i="2" s="1"/>
  <c r="AP727" i="2" s="1"/>
  <c r="H34" i="1"/>
  <c r="AJ124" i="1"/>
  <c r="AJ123" i="1"/>
  <c r="H741" i="2" s="1"/>
  <c r="AO741" i="2" s="1"/>
  <c r="AP741" i="2" s="1"/>
  <c r="AJ122" i="1"/>
  <c r="H739" i="2" s="1"/>
  <c r="AS739" i="2" s="1"/>
  <c r="AJ121" i="1"/>
  <c r="AJ120" i="1"/>
  <c r="AJ119" i="1"/>
  <c r="AJ118" i="1"/>
  <c r="AJ117" i="1"/>
  <c r="AJ116" i="1"/>
  <c r="AJ115" i="1"/>
  <c r="AJ114" i="1"/>
  <c r="AJ113" i="1"/>
  <c r="AJ126" i="1" s="1"/>
  <c r="AJ109" i="1"/>
  <c r="AJ108" i="1"/>
  <c r="AJ107" i="1"/>
  <c r="AJ106" i="1"/>
  <c r="AJ105" i="1"/>
  <c r="AJ104" i="1"/>
  <c r="AJ103" i="1"/>
  <c r="AJ102" i="1"/>
  <c r="AJ101" i="1"/>
  <c r="H730" i="2" s="1"/>
  <c r="AS730" i="2" s="1"/>
  <c r="AJ100" i="1"/>
  <c r="H728" i="2" s="1"/>
  <c r="AJ99" i="1"/>
  <c r="AJ98" i="1"/>
  <c r="H726" i="2" s="1"/>
  <c r="AO726" i="2" s="1"/>
  <c r="AP726" i="2" s="1"/>
  <c r="H725" i="2"/>
  <c r="H724" i="2"/>
  <c r="AV726" i="2"/>
  <c r="AU726" i="2"/>
  <c r="AJ97" i="1"/>
  <c r="H722" i="2"/>
  <c r="AS722" i="2" s="1"/>
  <c r="AV722" i="2"/>
  <c r="AU722" i="2"/>
  <c r="AO722" i="2"/>
  <c r="AP722" i="2" s="1"/>
  <c r="AJ96" i="1"/>
  <c r="H721" i="2" s="1"/>
  <c r="H734" i="2" l="1"/>
  <c r="AS734" i="2" s="1"/>
  <c r="H736" i="2"/>
  <c r="AO736" i="2" s="1"/>
  <c r="AP736" i="2" s="1"/>
  <c r="H731" i="2"/>
  <c r="AS731" i="2" s="1"/>
  <c r="H732" i="2"/>
  <c r="AS732" i="2" s="1"/>
  <c r="H737" i="2"/>
  <c r="AO737" i="2" s="1"/>
  <c r="AP737" i="2" s="1"/>
  <c r="AO729" i="2"/>
  <c r="AP729" i="2" s="1"/>
  <c r="AO735" i="2"/>
  <c r="AP735" i="2" s="1"/>
  <c r="AO739" i="2"/>
  <c r="AP739" i="2" s="1"/>
  <c r="AS728" i="2"/>
  <c r="AO728" i="2"/>
  <c r="AP728" i="2" s="1"/>
  <c r="AS727" i="2"/>
  <c r="AS733" i="2"/>
  <c r="AO738" i="2"/>
  <c r="AP738" i="2" s="1"/>
  <c r="AS740" i="2"/>
  <c r="AO742" i="2"/>
  <c r="AP742" i="2" s="1"/>
  <c r="AS741" i="2"/>
  <c r="AO730" i="2"/>
  <c r="AP730" i="2" s="1"/>
  <c r="AW740" i="2"/>
  <c r="AW738" i="2"/>
  <c r="AW742" i="2"/>
  <c r="AW737" i="2"/>
  <c r="AW736" i="2"/>
  <c r="AW735" i="2"/>
  <c r="AW733" i="2"/>
  <c r="AW732" i="2"/>
  <c r="AW731" i="2"/>
  <c r="AW730" i="2"/>
  <c r="AW729" i="2"/>
  <c r="AW728" i="2"/>
  <c r="AW726" i="2"/>
  <c r="I34" i="1"/>
  <c r="J34" i="1" s="1"/>
  <c r="K34" i="1" s="1"/>
  <c r="AS726" i="2"/>
  <c r="AW722" i="2"/>
  <c r="AJ95" i="1"/>
  <c r="AV721" i="2"/>
  <c r="AU721" i="2"/>
  <c r="AS721" i="2"/>
  <c r="AO721" i="2"/>
  <c r="AP721" i="2" s="1"/>
  <c r="AS736" i="2" l="1"/>
  <c r="AO732" i="2"/>
  <c r="AP732" i="2" s="1"/>
  <c r="AO731" i="2"/>
  <c r="AP731" i="2" s="1"/>
  <c r="AS737" i="2"/>
  <c r="AO734" i="2"/>
  <c r="AP734" i="2" s="1"/>
  <c r="AW721" i="2"/>
  <c r="AV720" i="2"/>
  <c r="AU720" i="2"/>
  <c r="AW720" i="2" s="1"/>
  <c r="AJ94" i="1"/>
  <c r="H720" i="2" s="1"/>
  <c r="AJ93" i="1"/>
  <c r="H719" i="2" s="1"/>
  <c r="AO719" i="2" s="1"/>
  <c r="AP719" i="2" s="1"/>
  <c r="AV719" i="2"/>
  <c r="AU719" i="2"/>
  <c r="AJ92" i="1"/>
  <c r="H718" i="2" s="1"/>
  <c r="AO718" i="2" s="1"/>
  <c r="AP718" i="2" s="1"/>
  <c r="AV718" i="2"/>
  <c r="AU718" i="2"/>
  <c r="AJ91" i="1"/>
  <c r="H717" i="2"/>
  <c r="AS720" i="2" l="1"/>
  <c r="AO720" i="2"/>
  <c r="AP720" i="2" s="1"/>
  <c r="AS719" i="2"/>
  <c r="AW719" i="2"/>
  <c r="AS718" i="2"/>
  <c r="AW718" i="2"/>
  <c r="AV717" i="2"/>
  <c r="AU717" i="2"/>
  <c r="AS717" i="2"/>
  <c r="AO717" i="2"/>
  <c r="AP717" i="2" s="1"/>
  <c r="AW717" i="2" l="1"/>
  <c r="AJ90" i="1"/>
  <c r="AJ89" i="1"/>
  <c r="AJ88" i="1"/>
  <c r="H716" i="2" s="1"/>
  <c r="AO716" i="2" s="1"/>
  <c r="AP716" i="2" s="1"/>
  <c r="AV716" i="2"/>
  <c r="AU716" i="2"/>
  <c r="AS716" i="2" l="1"/>
  <c r="AW716" i="2"/>
  <c r="H715" i="2"/>
  <c r="H707" i="2"/>
  <c r="AV715" i="2" l="1"/>
  <c r="AU715" i="2"/>
  <c r="AS715" i="2"/>
  <c r="AO715" i="2"/>
  <c r="AP715" i="2" s="1"/>
  <c r="H705" i="2"/>
  <c r="AO705" i="2" s="1"/>
  <c r="AP705" i="2" s="1"/>
  <c r="H703" i="2"/>
  <c r="AO703" i="2" s="1"/>
  <c r="AP703" i="2" s="1"/>
  <c r="AJ87" i="1"/>
  <c r="H714" i="2" s="1"/>
  <c r="AS714" i="2" s="1"/>
  <c r="AV714" i="2"/>
  <c r="AU714" i="2"/>
  <c r="AV713" i="2"/>
  <c r="AU713" i="2"/>
  <c r="AW713" i="2" s="1"/>
  <c r="AV712" i="2"/>
  <c r="AU712" i="2"/>
  <c r="AW712" i="2" s="1"/>
  <c r="AV711" i="2"/>
  <c r="AU711" i="2"/>
  <c r="AW711" i="2" s="1"/>
  <c r="AV710" i="2"/>
  <c r="AU710" i="2"/>
  <c r="AV709" i="2"/>
  <c r="AU709" i="2"/>
  <c r="AW709" i="2" s="1"/>
  <c r="AV708" i="2"/>
  <c r="AU708" i="2"/>
  <c r="AV707" i="2"/>
  <c r="AU707" i="2"/>
  <c r="AS707" i="2"/>
  <c r="AO707" i="2"/>
  <c r="AP707" i="2" s="1"/>
  <c r="AV706" i="2"/>
  <c r="AU706" i="2"/>
  <c r="AV705" i="2"/>
  <c r="AU705" i="2"/>
  <c r="AV704" i="2"/>
  <c r="AU704" i="2"/>
  <c r="AV703" i="2"/>
  <c r="AU703" i="2"/>
  <c r="AW703" i="2" s="1"/>
  <c r="AV702" i="2"/>
  <c r="AU702" i="2"/>
  <c r="AJ86" i="1"/>
  <c r="H713" i="2" s="1"/>
  <c r="AS713" i="2" s="1"/>
  <c r="AJ85" i="1"/>
  <c r="H712" i="2" s="1"/>
  <c r="AS712" i="2" s="1"/>
  <c r="AJ84" i="1"/>
  <c r="AJ83" i="1"/>
  <c r="AJ82" i="1"/>
  <c r="AJ81" i="1"/>
  <c r="AJ80" i="1"/>
  <c r="AJ79" i="1"/>
  <c r="AJ78" i="1"/>
  <c r="AJ77" i="1"/>
  <c r="H709" i="2" s="1"/>
  <c r="AO709" i="2" s="1"/>
  <c r="AP709" i="2" s="1"/>
  <c r="AJ76" i="1"/>
  <c r="H33" i="1"/>
  <c r="AE169" i="1"/>
  <c r="AE168" i="1"/>
  <c r="H706" i="2" s="1"/>
  <c r="AO706" i="2" s="1"/>
  <c r="AP706" i="2" s="1"/>
  <c r="AE167" i="1"/>
  <c r="AE166" i="1"/>
  <c r="AE165" i="1"/>
  <c r="AE164" i="1"/>
  <c r="H702" i="2" s="1"/>
  <c r="AS702" i="2" s="1"/>
  <c r="AE163" i="1"/>
  <c r="AE162" i="1"/>
  <c r="AV701" i="2"/>
  <c r="AU701" i="2"/>
  <c r="AV700" i="2"/>
  <c r="AW700" i="2" s="1"/>
  <c r="AU700" i="2"/>
  <c r="AE161" i="1"/>
  <c r="AE160" i="1"/>
  <c r="AE159" i="1"/>
  <c r="H711" i="2" l="1"/>
  <c r="AS711" i="2" s="1"/>
  <c r="H708" i="2"/>
  <c r="AS708" i="2" s="1"/>
  <c r="AJ110" i="1"/>
  <c r="I33" i="1" s="1"/>
  <c r="J33" i="1" s="1"/>
  <c r="K33" i="1" s="1"/>
  <c r="AO713" i="2"/>
  <c r="AP713" i="2" s="1"/>
  <c r="AO712" i="2"/>
  <c r="AP712" i="2" s="1"/>
  <c r="AS709" i="2"/>
  <c r="H710" i="2"/>
  <c r="H701" i="2"/>
  <c r="AS701" i="2" s="1"/>
  <c r="H704" i="2"/>
  <c r="AO704" i="2" s="1"/>
  <c r="AP704" i="2" s="1"/>
  <c r="AW714" i="2"/>
  <c r="AW710" i="2"/>
  <c r="AW708" i="2"/>
  <c r="AW707" i="2"/>
  <c r="AW715" i="2"/>
  <c r="AW706" i="2"/>
  <c r="AS706" i="2"/>
  <c r="AO714" i="2"/>
  <c r="AP714" i="2" s="1"/>
  <c r="AW705" i="2"/>
  <c r="AS705" i="2"/>
  <c r="AW704" i="2"/>
  <c r="AS704" i="2"/>
  <c r="AS703" i="2"/>
  <c r="AW702" i="2"/>
  <c r="AO702" i="2"/>
  <c r="AP702" i="2" s="1"/>
  <c r="AW701" i="2"/>
  <c r="AE158" i="1"/>
  <c r="H700" i="2" s="1"/>
  <c r="AO700" i="2" s="1"/>
  <c r="AP700" i="2" s="1"/>
  <c r="AE157" i="1"/>
  <c r="AE156" i="1"/>
  <c r="H699" i="2" s="1"/>
  <c r="AO711" i="2" l="1"/>
  <c r="AP711" i="2" s="1"/>
  <c r="AO708" i="2"/>
  <c r="AP708" i="2" s="1"/>
  <c r="AS710" i="2"/>
  <c r="AO710" i="2"/>
  <c r="AP710" i="2" s="1"/>
  <c r="AO701" i="2"/>
  <c r="AP701" i="2" s="1"/>
  <c r="AS700" i="2"/>
  <c r="AV699" i="2"/>
  <c r="AU699" i="2"/>
  <c r="AS699" i="2"/>
  <c r="AO699" i="2"/>
  <c r="AP699" i="2" s="1"/>
  <c r="AE155" i="1"/>
  <c r="H698" i="2" s="1"/>
  <c r="C9" i="4"/>
  <c r="D9" i="4" s="1"/>
  <c r="C8" i="4"/>
  <c r="D8" i="4" s="1"/>
  <c r="C9" i="6"/>
  <c r="D9" i="6" s="1"/>
  <c r="C8" i="6"/>
  <c r="D8" i="6" s="1"/>
  <c r="AW699" i="2" l="1"/>
  <c r="F9" i="4"/>
  <c r="E9" i="4"/>
  <c r="F8" i="4"/>
  <c r="E8" i="4"/>
  <c r="E9" i="6"/>
  <c r="F9" i="6"/>
  <c r="F8" i="6"/>
  <c r="E8" i="6"/>
  <c r="AO698" i="2"/>
  <c r="AP698" i="2" s="1"/>
  <c r="H697" i="2"/>
  <c r="AV698" i="2"/>
  <c r="AW698" i="2" s="1"/>
  <c r="AU698" i="2"/>
  <c r="AE154" i="1"/>
  <c r="AE153" i="1"/>
  <c r="AS698" i="2" l="1"/>
  <c r="AV697" i="2"/>
  <c r="AU697" i="2"/>
  <c r="AW697" i="2" s="1"/>
  <c r="AS697" i="2"/>
  <c r="AO697" i="2"/>
  <c r="AP697" i="2" s="1"/>
  <c r="AE152" i="1"/>
  <c r="AE151" i="1"/>
  <c r="AV696" i="2"/>
  <c r="AU696" i="2"/>
  <c r="AW696" i="2" s="1"/>
  <c r="AE150" i="1"/>
  <c r="AV695" i="2"/>
  <c r="AU695" i="2"/>
  <c r="AW695" i="2" s="1"/>
  <c r="AE149" i="1"/>
  <c r="AE148" i="1"/>
  <c r="AE147" i="1"/>
  <c r="AE146" i="1"/>
  <c r="H696" i="2" l="1"/>
  <c r="AS696" i="2" s="1"/>
  <c r="H695" i="2"/>
  <c r="AO695" i="2" s="1"/>
  <c r="AP695" i="2" s="1"/>
  <c r="AE145" i="1"/>
  <c r="H694" i="2" s="1"/>
  <c r="AO694" i="2" s="1"/>
  <c r="AP694" i="2" s="1"/>
  <c r="AV694" i="2"/>
  <c r="AU694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AE144" i="1"/>
  <c r="H693" i="2" s="1"/>
  <c r="AO693" i="2" s="1"/>
  <c r="AP693" i="2" s="1"/>
  <c r="H658" i="2"/>
  <c r="H657" i="2"/>
  <c r="H656" i="2"/>
  <c r="AV693" i="2"/>
  <c r="AU693" i="2"/>
  <c r="H690" i="2"/>
  <c r="AS690" i="2" s="1"/>
  <c r="H688" i="2"/>
  <c r="AS688" i="2" s="1"/>
  <c r="H687" i="2"/>
  <c r="AS687" i="2" s="1"/>
  <c r="H685" i="2"/>
  <c r="AO685" i="2" s="1"/>
  <c r="AP685" i="2" s="1"/>
  <c r="AE143" i="1"/>
  <c r="H692" i="2" s="1"/>
  <c r="AS692" i="2" s="1"/>
  <c r="AV692" i="2"/>
  <c r="AW692" i="2" s="1"/>
  <c r="AU692" i="2"/>
  <c r="AN678" i="2"/>
  <c r="AE142" i="1"/>
  <c r="AV690" i="2"/>
  <c r="AU690" i="2"/>
  <c r="AW690" i="2" s="1"/>
  <c r="AV689" i="2"/>
  <c r="AU689" i="2"/>
  <c r="AV688" i="2"/>
  <c r="AU688" i="2"/>
  <c r="AV687" i="2"/>
  <c r="AU687" i="2"/>
  <c r="AV686" i="2"/>
  <c r="AU686" i="2"/>
  <c r="AW686" i="2" s="1"/>
  <c r="AV685" i="2"/>
  <c r="AU685" i="2"/>
  <c r="AV684" i="2"/>
  <c r="AU684" i="2"/>
  <c r="AV683" i="2"/>
  <c r="AU683" i="2"/>
  <c r="AV682" i="2"/>
  <c r="AU682" i="2"/>
  <c r="AV681" i="2"/>
  <c r="AU681" i="2"/>
  <c r="AV680" i="2"/>
  <c r="AU680" i="2"/>
  <c r="AW680" i="2" s="1"/>
  <c r="AV679" i="2"/>
  <c r="AU679" i="2"/>
  <c r="AV678" i="2"/>
  <c r="AU678" i="2"/>
  <c r="AV677" i="2"/>
  <c r="AU677" i="2"/>
  <c r="AV676" i="2"/>
  <c r="AU676" i="2"/>
  <c r="AW676" i="2" s="1"/>
  <c r="AN676" i="2"/>
  <c r="AV691" i="2"/>
  <c r="AU691" i="2"/>
  <c r="AW691" i="2" s="1"/>
  <c r="AV655" i="2"/>
  <c r="AU655" i="2"/>
  <c r="AE141" i="1"/>
  <c r="H691" i="2" s="1"/>
  <c r="AO691" i="2" s="1"/>
  <c r="AP691" i="2" s="1"/>
  <c r="H32" i="1"/>
  <c r="AE140" i="1"/>
  <c r="AE139" i="1"/>
  <c r="AE138" i="1"/>
  <c r="AE137" i="1"/>
  <c r="AE136" i="1"/>
  <c r="AE135" i="1"/>
  <c r="AE134" i="1"/>
  <c r="AE130" i="1"/>
  <c r="AE129" i="1"/>
  <c r="AE128" i="1"/>
  <c r="AE127" i="1"/>
  <c r="AE126" i="1"/>
  <c r="H682" i="2" s="1"/>
  <c r="AS682" i="2" s="1"/>
  <c r="AE125" i="1"/>
  <c r="H681" i="2" s="1"/>
  <c r="AS681" i="2" s="1"/>
  <c r="AE124" i="1"/>
  <c r="AE123" i="1"/>
  <c r="AE122" i="1"/>
  <c r="AE121" i="1"/>
  <c r="AE120" i="1"/>
  <c r="AE119" i="1"/>
  <c r="AE118" i="1"/>
  <c r="AE117" i="1"/>
  <c r="H677" i="2" s="1"/>
  <c r="AS677" i="2" s="1"/>
  <c r="AE116" i="1"/>
  <c r="H676" i="2" s="1"/>
  <c r="AE115" i="1"/>
  <c r="AE114" i="1"/>
  <c r="H655" i="2" s="1"/>
  <c r="H654" i="2"/>
  <c r="AS654" i="2" s="1"/>
  <c r="AV654" i="2"/>
  <c r="AU654" i="2"/>
  <c r="AE113" i="1"/>
  <c r="H653" i="2" s="1"/>
  <c r="AO653" i="2" s="1"/>
  <c r="AP653" i="2" s="1"/>
  <c r="AV653" i="2"/>
  <c r="AU653" i="2"/>
  <c r="H652" i="2"/>
  <c r="AS652" i="2" s="1"/>
  <c r="AE112" i="1"/>
  <c r="AV652" i="2"/>
  <c r="AU652" i="2"/>
  <c r="AE111" i="1"/>
  <c r="AO696" i="2" l="1"/>
  <c r="AP696" i="2" s="1"/>
  <c r="AS694" i="2"/>
  <c r="H689" i="2"/>
  <c r="AS689" i="2" s="1"/>
  <c r="AS695" i="2"/>
  <c r="H686" i="2"/>
  <c r="AS686" i="2" s="1"/>
  <c r="H684" i="2"/>
  <c r="AS684" i="2" s="1"/>
  <c r="AE170" i="1"/>
  <c r="I32" i="1" s="1"/>
  <c r="AW694" i="2"/>
  <c r="H678" i="2"/>
  <c r="AS678" i="2" s="1"/>
  <c r="H680" i="2"/>
  <c r="AS680" i="2" s="1"/>
  <c r="H679" i="2"/>
  <c r="AO679" i="2" s="1"/>
  <c r="AP679" i="2" s="1"/>
  <c r="H683" i="2"/>
  <c r="AO683" i="2" s="1"/>
  <c r="AP683" i="2" s="1"/>
  <c r="AW693" i="2"/>
  <c r="AS693" i="2"/>
  <c r="AO692" i="2"/>
  <c r="AP692" i="2" s="1"/>
  <c r="AO690" i="2"/>
  <c r="AP690" i="2" s="1"/>
  <c r="AO688" i="2"/>
  <c r="AP688" i="2" s="1"/>
  <c r="AO687" i="2"/>
  <c r="AP687" i="2" s="1"/>
  <c r="AW685" i="2"/>
  <c r="AS685" i="2"/>
  <c r="AO676" i="2"/>
  <c r="AP676" i="2" s="1"/>
  <c r="AS676" i="2"/>
  <c r="AO684" i="2"/>
  <c r="AP684" i="2" s="1"/>
  <c r="AW683" i="2"/>
  <c r="AO682" i="2"/>
  <c r="AP682" i="2" s="1"/>
  <c r="AW681" i="2"/>
  <c r="AO681" i="2"/>
  <c r="AP681" i="2" s="1"/>
  <c r="AW677" i="2"/>
  <c r="AW678" i="2"/>
  <c r="AW679" i="2"/>
  <c r="AW684" i="2"/>
  <c r="AW689" i="2"/>
  <c r="AW682" i="2"/>
  <c r="AW687" i="2"/>
  <c r="AW688" i="2"/>
  <c r="AO677" i="2"/>
  <c r="AP677" i="2" s="1"/>
  <c r="AS691" i="2"/>
  <c r="AW655" i="2"/>
  <c r="AO655" i="2"/>
  <c r="AP655" i="2" s="1"/>
  <c r="AS655" i="2"/>
  <c r="AO654" i="2"/>
  <c r="AP654" i="2" s="1"/>
  <c r="AW654" i="2"/>
  <c r="AS653" i="2"/>
  <c r="AW653" i="2"/>
  <c r="AO652" i="2"/>
  <c r="AP652" i="2" s="1"/>
  <c r="AW652" i="2"/>
  <c r="AE110" i="1"/>
  <c r="H651" i="2" s="1"/>
  <c r="AS651" i="2" s="1"/>
  <c r="AV651" i="2"/>
  <c r="AU651" i="2"/>
  <c r="AW651" i="2" s="1"/>
  <c r="AO689" i="2" l="1"/>
  <c r="AP689" i="2" s="1"/>
  <c r="AS683" i="2"/>
  <c r="AO686" i="2"/>
  <c r="AP686" i="2" s="1"/>
  <c r="AO678" i="2"/>
  <c r="AP678" i="2" s="1"/>
  <c r="J32" i="1"/>
  <c r="AS679" i="2"/>
  <c r="AO680" i="2"/>
  <c r="AP680" i="2" s="1"/>
  <c r="AO651" i="2"/>
  <c r="AP651" i="2" s="1"/>
  <c r="H650" i="2"/>
  <c r="AO650" i="2" s="1"/>
  <c r="AP650" i="2" s="1"/>
  <c r="H649" i="2"/>
  <c r="AS649" i="2" s="1"/>
  <c r="AN645" i="2"/>
  <c r="H645" i="2"/>
  <c r="AO645" i="2" s="1"/>
  <c r="AP645" i="2" s="1"/>
  <c r="H644" i="2"/>
  <c r="AO644" i="2" s="1"/>
  <c r="AP644" i="2" s="1"/>
  <c r="H31" i="1"/>
  <c r="AV650" i="2"/>
  <c r="AW650" i="2" s="1"/>
  <c r="AU650" i="2"/>
  <c r="AS650" i="2"/>
  <c r="H640" i="2"/>
  <c r="AO640" i="2" s="1"/>
  <c r="AP640" i="2" s="1"/>
  <c r="AV649" i="2"/>
  <c r="AU649" i="2"/>
  <c r="AV648" i="2"/>
  <c r="AW648" i="2" s="1"/>
  <c r="AU648" i="2"/>
  <c r="AV647" i="2"/>
  <c r="AU647" i="2"/>
  <c r="AW647" i="2" s="1"/>
  <c r="AE109" i="1"/>
  <c r="AE108" i="1"/>
  <c r="AE107" i="1"/>
  <c r="AN637" i="2"/>
  <c r="AU637" i="2" s="1"/>
  <c r="AE106" i="1"/>
  <c r="AE105" i="1"/>
  <c r="AV646" i="2"/>
  <c r="AU646" i="2"/>
  <c r="AV645" i="2"/>
  <c r="AU645" i="2"/>
  <c r="AV644" i="2"/>
  <c r="AU644" i="2"/>
  <c r="AV643" i="2"/>
  <c r="AU643" i="2"/>
  <c r="AV642" i="2"/>
  <c r="AU642" i="2"/>
  <c r="AV641" i="2"/>
  <c r="AU641" i="2"/>
  <c r="AV640" i="2"/>
  <c r="AU640" i="2"/>
  <c r="AV639" i="2"/>
  <c r="AU639" i="2"/>
  <c r="AV638" i="2"/>
  <c r="AU638" i="2"/>
  <c r="AV636" i="2"/>
  <c r="AU636" i="2"/>
  <c r="AV635" i="2"/>
  <c r="AU635" i="2"/>
  <c r="AW635" i="2" s="1"/>
  <c r="AV634" i="2"/>
  <c r="AU634" i="2"/>
  <c r="AV633" i="2"/>
  <c r="AU633" i="2"/>
  <c r="AW633" i="2" s="1"/>
  <c r="AE104" i="1"/>
  <c r="AE103" i="1"/>
  <c r="AE102" i="1"/>
  <c r="AE101" i="1"/>
  <c r="AE100" i="1"/>
  <c r="AE99" i="1"/>
  <c r="H643" i="2" s="1"/>
  <c r="AS643" i="2" s="1"/>
  <c r="AE98" i="1"/>
  <c r="AE97" i="1"/>
  <c r="H642" i="2" s="1"/>
  <c r="AS642" i="2" s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Z183" i="1"/>
  <c r="H636" i="2" s="1"/>
  <c r="AS636" i="2" s="1"/>
  <c r="Z182" i="1"/>
  <c r="H635" i="2" s="1"/>
  <c r="AO635" i="2" s="1"/>
  <c r="AP635" i="2" s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H632" i="2" s="1"/>
  <c r="AS632" i="2" s="1"/>
  <c r="Z157" i="1"/>
  <c r="AV632" i="2"/>
  <c r="AU632" i="2"/>
  <c r="AW632" i="2" s="1"/>
  <c r="H30" i="1"/>
  <c r="H648" i="2" l="1"/>
  <c r="AS648" i="2" s="1"/>
  <c r="H647" i="2"/>
  <c r="AS647" i="2" s="1"/>
  <c r="K32" i="1"/>
  <c r="H639" i="2"/>
  <c r="AS639" i="2" s="1"/>
  <c r="H641" i="2"/>
  <c r="AO641" i="2" s="1"/>
  <c r="AP641" i="2" s="1"/>
  <c r="H633" i="2"/>
  <c r="AS633" i="2" s="1"/>
  <c r="H634" i="2"/>
  <c r="AS634" i="2" s="1"/>
  <c r="H637" i="2"/>
  <c r="AS637" i="2" s="1"/>
  <c r="H638" i="2"/>
  <c r="AS638" i="2" s="1"/>
  <c r="H646" i="2"/>
  <c r="AO646" i="2" s="1"/>
  <c r="AP646" i="2" s="1"/>
  <c r="AE131" i="1"/>
  <c r="I31" i="1" s="1"/>
  <c r="J31" i="1" s="1"/>
  <c r="K31" i="1" s="1"/>
  <c r="AO649" i="2"/>
  <c r="AP649" i="2" s="1"/>
  <c r="AO647" i="2"/>
  <c r="AP647" i="2" s="1"/>
  <c r="AW645" i="2"/>
  <c r="AS645" i="2"/>
  <c r="AW644" i="2"/>
  <c r="AS644" i="2"/>
  <c r="AS635" i="2"/>
  <c r="AO643" i="2"/>
  <c r="AP643" i="2" s="1"/>
  <c r="AO642" i="2"/>
  <c r="AP642" i="2" s="1"/>
  <c r="AS640" i="2"/>
  <c r="AW639" i="2"/>
  <c r="AW649" i="2"/>
  <c r="AW638" i="2"/>
  <c r="AO636" i="2"/>
  <c r="AP636" i="2" s="1"/>
  <c r="AV637" i="2"/>
  <c r="AW637" i="2"/>
  <c r="AW646" i="2"/>
  <c r="AW640" i="2"/>
  <c r="AW641" i="2"/>
  <c r="AW642" i="2"/>
  <c r="AW643" i="2"/>
  <c r="AW636" i="2"/>
  <c r="AW634" i="2"/>
  <c r="AO632" i="2"/>
  <c r="AP632" i="2" s="1"/>
  <c r="AV629" i="2"/>
  <c r="AU629" i="2"/>
  <c r="AW629" i="2" s="1"/>
  <c r="AV628" i="2"/>
  <c r="AU628" i="2"/>
  <c r="AW628" i="2" s="1"/>
  <c r="AV626" i="2"/>
  <c r="AU626" i="2"/>
  <c r="AW626" i="2" s="1"/>
  <c r="AN626" i="2"/>
  <c r="H624" i="2"/>
  <c r="H623" i="2"/>
  <c r="H622" i="2"/>
  <c r="H621" i="2"/>
  <c r="AO634" i="2" l="1"/>
  <c r="AP634" i="2" s="1"/>
  <c r="AO648" i="2"/>
  <c r="AP648" i="2" s="1"/>
  <c r="AO633" i="2"/>
  <c r="AP633" i="2" s="1"/>
  <c r="AS646" i="2"/>
  <c r="AO637" i="2"/>
  <c r="AP637" i="2" s="1"/>
  <c r="AO639" i="2"/>
  <c r="AP639" i="2" s="1"/>
  <c r="AO638" i="2"/>
  <c r="AP638" i="2" s="1"/>
  <c r="AS641" i="2"/>
  <c r="Z156" i="1"/>
  <c r="H629" i="2" s="1"/>
  <c r="AS629" i="2" s="1"/>
  <c r="Z155" i="1"/>
  <c r="Z151" i="1"/>
  <c r="Z150" i="1"/>
  <c r="Z149" i="1"/>
  <c r="Z148" i="1"/>
  <c r="Z147" i="1"/>
  <c r="Z146" i="1"/>
  <c r="Z145" i="1"/>
  <c r="Z144" i="1"/>
  <c r="Z143" i="1"/>
  <c r="Z142" i="1"/>
  <c r="AV625" i="2"/>
  <c r="AU625" i="2"/>
  <c r="Z141" i="1"/>
  <c r="Z140" i="1"/>
  <c r="Z139" i="1"/>
  <c r="Z138" i="1"/>
  <c r="Z137" i="1"/>
  <c r="Z136" i="1"/>
  <c r="AV619" i="2"/>
  <c r="AU619" i="2"/>
  <c r="AW619" i="2" s="1"/>
  <c r="Z135" i="1"/>
  <c r="AA618" i="2"/>
  <c r="AB618" i="2"/>
  <c r="Z134" i="1"/>
  <c r="H618" i="2" s="1"/>
  <c r="AS618" i="2" s="1"/>
  <c r="AU618" i="2"/>
  <c r="Z133" i="1"/>
  <c r="H617" i="2" s="1"/>
  <c r="AS617" i="2" s="1"/>
  <c r="AV617" i="2"/>
  <c r="AU617" i="2"/>
  <c r="H29" i="1"/>
  <c r="H616" i="2"/>
  <c r="H626" i="2" l="1"/>
  <c r="AS626" i="2" s="1"/>
  <c r="H619" i="2"/>
  <c r="AS619" i="2" s="1"/>
  <c r="AO629" i="2"/>
  <c r="AP629" i="2" s="1"/>
  <c r="Z184" i="1"/>
  <c r="I30" i="1" s="1"/>
  <c r="J30" i="1" s="1"/>
  <c r="K30" i="1" s="1"/>
  <c r="H628" i="2"/>
  <c r="H625" i="2"/>
  <c r="AW625" i="2"/>
  <c r="AV618" i="2"/>
  <c r="AW618" i="2" s="1"/>
  <c r="AO618" i="2"/>
  <c r="AP618" i="2" s="1"/>
  <c r="AO617" i="2"/>
  <c r="AP617" i="2" s="1"/>
  <c r="AW617" i="2"/>
  <c r="AV616" i="2"/>
  <c r="AU616" i="2"/>
  <c r="AW616" i="2" s="1"/>
  <c r="AS616" i="2"/>
  <c r="AO616" i="2"/>
  <c r="AP616" i="2" s="1"/>
  <c r="AO626" i="2" l="1"/>
  <c r="AP626" i="2" s="1"/>
  <c r="AO619" i="2"/>
  <c r="AP619" i="2" s="1"/>
  <c r="AS628" i="2"/>
  <c r="AO628" i="2"/>
  <c r="AP628" i="2" s="1"/>
  <c r="AO625" i="2"/>
  <c r="AP625" i="2" s="1"/>
  <c r="AS625" i="2"/>
  <c r="AV615" i="2"/>
  <c r="AU615" i="2"/>
  <c r="AW615" i="2" s="1"/>
  <c r="AV614" i="2"/>
  <c r="AU614" i="2"/>
  <c r="AW614" i="2" s="1"/>
  <c r="Z132" i="1"/>
  <c r="H615" i="2" s="1"/>
  <c r="AO615" i="2" s="1"/>
  <c r="AP615" i="2" s="1"/>
  <c r="Z131" i="1"/>
  <c r="Z130" i="1"/>
  <c r="H614" i="2" s="1"/>
  <c r="AO614" i="2" s="1"/>
  <c r="AP614" i="2" s="1"/>
  <c r="AS614" i="2" l="1"/>
  <c r="AS615" i="2"/>
  <c r="Z129" i="1"/>
  <c r="Z128" i="1"/>
  <c r="H613" i="2" s="1"/>
  <c r="AS613" i="2" s="1"/>
  <c r="H610" i="2"/>
  <c r="AS610" i="2" s="1"/>
  <c r="Z127" i="1"/>
  <c r="H612" i="2" s="1"/>
  <c r="AO612" i="2" s="1"/>
  <c r="AP612" i="2" s="1"/>
  <c r="AV613" i="2"/>
  <c r="AW613" i="2" s="1"/>
  <c r="AU613" i="2"/>
  <c r="H604" i="2"/>
  <c r="AS604" i="2" s="1"/>
  <c r="H603" i="2"/>
  <c r="AS603" i="2" s="1"/>
  <c r="H602" i="2"/>
  <c r="AS602" i="2" s="1"/>
  <c r="H601" i="2"/>
  <c r="AS601" i="2" s="1"/>
  <c r="H596" i="2"/>
  <c r="AV612" i="2"/>
  <c r="AU612" i="2"/>
  <c r="AV611" i="2"/>
  <c r="AU611" i="2"/>
  <c r="AV610" i="2"/>
  <c r="AW610" i="2" s="1"/>
  <c r="AU610" i="2"/>
  <c r="AV609" i="2"/>
  <c r="AU609" i="2"/>
  <c r="AV608" i="2"/>
  <c r="AU608" i="2"/>
  <c r="AV607" i="2"/>
  <c r="AU607" i="2"/>
  <c r="AV606" i="2"/>
  <c r="AW606" i="2" s="1"/>
  <c r="AU606" i="2"/>
  <c r="AV605" i="2"/>
  <c r="AU605" i="2"/>
  <c r="AV604" i="2"/>
  <c r="AU604" i="2"/>
  <c r="AV603" i="2"/>
  <c r="AU603" i="2"/>
  <c r="AV602" i="2"/>
  <c r="AW602" i="2" s="1"/>
  <c r="AU602" i="2"/>
  <c r="AV601" i="2"/>
  <c r="AU601" i="2"/>
  <c r="AV600" i="2"/>
  <c r="AU600" i="2"/>
  <c r="AV599" i="2"/>
  <c r="AU599" i="2"/>
  <c r="AV598" i="2"/>
  <c r="AU598" i="2"/>
  <c r="AV597" i="2"/>
  <c r="AU597" i="2"/>
  <c r="AV596" i="2"/>
  <c r="AU596" i="2"/>
  <c r="AS596" i="2"/>
  <c r="AO596" i="2"/>
  <c r="AP596" i="2" s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H605" i="2" s="1"/>
  <c r="AS605" i="2" s="1"/>
  <c r="Z113" i="1"/>
  <c r="Z109" i="1"/>
  <c r="Z108" i="1"/>
  <c r="Z107" i="1"/>
  <c r="H600" i="2" s="1"/>
  <c r="Z106" i="1"/>
  <c r="Z105" i="1"/>
  <c r="H599" i="2" s="1"/>
  <c r="AO599" i="2" s="1"/>
  <c r="AP599" i="2" s="1"/>
  <c r="H611" i="2" l="1"/>
  <c r="AS611" i="2" s="1"/>
  <c r="H608" i="2"/>
  <c r="AS608" i="2" s="1"/>
  <c r="Z152" i="1"/>
  <c r="H606" i="2"/>
  <c r="AS606" i="2" s="1"/>
  <c r="H607" i="2"/>
  <c r="AO607" i="2" s="1"/>
  <c r="AP607" i="2" s="1"/>
  <c r="H609" i="2"/>
  <c r="AS609" i="2" s="1"/>
  <c r="AO600" i="2"/>
  <c r="AP600" i="2" s="1"/>
  <c r="AS600" i="2"/>
  <c r="AO613" i="2"/>
  <c r="AP613" i="2" s="1"/>
  <c r="AS612" i="2"/>
  <c r="AW611" i="2"/>
  <c r="AO610" i="2"/>
  <c r="AP610" i="2" s="1"/>
  <c r="AW609" i="2"/>
  <c r="AW608" i="2"/>
  <c r="AW607" i="2"/>
  <c r="I29" i="1"/>
  <c r="J29" i="1" s="1"/>
  <c r="K29" i="1" s="1"/>
  <c r="AW605" i="2"/>
  <c r="AO605" i="2"/>
  <c r="AP605" i="2" s="1"/>
  <c r="AW604" i="2"/>
  <c r="AO604" i="2"/>
  <c r="AP604" i="2" s="1"/>
  <c r="AW603" i="2"/>
  <c r="AO603" i="2"/>
  <c r="AP603" i="2" s="1"/>
  <c r="AO602" i="2"/>
  <c r="AP602" i="2" s="1"/>
  <c r="AW601" i="2"/>
  <c r="AO601" i="2"/>
  <c r="AP601" i="2" s="1"/>
  <c r="AW600" i="2"/>
  <c r="AW599" i="2"/>
  <c r="AS599" i="2"/>
  <c r="AW598" i="2"/>
  <c r="AW597" i="2"/>
  <c r="AW596" i="2"/>
  <c r="AW612" i="2"/>
  <c r="Z104" i="1"/>
  <c r="Z103" i="1"/>
  <c r="Z102" i="1"/>
  <c r="Z101" i="1"/>
  <c r="Z100" i="1"/>
  <c r="Z99" i="1"/>
  <c r="H597" i="2" s="1"/>
  <c r="AS597" i="2" s="1"/>
  <c r="Z98" i="1"/>
  <c r="Z97" i="1"/>
  <c r="AV595" i="2"/>
  <c r="AU595" i="2"/>
  <c r="AW595" i="2" s="1"/>
  <c r="AS595" i="2"/>
  <c r="H595" i="2"/>
  <c r="AO595" i="2" s="1"/>
  <c r="AP595" i="2" s="1"/>
  <c r="H594" i="2"/>
  <c r="AS594" i="2" s="1"/>
  <c r="AV594" i="2"/>
  <c r="AU594" i="2"/>
  <c r="AW594" i="2" s="1"/>
  <c r="Z96" i="1"/>
  <c r="H593" i="2" s="1"/>
  <c r="AS593" i="2" s="1"/>
  <c r="AV593" i="2"/>
  <c r="AU593" i="2"/>
  <c r="AB532" i="2"/>
  <c r="AA397" i="2"/>
  <c r="AB397" i="2"/>
  <c r="AB160" i="2"/>
  <c r="AB155" i="2"/>
  <c r="AA155" i="2"/>
  <c r="AW593" i="2"/>
  <c r="AV592" i="2"/>
  <c r="AU592" i="2"/>
  <c r="AW592" i="2" s="1"/>
  <c r="AV591" i="2"/>
  <c r="AU591" i="2"/>
  <c r="AW591" i="2" s="1"/>
  <c r="AW590" i="2"/>
  <c r="AV590" i="2"/>
  <c r="AU590" i="2"/>
  <c r="AV589" i="2"/>
  <c r="AW589" i="2" s="1"/>
  <c r="AU589" i="2"/>
  <c r="AV588" i="2"/>
  <c r="AU588" i="2"/>
  <c r="AW588" i="2" s="1"/>
  <c r="AV587" i="2"/>
  <c r="AU587" i="2"/>
  <c r="AW587" i="2" s="1"/>
  <c r="AW586" i="2"/>
  <c r="AV586" i="2"/>
  <c r="AU586" i="2"/>
  <c r="AV585" i="2"/>
  <c r="AW585" i="2" s="1"/>
  <c r="AU585" i="2"/>
  <c r="AV584" i="2"/>
  <c r="AU584" i="2"/>
  <c r="AW584" i="2" s="1"/>
  <c r="AV583" i="2"/>
  <c r="AU583" i="2"/>
  <c r="AW583" i="2" s="1"/>
  <c r="AW582" i="2"/>
  <c r="AV582" i="2"/>
  <c r="AU582" i="2"/>
  <c r="AV581" i="2"/>
  <c r="AW581" i="2" s="1"/>
  <c r="AU581" i="2"/>
  <c r="AV580" i="2"/>
  <c r="AU580" i="2"/>
  <c r="AW580" i="2" s="1"/>
  <c r="AV562" i="2"/>
  <c r="AU562" i="2"/>
  <c r="AW562" i="2" s="1"/>
  <c r="AV561" i="2"/>
  <c r="AU561" i="2"/>
  <c r="AW561" i="2" s="1"/>
  <c r="AV560" i="2"/>
  <c r="AU560" i="2"/>
  <c r="AW560" i="2" s="1"/>
  <c r="AV559" i="2"/>
  <c r="AU559" i="2"/>
  <c r="AW559" i="2" s="1"/>
  <c r="AV558" i="2"/>
  <c r="AU558" i="2"/>
  <c r="AW558" i="2" s="1"/>
  <c r="AV557" i="2"/>
  <c r="AU557" i="2"/>
  <c r="AW557" i="2" s="1"/>
  <c r="AV556" i="2"/>
  <c r="AW556" i="2" s="1"/>
  <c r="AU556" i="2"/>
  <c r="AV555" i="2"/>
  <c r="AU555" i="2"/>
  <c r="AW555" i="2" s="1"/>
  <c r="AV554" i="2"/>
  <c r="AU554" i="2"/>
  <c r="AW554" i="2" s="1"/>
  <c r="AV553" i="2"/>
  <c r="AU553" i="2"/>
  <c r="AW553" i="2" s="1"/>
  <c r="AV552" i="2"/>
  <c r="AW552" i="2" s="1"/>
  <c r="AU552" i="2"/>
  <c r="AV551" i="2"/>
  <c r="AU551" i="2"/>
  <c r="AW551" i="2" s="1"/>
  <c r="AV550" i="2"/>
  <c r="AU550" i="2"/>
  <c r="AW550" i="2" s="1"/>
  <c r="AV549" i="2"/>
  <c r="AU549" i="2"/>
  <c r="AW549" i="2" s="1"/>
  <c r="AW548" i="2"/>
  <c r="AV548" i="2"/>
  <c r="AU548" i="2"/>
  <c r="AV547" i="2"/>
  <c r="AU547" i="2"/>
  <c r="AW547" i="2" s="1"/>
  <c r="AV546" i="2"/>
  <c r="AU546" i="2"/>
  <c r="AW546" i="2" s="1"/>
  <c r="AV545" i="2"/>
  <c r="AU545" i="2"/>
  <c r="AW545" i="2" s="1"/>
  <c r="AW544" i="2"/>
  <c r="AV544" i="2"/>
  <c r="AU544" i="2"/>
  <c r="AV543" i="2"/>
  <c r="AU543" i="2"/>
  <c r="AW543" i="2" s="1"/>
  <c r="AV542" i="2"/>
  <c r="AU542" i="2"/>
  <c r="AW542" i="2" s="1"/>
  <c r="AV541" i="2"/>
  <c r="AU541" i="2"/>
  <c r="AW541" i="2" s="1"/>
  <c r="AW540" i="2"/>
  <c r="AV540" i="2"/>
  <c r="AU540" i="2"/>
  <c r="AV539" i="2"/>
  <c r="AU539" i="2"/>
  <c r="AW539" i="2" s="1"/>
  <c r="AV538" i="2"/>
  <c r="AU538" i="2"/>
  <c r="AW538" i="2" s="1"/>
  <c r="AV537" i="2"/>
  <c r="AU537" i="2"/>
  <c r="AW537" i="2" s="1"/>
  <c r="AW536" i="2"/>
  <c r="AV536" i="2"/>
  <c r="AU536" i="2"/>
  <c r="AV535" i="2"/>
  <c r="AU535" i="2"/>
  <c r="AW535" i="2" s="1"/>
  <c r="AV534" i="2"/>
  <c r="AU534" i="2"/>
  <c r="AW534" i="2" s="1"/>
  <c r="AV533" i="2"/>
  <c r="AU533" i="2"/>
  <c r="AW533" i="2" s="1"/>
  <c r="AV532" i="2"/>
  <c r="AU532" i="2"/>
  <c r="AV531" i="2"/>
  <c r="AU531" i="2"/>
  <c r="AW531" i="2" s="1"/>
  <c r="AV530" i="2"/>
  <c r="AU530" i="2"/>
  <c r="AW530" i="2" s="1"/>
  <c r="AW529" i="2"/>
  <c r="AV529" i="2"/>
  <c r="AU529" i="2"/>
  <c r="AV528" i="2"/>
  <c r="AU528" i="2"/>
  <c r="AW528" i="2" s="1"/>
  <c r="AV527" i="2"/>
  <c r="AU527" i="2"/>
  <c r="AW527" i="2" s="1"/>
  <c r="AV526" i="2"/>
  <c r="AU526" i="2"/>
  <c r="AW526" i="2" s="1"/>
  <c r="AV525" i="2"/>
  <c r="AU525" i="2"/>
  <c r="AW525" i="2" s="1"/>
  <c r="AV524" i="2"/>
  <c r="AU524" i="2"/>
  <c r="AW524" i="2" s="1"/>
  <c r="AV523" i="2"/>
  <c r="AU523" i="2"/>
  <c r="AW523" i="2" s="1"/>
  <c r="AV522" i="2"/>
  <c r="AU522" i="2"/>
  <c r="AW522" i="2" s="1"/>
  <c r="AV521" i="2"/>
  <c r="AU521" i="2"/>
  <c r="AW521" i="2" s="1"/>
  <c r="AV520" i="2"/>
  <c r="AU520" i="2"/>
  <c r="AW520" i="2" s="1"/>
  <c r="AV519" i="2"/>
  <c r="AU519" i="2"/>
  <c r="AW519" i="2" s="1"/>
  <c r="AV518" i="2"/>
  <c r="AU518" i="2"/>
  <c r="AW518" i="2" s="1"/>
  <c r="AV517" i="2"/>
  <c r="AU517" i="2"/>
  <c r="AW517" i="2" s="1"/>
  <c r="AV490" i="2"/>
  <c r="AU490" i="2"/>
  <c r="AW490" i="2" s="1"/>
  <c r="AV489" i="2"/>
  <c r="AU489" i="2"/>
  <c r="AW489" i="2" s="1"/>
  <c r="AV488" i="2"/>
  <c r="AU488" i="2"/>
  <c r="AW488" i="2" s="1"/>
  <c r="AV487" i="2"/>
  <c r="AW487" i="2" s="1"/>
  <c r="AU487" i="2"/>
  <c r="AV486" i="2"/>
  <c r="AU486" i="2"/>
  <c r="AW486" i="2" s="1"/>
  <c r="AV485" i="2"/>
  <c r="AU485" i="2"/>
  <c r="AW485" i="2" s="1"/>
  <c r="AV484" i="2"/>
  <c r="AU484" i="2"/>
  <c r="AW484" i="2" s="1"/>
  <c r="AV483" i="2"/>
  <c r="AW483" i="2" s="1"/>
  <c r="AU483" i="2"/>
  <c r="AV482" i="2"/>
  <c r="AU482" i="2"/>
  <c r="AW482" i="2" s="1"/>
  <c r="AV481" i="2"/>
  <c r="AU481" i="2"/>
  <c r="AW481" i="2" s="1"/>
  <c r="AV480" i="2"/>
  <c r="AU480" i="2"/>
  <c r="AW480" i="2" s="1"/>
  <c r="AV479" i="2"/>
  <c r="AW479" i="2" s="1"/>
  <c r="AU479" i="2"/>
  <c r="AV478" i="2"/>
  <c r="AU478" i="2"/>
  <c r="AW478" i="2" s="1"/>
  <c r="AV477" i="2"/>
  <c r="AU477" i="2"/>
  <c r="AW477" i="2" s="1"/>
  <c r="AV476" i="2"/>
  <c r="AU476" i="2"/>
  <c r="AW476" i="2" s="1"/>
  <c r="AV475" i="2"/>
  <c r="AW475" i="2" s="1"/>
  <c r="AU475" i="2"/>
  <c r="AV474" i="2"/>
  <c r="AU474" i="2"/>
  <c r="AW474" i="2" s="1"/>
  <c r="AV473" i="2"/>
  <c r="AU473" i="2"/>
  <c r="AW473" i="2" s="1"/>
  <c r="AV472" i="2"/>
  <c r="AU472" i="2"/>
  <c r="AW472" i="2" s="1"/>
  <c r="AV471" i="2"/>
  <c r="AU471" i="2"/>
  <c r="AW471" i="2" s="1"/>
  <c r="AV470" i="2"/>
  <c r="AU470" i="2"/>
  <c r="AW470" i="2" s="1"/>
  <c r="AV469" i="2"/>
  <c r="AU469" i="2"/>
  <c r="AW469" i="2" s="1"/>
  <c r="AV468" i="2"/>
  <c r="AU468" i="2"/>
  <c r="AW468" i="2" s="1"/>
  <c r="AV467" i="2"/>
  <c r="AU467" i="2"/>
  <c r="AW467" i="2" s="1"/>
  <c r="AW466" i="2"/>
  <c r="AV466" i="2"/>
  <c r="AU466" i="2"/>
  <c r="AV465" i="2"/>
  <c r="AU465" i="2"/>
  <c r="AW465" i="2" s="1"/>
  <c r="AV464" i="2"/>
  <c r="AU464" i="2"/>
  <c r="AW464" i="2" s="1"/>
  <c r="AV463" i="2"/>
  <c r="AU463" i="2"/>
  <c r="AW463" i="2" s="1"/>
  <c r="AV462" i="2"/>
  <c r="AU462" i="2"/>
  <c r="AW462" i="2" s="1"/>
  <c r="AV461" i="2"/>
  <c r="AU461" i="2"/>
  <c r="AW461" i="2" s="1"/>
  <c r="AV460" i="2"/>
  <c r="AU460" i="2"/>
  <c r="AW460" i="2" s="1"/>
  <c r="AV459" i="2"/>
  <c r="AU459" i="2"/>
  <c r="AW459" i="2" s="1"/>
  <c r="AV458" i="2"/>
  <c r="AU458" i="2"/>
  <c r="AW458" i="2" s="1"/>
  <c r="AV457" i="2"/>
  <c r="AU457" i="2"/>
  <c r="AW457" i="2" s="1"/>
  <c r="AV456" i="2"/>
  <c r="AU456" i="2"/>
  <c r="AW456" i="2" s="1"/>
  <c r="AV435" i="2"/>
  <c r="AU435" i="2"/>
  <c r="AW435" i="2" s="1"/>
  <c r="AV434" i="2"/>
  <c r="AU434" i="2"/>
  <c r="AW434" i="2" s="1"/>
  <c r="AV433" i="2"/>
  <c r="AU433" i="2"/>
  <c r="AW433" i="2" s="1"/>
  <c r="AV432" i="2"/>
  <c r="AU432" i="2"/>
  <c r="AW432" i="2" s="1"/>
  <c r="AV431" i="2"/>
  <c r="AU431" i="2"/>
  <c r="AW431" i="2" s="1"/>
  <c r="AV430" i="2"/>
  <c r="AU430" i="2"/>
  <c r="AW430" i="2" s="1"/>
  <c r="AV429" i="2"/>
  <c r="AU429" i="2"/>
  <c r="AW429" i="2" s="1"/>
  <c r="AV428" i="2"/>
  <c r="AU428" i="2"/>
  <c r="AW428" i="2" s="1"/>
  <c r="AV427" i="2"/>
  <c r="AU427" i="2"/>
  <c r="AW427" i="2" s="1"/>
  <c r="AV426" i="2"/>
  <c r="AU426" i="2"/>
  <c r="AW426" i="2" s="1"/>
  <c r="AV425" i="2"/>
  <c r="AU425" i="2"/>
  <c r="AW425" i="2" s="1"/>
  <c r="AV424" i="2"/>
  <c r="AU424" i="2"/>
  <c r="AW424" i="2" s="1"/>
  <c r="AV423" i="2"/>
  <c r="AU423" i="2"/>
  <c r="AW423" i="2" s="1"/>
  <c r="AV422" i="2"/>
  <c r="AU422" i="2"/>
  <c r="AW422" i="2" s="1"/>
  <c r="AV421" i="2"/>
  <c r="AU421" i="2"/>
  <c r="AW421" i="2" s="1"/>
  <c r="AV420" i="2"/>
  <c r="AU420" i="2"/>
  <c r="AW420" i="2" s="1"/>
  <c r="AV419" i="2"/>
  <c r="AU419" i="2"/>
  <c r="AW419" i="2" s="1"/>
  <c r="AV418" i="2"/>
  <c r="AU418" i="2"/>
  <c r="AW418" i="2" s="1"/>
  <c r="AV417" i="2"/>
  <c r="AU417" i="2"/>
  <c r="AW417" i="2" s="1"/>
  <c r="AV416" i="2"/>
  <c r="AU416" i="2"/>
  <c r="AW416" i="2" s="1"/>
  <c r="AV415" i="2"/>
  <c r="AU415" i="2"/>
  <c r="AW415" i="2" s="1"/>
  <c r="AV414" i="2"/>
  <c r="AU414" i="2"/>
  <c r="AW414" i="2" s="1"/>
  <c r="AV413" i="2"/>
  <c r="AU413" i="2"/>
  <c r="AW413" i="2" s="1"/>
  <c r="AV412" i="2"/>
  <c r="AU412" i="2"/>
  <c r="AW412" i="2" s="1"/>
  <c r="AV411" i="2"/>
  <c r="AU411" i="2"/>
  <c r="AW411" i="2" s="1"/>
  <c r="AV410" i="2"/>
  <c r="AU410" i="2"/>
  <c r="AW410" i="2" s="1"/>
  <c r="AV409" i="2"/>
  <c r="AU409" i="2"/>
  <c r="AW409" i="2" s="1"/>
  <c r="AV408" i="2"/>
  <c r="AU408" i="2"/>
  <c r="AW408" i="2" s="1"/>
  <c r="AV406" i="2"/>
  <c r="AW406" i="2" s="1"/>
  <c r="AU406" i="2"/>
  <c r="AV405" i="2"/>
  <c r="AU405" i="2"/>
  <c r="AW405" i="2" s="1"/>
  <c r="AV404" i="2"/>
  <c r="AU404" i="2"/>
  <c r="AW404" i="2" s="1"/>
  <c r="AW403" i="2"/>
  <c r="AV403" i="2"/>
  <c r="AU403" i="2"/>
  <c r="AV402" i="2"/>
  <c r="AW402" i="2" s="1"/>
  <c r="AU402" i="2"/>
  <c r="AV401" i="2"/>
  <c r="AU401" i="2"/>
  <c r="AW401" i="2" s="1"/>
  <c r="AV400" i="2"/>
  <c r="AU400" i="2"/>
  <c r="AW400" i="2" s="1"/>
  <c r="AW399" i="2"/>
  <c r="AV399" i="2"/>
  <c r="AU399" i="2"/>
  <c r="AV398" i="2"/>
  <c r="AW398" i="2" s="1"/>
  <c r="AU398" i="2"/>
  <c r="AV397" i="2"/>
  <c r="AU397" i="2"/>
  <c r="AV396" i="2"/>
  <c r="AU396" i="2"/>
  <c r="AW396" i="2" s="1"/>
  <c r="AW395" i="2"/>
  <c r="AV395" i="2"/>
  <c r="AU395" i="2"/>
  <c r="AV394" i="2"/>
  <c r="AW394" i="2" s="1"/>
  <c r="AU394" i="2"/>
  <c r="AV393" i="2"/>
  <c r="AU393" i="2"/>
  <c r="AW393" i="2" s="1"/>
  <c r="AV392" i="2"/>
  <c r="AU392" i="2"/>
  <c r="AW392" i="2" s="1"/>
  <c r="AW391" i="2"/>
  <c r="AV391" i="2"/>
  <c r="AU391" i="2"/>
  <c r="AV390" i="2"/>
  <c r="AW390" i="2" s="1"/>
  <c r="AU390" i="2"/>
  <c r="AV389" i="2"/>
  <c r="AU389" i="2"/>
  <c r="AW389" i="2" s="1"/>
  <c r="AV388" i="2"/>
  <c r="AU388" i="2"/>
  <c r="AW388" i="2" s="1"/>
  <c r="AW387" i="2"/>
  <c r="AV387" i="2"/>
  <c r="AU387" i="2"/>
  <c r="AV386" i="2"/>
  <c r="AW386" i="2" s="1"/>
  <c r="AU386" i="2"/>
  <c r="AV385" i="2"/>
  <c r="AU385" i="2"/>
  <c r="AW385" i="2" s="1"/>
  <c r="AW382" i="2"/>
  <c r="AV382" i="2"/>
  <c r="AU382" i="2"/>
  <c r="AV381" i="2"/>
  <c r="AW381" i="2" s="1"/>
  <c r="AU381" i="2"/>
  <c r="AV380" i="2"/>
  <c r="AU380" i="2"/>
  <c r="AW380" i="2" s="1"/>
  <c r="AV379" i="2"/>
  <c r="AU379" i="2"/>
  <c r="AW379" i="2" s="1"/>
  <c r="AW378" i="2"/>
  <c r="AV378" i="2"/>
  <c r="AU378" i="2"/>
  <c r="AV377" i="2"/>
  <c r="AW377" i="2" s="1"/>
  <c r="AU377" i="2"/>
  <c r="AV376" i="2"/>
  <c r="AU376" i="2"/>
  <c r="AW376" i="2" s="1"/>
  <c r="AV375" i="2"/>
  <c r="AU375" i="2"/>
  <c r="AW375" i="2" s="1"/>
  <c r="AW374" i="2"/>
  <c r="AV374" i="2"/>
  <c r="AU374" i="2"/>
  <c r="AV373" i="2"/>
  <c r="AW373" i="2" s="1"/>
  <c r="AU373" i="2"/>
  <c r="AV372" i="2"/>
  <c r="AU372" i="2"/>
  <c r="AW372" i="2" s="1"/>
  <c r="AV371" i="2"/>
  <c r="AU371" i="2"/>
  <c r="AW371" i="2" s="1"/>
  <c r="AW370" i="2"/>
  <c r="AV370" i="2"/>
  <c r="AU370" i="2"/>
  <c r="AV369" i="2"/>
  <c r="AW369" i="2" s="1"/>
  <c r="AU369" i="2"/>
  <c r="AV368" i="2"/>
  <c r="AU368" i="2"/>
  <c r="AW368" i="2" s="1"/>
  <c r="AV367" i="2"/>
  <c r="AU367" i="2"/>
  <c r="AW367" i="2" s="1"/>
  <c r="AW366" i="2"/>
  <c r="AV366" i="2"/>
  <c r="AU366" i="2"/>
  <c r="AV365" i="2"/>
  <c r="AW365" i="2" s="1"/>
  <c r="AU365" i="2"/>
  <c r="AV364" i="2"/>
  <c r="AU364" i="2"/>
  <c r="AW364" i="2" s="1"/>
  <c r="AV362" i="2"/>
  <c r="AU362" i="2"/>
  <c r="AW362" i="2" s="1"/>
  <c r="AV361" i="2"/>
  <c r="AU361" i="2"/>
  <c r="AW361" i="2" s="1"/>
  <c r="AV360" i="2"/>
  <c r="AU360" i="2"/>
  <c r="AW360" i="2" s="1"/>
  <c r="AV359" i="2"/>
  <c r="AW359" i="2" s="1"/>
  <c r="AU359" i="2"/>
  <c r="AV358" i="2"/>
  <c r="AU358" i="2"/>
  <c r="AW358" i="2" s="1"/>
  <c r="AV357" i="2"/>
  <c r="AU357" i="2"/>
  <c r="AW357" i="2" s="1"/>
  <c r="AV356" i="2"/>
  <c r="AU356" i="2"/>
  <c r="AW356" i="2" s="1"/>
  <c r="AV355" i="2"/>
  <c r="AW355" i="2" s="1"/>
  <c r="AU355" i="2"/>
  <c r="AV354" i="2"/>
  <c r="AU354" i="2"/>
  <c r="AW354" i="2" s="1"/>
  <c r="AV353" i="2"/>
  <c r="AU353" i="2"/>
  <c r="AW353" i="2" s="1"/>
  <c r="AV352" i="2"/>
  <c r="AU352" i="2"/>
  <c r="AW352" i="2" s="1"/>
  <c r="AV351" i="2"/>
  <c r="AU351" i="2"/>
  <c r="AW351" i="2" s="1"/>
  <c r="AV350" i="2"/>
  <c r="AU350" i="2"/>
  <c r="AW350" i="2" s="1"/>
  <c r="AV349" i="2"/>
  <c r="AU349" i="2"/>
  <c r="AW349" i="2" s="1"/>
  <c r="AV348" i="2"/>
  <c r="AU348" i="2"/>
  <c r="AW348" i="2" s="1"/>
  <c r="AV347" i="2"/>
  <c r="AU347" i="2"/>
  <c r="AW347" i="2" s="1"/>
  <c r="AV346" i="2"/>
  <c r="AU346" i="2"/>
  <c r="AW346" i="2" s="1"/>
  <c r="AV345" i="2"/>
  <c r="AU345" i="2"/>
  <c r="AW345" i="2" s="1"/>
  <c r="AV344" i="2"/>
  <c r="AU344" i="2"/>
  <c r="AW344" i="2" s="1"/>
  <c r="AV343" i="2"/>
  <c r="AU343" i="2"/>
  <c r="AW343" i="2" s="1"/>
  <c r="AV342" i="2"/>
  <c r="AU342" i="2"/>
  <c r="AW342" i="2" s="1"/>
  <c r="AV341" i="2"/>
  <c r="AU341" i="2"/>
  <c r="AW341" i="2" s="1"/>
  <c r="AV340" i="2"/>
  <c r="AU340" i="2"/>
  <c r="AW340" i="2" s="1"/>
  <c r="AV339" i="2"/>
  <c r="AU339" i="2"/>
  <c r="AW339" i="2" s="1"/>
  <c r="AV338" i="2"/>
  <c r="AU338" i="2"/>
  <c r="AW338" i="2" s="1"/>
  <c r="AV337" i="2"/>
  <c r="AU337" i="2"/>
  <c r="AW337" i="2" s="1"/>
  <c r="AV336" i="2"/>
  <c r="AU336" i="2"/>
  <c r="AW336" i="2" s="1"/>
  <c r="AV319" i="2"/>
  <c r="AU319" i="2"/>
  <c r="AW319" i="2" s="1"/>
  <c r="AV318" i="2"/>
  <c r="AU318" i="2"/>
  <c r="AW318" i="2" s="1"/>
  <c r="AV317" i="2"/>
  <c r="AU317" i="2"/>
  <c r="AW317" i="2" s="1"/>
  <c r="AV316" i="2"/>
  <c r="AU316" i="2"/>
  <c r="AW316" i="2" s="1"/>
  <c r="AV315" i="2"/>
  <c r="AU315" i="2"/>
  <c r="AW315" i="2" s="1"/>
  <c r="AV314" i="2"/>
  <c r="AU314" i="2"/>
  <c r="AW314" i="2" s="1"/>
  <c r="AV313" i="2"/>
  <c r="AU313" i="2"/>
  <c r="AW313" i="2" s="1"/>
  <c r="AV312" i="2"/>
  <c r="AW312" i="2" s="1"/>
  <c r="AU312" i="2"/>
  <c r="AV311" i="2"/>
  <c r="AU311" i="2"/>
  <c r="AW311" i="2" s="1"/>
  <c r="AV310" i="2"/>
  <c r="AU310" i="2"/>
  <c r="AW310" i="2" s="1"/>
  <c r="AV309" i="2"/>
  <c r="AU309" i="2"/>
  <c r="AW309" i="2" s="1"/>
  <c r="AV273" i="2"/>
  <c r="AU273" i="2"/>
  <c r="AW273" i="2" s="1"/>
  <c r="AV272" i="2"/>
  <c r="AU272" i="2"/>
  <c r="AW272" i="2" s="1"/>
  <c r="AV271" i="2"/>
  <c r="AW271" i="2" s="1"/>
  <c r="AU271" i="2"/>
  <c r="AV270" i="2"/>
  <c r="AU270" i="2"/>
  <c r="AW270" i="2" s="1"/>
  <c r="AV269" i="2"/>
  <c r="AU269" i="2"/>
  <c r="AW269" i="2" s="1"/>
  <c r="AV268" i="2"/>
  <c r="AU268" i="2"/>
  <c r="AW268" i="2" s="1"/>
  <c r="AW267" i="2"/>
  <c r="AV267" i="2"/>
  <c r="AU267" i="2"/>
  <c r="AV266" i="2"/>
  <c r="AU266" i="2"/>
  <c r="AW266" i="2" s="1"/>
  <c r="AV265" i="2"/>
  <c r="AU265" i="2"/>
  <c r="AW265" i="2" s="1"/>
  <c r="AV264" i="2"/>
  <c r="AU264" i="2"/>
  <c r="AW264" i="2" s="1"/>
  <c r="AV263" i="2"/>
  <c r="AW263" i="2" s="1"/>
  <c r="AU263" i="2"/>
  <c r="AV262" i="2"/>
  <c r="AU262" i="2"/>
  <c r="AW262" i="2" s="1"/>
  <c r="AV261" i="2"/>
  <c r="AU261" i="2"/>
  <c r="AW261" i="2" s="1"/>
  <c r="AV260" i="2"/>
  <c r="AU260" i="2"/>
  <c r="AW260" i="2" s="1"/>
  <c r="AV259" i="2"/>
  <c r="AW259" i="2" s="1"/>
  <c r="AU259" i="2"/>
  <c r="AV258" i="2"/>
  <c r="AU258" i="2"/>
  <c r="AW258" i="2" s="1"/>
  <c r="AV257" i="2"/>
  <c r="AU257" i="2"/>
  <c r="AW257" i="2" s="1"/>
  <c r="AV256" i="2"/>
  <c r="AU256" i="2"/>
  <c r="AW256" i="2" s="1"/>
  <c r="AV255" i="2"/>
  <c r="AU255" i="2"/>
  <c r="AW255" i="2" s="1"/>
  <c r="AV254" i="2"/>
  <c r="AU254" i="2"/>
  <c r="AW254" i="2" s="1"/>
  <c r="AV253" i="2"/>
  <c r="AU253" i="2"/>
  <c r="AW253" i="2" s="1"/>
  <c r="AV252" i="2"/>
  <c r="AU252" i="2"/>
  <c r="AW252" i="2" s="1"/>
  <c r="AV251" i="2"/>
  <c r="AU251" i="2"/>
  <c r="AW251" i="2" s="1"/>
  <c r="AV250" i="2"/>
  <c r="AU250" i="2"/>
  <c r="AW250" i="2" s="1"/>
  <c r="AV249" i="2"/>
  <c r="AU249" i="2"/>
  <c r="AW249" i="2" s="1"/>
  <c r="AV248" i="2"/>
  <c r="AU248" i="2"/>
  <c r="AW248" i="2" s="1"/>
  <c r="AV247" i="2"/>
  <c r="AU247" i="2"/>
  <c r="AW247" i="2" s="1"/>
  <c r="AV246" i="2"/>
  <c r="AU246" i="2"/>
  <c r="AW246" i="2" s="1"/>
  <c r="AV245" i="2"/>
  <c r="AU245" i="2"/>
  <c r="AW245" i="2" s="1"/>
  <c r="AV244" i="2"/>
  <c r="AU244" i="2"/>
  <c r="AW244" i="2" s="1"/>
  <c r="AV243" i="2"/>
  <c r="AU243" i="2"/>
  <c r="AW243" i="2" s="1"/>
  <c r="AV242" i="2"/>
  <c r="AU242" i="2"/>
  <c r="AW242" i="2" s="1"/>
  <c r="AV241" i="2"/>
  <c r="AU241" i="2"/>
  <c r="AW241" i="2" s="1"/>
  <c r="AV240" i="2"/>
  <c r="AU240" i="2"/>
  <c r="AW240" i="2" s="1"/>
  <c r="AV239" i="2"/>
  <c r="AU239" i="2"/>
  <c r="AW239" i="2" s="1"/>
  <c r="AV238" i="2"/>
  <c r="AU238" i="2"/>
  <c r="AW238" i="2" s="1"/>
  <c r="AV237" i="2"/>
  <c r="AU237" i="2"/>
  <c r="AW237" i="2" s="1"/>
  <c r="AV236" i="2"/>
  <c r="AU236" i="2"/>
  <c r="AW236" i="2" s="1"/>
  <c r="AV235" i="2"/>
  <c r="AU235" i="2"/>
  <c r="AW235" i="2" s="1"/>
  <c r="AV234" i="2"/>
  <c r="AU234" i="2"/>
  <c r="AW234" i="2" s="1"/>
  <c r="AV233" i="2"/>
  <c r="AU233" i="2"/>
  <c r="AW233" i="2" s="1"/>
  <c r="AV232" i="2"/>
  <c r="AU232" i="2"/>
  <c r="AW232" i="2" s="1"/>
  <c r="AV231" i="2"/>
  <c r="AU231" i="2"/>
  <c r="AW231" i="2" s="1"/>
  <c r="AV230" i="2"/>
  <c r="AU230" i="2"/>
  <c r="AW230" i="2" s="1"/>
  <c r="AV229" i="2"/>
  <c r="AU229" i="2"/>
  <c r="AW229" i="2" s="1"/>
  <c r="AV228" i="2"/>
  <c r="AU228" i="2"/>
  <c r="AW228" i="2" s="1"/>
  <c r="AV227" i="2"/>
  <c r="AU227" i="2"/>
  <c r="AW227" i="2" s="1"/>
  <c r="AV226" i="2"/>
  <c r="AU226" i="2"/>
  <c r="AW226" i="2" s="1"/>
  <c r="AV225" i="2"/>
  <c r="AU225" i="2"/>
  <c r="AW225" i="2" s="1"/>
  <c r="AV224" i="2"/>
  <c r="AU224" i="2"/>
  <c r="AW224" i="2" s="1"/>
  <c r="AV223" i="2"/>
  <c r="AU223" i="2"/>
  <c r="AW223" i="2" s="1"/>
  <c r="AV222" i="2"/>
  <c r="AU222" i="2"/>
  <c r="AW222" i="2" s="1"/>
  <c r="AV221" i="2"/>
  <c r="AU221" i="2"/>
  <c r="AW221" i="2" s="1"/>
  <c r="AV220" i="2"/>
  <c r="AU220" i="2"/>
  <c r="AW220" i="2" s="1"/>
  <c r="AV219" i="2"/>
  <c r="AU219" i="2"/>
  <c r="AW219" i="2" s="1"/>
  <c r="AV204" i="2"/>
  <c r="AU204" i="2"/>
  <c r="AW204" i="2" s="1"/>
  <c r="AV203" i="2"/>
  <c r="AU203" i="2"/>
  <c r="AW203" i="2" s="1"/>
  <c r="AV202" i="2"/>
  <c r="AU202" i="2"/>
  <c r="AW202" i="2" s="1"/>
  <c r="AV201" i="2"/>
  <c r="AU201" i="2"/>
  <c r="AW201" i="2" s="1"/>
  <c r="AV200" i="2"/>
  <c r="AU200" i="2"/>
  <c r="AW200" i="2" s="1"/>
  <c r="AV199" i="2"/>
  <c r="AU199" i="2"/>
  <c r="AW199" i="2" s="1"/>
  <c r="AV198" i="2"/>
  <c r="AU198" i="2"/>
  <c r="AW198" i="2" s="1"/>
  <c r="AV197" i="2"/>
  <c r="AU197" i="2"/>
  <c r="AW197" i="2" s="1"/>
  <c r="AV196" i="2"/>
  <c r="AU196" i="2"/>
  <c r="AW196" i="2" s="1"/>
  <c r="AW194" i="2"/>
  <c r="AV194" i="2"/>
  <c r="AU194" i="2"/>
  <c r="AV193" i="2"/>
  <c r="AU193" i="2"/>
  <c r="AW193" i="2" s="1"/>
  <c r="AV192" i="2"/>
  <c r="AU192" i="2"/>
  <c r="AW192" i="2" s="1"/>
  <c r="AV191" i="2"/>
  <c r="AW191" i="2" s="1"/>
  <c r="AU191" i="2"/>
  <c r="AW190" i="2"/>
  <c r="AV190" i="2"/>
  <c r="AU190" i="2"/>
  <c r="AV161" i="2"/>
  <c r="AU161" i="2"/>
  <c r="AW161" i="2" s="1"/>
  <c r="AV160" i="2"/>
  <c r="AU160" i="2"/>
  <c r="AV159" i="2"/>
  <c r="AU159" i="2"/>
  <c r="AW159" i="2" s="1"/>
  <c r="AV158" i="2"/>
  <c r="AU158" i="2"/>
  <c r="AW158" i="2" s="1"/>
  <c r="AW157" i="2"/>
  <c r="AV157" i="2"/>
  <c r="AU157" i="2"/>
  <c r="AV156" i="2"/>
  <c r="AU156" i="2"/>
  <c r="AW156" i="2" s="1"/>
  <c r="AV155" i="2"/>
  <c r="AU155" i="2"/>
  <c r="AV154" i="2"/>
  <c r="AU154" i="2"/>
  <c r="AW154" i="2" s="1"/>
  <c r="AV153" i="2"/>
  <c r="AW153" i="2" s="1"/>
  <c r="AU153" i="2"/>
  <c r="AV152" i="2"/>
  <c r="AU152" i="2"/>
  <c r="AW152" i="2" s="1"/>
  <c r="AV151" i="2"/>
  <c r="AU151" i="2"/>
  <c r="AW151" i="2" s="1"/>
  <c r="AV150" i="2"/>
  <c r="AU150" i="2"/>
  <c r="AW150" i="2" s="1"/>
  <c r="AV134" i="2"/>
  <c r="AU134" i="2"/>
  <c r="AW134" i="2" s="1"/>
  <c r="AV133" i="2"/>
  <c r="AW133" i="2" s="1"/>
  <c r="AU133" i="2"/>
  <c r="AV132" i="2"/>
  <c r="AU132" i="2"/>
  <c r="AW132" i="2" s="1"/>
  <c r="AV131" i="2"/>
  <c r="AU131" i="2"/>
  <c r="AW131" i="2" s="1"/>
  <c r="AW130" i="2"/>
  <c r="AV130" i="2"/>
  <c r="AU130" i="2"/>
  <c r="AV129" i="2"/>
  <c r="AW129" i="2" s="1"/>
  <c r="AU129" i="2"/>
  <c r="AV128" i="2"/>
  <c r="AU128" i="2"/>
  <c r="AW128" i="2" s="1"/>
  <c r="AV127" i="2"/>
  <c r="AU127" i="2"/>
  <c r="AW127" i="2" s="1"/>
  <c r="AW126" i="2"/>
  <c r="AV126" i="2"/>
  <c r="AU126" i="2"/>
  <c r="AV107" i="2"/>
  <c r="AU107" i="2"/>
  <c r="AW107" i="2" s="1"/>
  <c r="AV106" i="2"/>
  <c r="AU106" i="2"/>
  <c r="AW106" i="2" s="1"/>
  <c r="AV105" i="2"/>
  <c r="AU105" i="2"/>
  <c r="AW105" i="2" s="1"/>
  <c r="AV102" i="2"/>
  <c r="AU102" i="2"/>
  <c r="AW102" i="2" s="1"/>
  <c r="AV101" i="2"/>
  <c r="AU101" i="2"/>
  <c r="AW101" i="2" s="1"/>
  <c r="AV100" i="2"/>
  <c r="AU100" i="2"/>
  <c r="AW100" i="2" s="1"/>
  <c r="AV99" i="2"/>
  <c r="AW99" i="2" s="1"/>
  <c r="AU99" i="2"/>
  <c r="AV98" i="2"/>
  <c r="AU98" i="2"/>
  <c r="AW98" i="2" s="1"/>
  <c r="AV97" i="2"/>
  <c r="AU97" i="2"/>
  <c r="AW97" i="2" s="1"/>
  <c r="AV96" i="2"/>
  <c r="AU96" i="2"/>
  <c r="AW96" i="2" s="1"/>
  <c r="AV95" i="2"/>
  <c r="AW95" i="2" s="1"/>
  <c r="AU95" i="2"/>
  <c r="AW94" i="2"/>
  <c r="AV94" i="2"/>
  <c r="AB94" i="2"/>
  <c r="AA94" i="2"/>
  <c r="AU94" i="2"/>
  <c r="H592" i="2"/>
  <c r="AO611" i="2" l="1"/>
  <c r="AP611" i="2" s="1"/>
  <c r="AO608" i="2"/>
  <c r="AP608" i="2" s="1"/>
  <c r="AO606" i="2"/>
  <c r="AP606" i="2" s="1"/>
  <c r="AS607" i="2"/>
  <c r="AO609" i="2"/>
  <c r="AP609" i="2" s="1"/>
  <c r="H598" i="2"/>
  <c r="AO597" i="2"/>
  <c r="AP597" i="2" s="1"/>
  <c r="AO594" i="2"/>
  <c r="AP594" i="2" s="1"/>
  <c r="AW532" i="2"/>
  <c r="AW397" i="2"/>
  <c r="AW160" i="2"/>
  <c r="AW155" i="2"/>
  <c r="AO593" i="2"/>
  <c r="AP593" i="2" s="1"/>
  <c r="AS592" i="2"/>
  <c r="AO592" i="2"/>
  <c r="AP592" i="2" s="1"/>
  <c r="H591" i="2"/>
  <c r="AS591" i="2" s="1"/>
  <c r="Z95" i="1"/>
  <c r="Z94" i="1"/>
  <c r="H590" i="2" s="1"/>
  <c r="AS590" i="2" s="1"/>
  <c r="Z93" i="1"/>
  <c r="Z92" i="1"/>
  <c r="Z91" i="1"/>
  <c r="Z90" i="1"/>
  <c r="Z89" i="1"/>
  <c r="H588" i="2" s="1"/>
  <c r="AS588" i="2" s="1"/>
  <c r="Z88" i="1"/>
  <c r="H587" i="2" s="1"/>
  <c r="AS587" i="2" s="1"/>
  <c r="H585" i="2"/>
  <c r="AO585" i="2" s="1"/>
  <c r="AP585" i="2" s="1"/>
  <c r="H583" i="2"/>
  <c r="AS583" i="2" s="1"/>
  <c r="H582" i="2"/>
  <c r="AO582" i="2" s="1"/>
  <c r="AP582" i="2" s="1"/>
  <c r="Z87" i="1"/>
  <c r="Z86" i="1"/>
  <c r="Z85" i="1"/>
  <c r="Z84" i="1"/>
  <c r="H584" i="2" s="1"/>
  <c r="AS584" i="2" s="1"/>
  <c r="Z83" i="1"/>
  <c r="Z82" i="1"/>
  <c r="Z81" i="1"/>
  <c r="Z80" i="1"/>
  <c r="H581" i="2" s="1"/>
  <c r="AS581" i="2" s="1"/>
  <c r="Z79" i="1"/>
  <c r="H580" i="2" s="1"/>
  <c r="Z78" i="1"/>
  <c r="Z77" i="1"/>
  <c r="H579" i="2"/>
  <c r="H578" i="2"/>
  <c r="H577" i="2"/>
  <c r="H576" i="2"/>
  <c r="H575" i="2"/>
  <c r="H574" i="2"/>
  <c r="H573" i="2"/>
  <c r="H572" i="2"/>
  <c r="H571" i="2"/>
  <c r="H570" i="2"/>
  <c r="H569" i="2"/>
  <c r="H568" i="2"/>
  <c r="H566" i="2"/>
  <c r="H565" i="2"/>
  <c r="Z76" i="1"/>
  <c r="H28" i="1"/>
  <c r="H586" i="2" l="1"/>
  <c r="AO586" i="2" s="1"/>
  <c r="AP586" i="2" s="1"/>
  <c r="H589" i="2"/>
  <c r="AO589" i="2" s="1"/>
  <c r="AP589" i="2" s="1"/>
  <c r="Z110" i="1"/>
  <c r="I28" i="1" s="1"/>
  <c r="J28" i="1" s="1"/>
  <c r="K28" i="1" s="1"/>
  <c r="AO598" i="2"/>
  <c r="AP598" i="2" s="1"/>
  <c r="AS598" i="2"/>
  <c r="AO591" i="2"/>
  <c r="AP591" i="2" s="1"/>
  <c r="AO590" i="2"/>
  <c r="AP590" i="2" s="1"/>
  <c r="AO588" i="2"/>
  <c r="AP588" i="2" s="1"/>
  <c r="AS586" i="2"/>
  <c r="AS585" i="2"/>
  <c r="AO584" i="2"/>
  <c r="AP584" i="2" s="1"/>
  <c r="AO583" i="2"/>
  <c r="AP583" i="2" s="1"/>
  <c r="AS582" i="2"/>
  <c r="AO581" i="2"/>
  <c r="AP581" i="2" s="1"/>
  <c r="AO580" i="2"/>
  <c r="AP580" i="2" s="1"/>
  <c r="AS580" i="2"/>
  <c r="AO587" i="2"/>
  <c r="AP587" i="2" s="1"/>
  <c r="C7" i="6"/>
  <c r="F7" i="6" s="1"/>
  <c r="AS589" i="2" l="1"/>
  <c r="D7" i="6"/>
  <c r="E7" i="6"/>
  <c r="H564" i="2"/>
  <c r="H563" i="2"/>
  <c r="U207" i="1"/>
  <c r="H27" i="1"/>
  <c r="U206" i="1"/>
  <c r="H554" i="2"/>
  <c r="AS554" i="2" s="1"/>
  <c r="H553" i="2"/>
  <c r="AS553" i="2" s="1"/>
  <c r="H552" i="2"/>
  <c r="AO552" i="2" s="1"/>
  <c r="AP552" i="2" s="1"/>
  <c r="U205" i="1"/>
  <c r="H562" i="2" s="1"/>
  <c r="AS562" i="2" s="1"/>
  <c r="H550" i="2"/>
  <c r="AS550" i="2" s="1"/>
  <c r="U204" i="1"/>
  <c r="H561" i="2" s="1"/>
  <c r="AO561" i="2" s="1"/>
  <c r="AP561" i="2" s="1"/>
  <c r="U203" i="1"/>
  <c r="U202" i="1"/>
  <c r="U201" i="1"/>
  <c r="U200" i="1"/>
  <c r="H559" i="2" s="1"/>
  <c r="AO559" i="2" s="1"/>
  <c r="AP559" i="2" s="1"/>
  <c r="U199" i="1"/>
  <c r="H558" i="2" s="1"/>
  <c r="AS558" i="2" s="1"/>
  <c r="U198" i="1"/>
  <c r="U197" i="1"/>
  <c r="U196" i="1"/>
  <c r="U195" i="1"/>
  <c r="U194" i="1"/>
  <c r="H556" i="2" s="1"/>
  <c r="AS556" i="2" s="1"/>
  <c r="U193" i="1"/>
  <c r="U189" i="1"/>
  <c r="U188" i="1"/>
  <c r="U187" i="1"/>
  <c r="U186" i="1"/>
  <c r="U185" i="1"/>
  <c r="U184" i="1"/>
  <c r="H549" i="2" s="1"/>
  <c r="AS549" i="2" s="1"/>
  <c r="U183" i="1"/>
  <c r="U182" i="1"/>
  <c r="H548" i="2" s="1"/>
  <c r="U181" i="1"/>
  <c r="U180" i="1"/>
  <c r="U179" i="1"/>
  <c r="U178" i="1"/>
  <c r="H546" i="2" s="1"/>
  <c r="AO546" i="2" s="1"/>
  <c r="AP546" i="2" s="1"/>
  <c r="U177" i="1"/>
  <c r="U176" i="1"/>
  <c r="U175" i="1"/>
  <c r="U174" i="1"/>
  <c r="U173" i="1"/>
  <c r="U172" i="1"/>
  <c r="U171" i="1"/>
  <c r="U170" i="1"/>
  <c r="U169" i="1"/>
  <c r="H543" i="2" s="1"/>
  <c r="AS543" i="2" s="1"/>
  <c r="H542" i="2"/>
  <c r="AS542" i="2" s="1"/>
  <c r="U168" i="1"/>
  <c r="U167" i="1"/>
  <c r="U166" i="1"/>
  <c r="U165" i="1"/>
  <c r="U164" i="1"/>
  <c r="U163" i="1"/>
  <c r="U162" i="1"/>
  <c r="W532" i="2"/>
  <c r="AA532" i="2"/>
  <c r="U161" i="1"/>
  <c r="U160" i="1"/>
  <c r="U159" i="1"/>
  <c r="H538" i="2" s="1"/>
  <c r="AO538" i="2" s="1"/>
  <c r="AP538" i="2" s="1"/>
  <c r="AN526" i="2"/>
  <c r="H526" i="2"/>
  <c r="AS526" i="2" s="1"/>
  <c r="U158" i="1"/>
  <c r="U157" i="1"/>
  <c r="U156" i="1"/>
  <c r="U155" i="1"/>
  <c r="H536" i="2" s="1"/>
  <c r="AS536" i="2" s="1"/>
  <c r="U154" i="1"/>
  <c r="H535" i="2" s="1"/>
  <c r="AS535" i="2" s="1"/>
  <c r="U153" i="1"/>
  <c r="U152" i="1"/>
  <c r="U151" i="1"/>
  <c r="U150" i="1"/>
  <c r="H533" i="2" s="1"/>
  <c r="AS533" i="2" s="1"/>
  <c r="U149" i="1"/>
  <c r="H532" i="2" s="1"/>
  <c r="AS532" i="2" s="1"/>
  <c r="U148" i="1"/>
  <c r="H26" i="1"/>
  <c r="U144" i="1"/>
  <c r="H531" i="2" s="1"/>
  <c r="AS531" i="2" s="1"/>
  <c r="U143" i="1"/>
  <c r="U142" i="1"/>
  <c r="H530" i="2" s="1"/>
  <c r="AS530" i="2" s="1"/>
  <c r="H544" i="2" l="1"/>
  <c r="AS544" i="2" s="1"/>
  <c r="H541" i="2"/>
  <c r="AS541" i="2" s="1"/>
  <c r="U190" i="1"/>
  <c r="I26" i="1" s="1"/>
  <c r="J26" i="1" s="1"/>
  <c r="K26" i="1" s="1"/>
  <c r="H534" i="2"/>
  <c r="AS534" i="2" s="1"/>
  <c r="H547" i="2"/>
  <c r="AS547" i="2" s="1"/>
  <c r="H551" i="2"/>
  <c r="AS551" i="2" s="1"/>
  <c r="H539" i="2"/>
  <c r="AO539" i="2" s="1"/>
  <c r="AP539" i="2" s="1"/>
  <c r="H540" i="2"/>
  <c r="AS540" i="2" s="1"/>
  <c r="H545" i="2"/>
  <c r="AS545" i="2" s="1"/>
  <c r="U208" i="1"/>
  <c r="I27" i="1" s="1"/>
  <c r="J27" i="1" s="1"/>
  <c r="K27" i="1" s="1"/>
  <c r="H557" i="2"/>
  <c r="AS557" i="2" s="1"/>
  <c r="H560" i="2"/>
  <c r="AO560" i="2" s="1"/>
  <c r="AP560" i="2" s="1"/>
  <c r="H555" i="2"/>
  <c r="AS555" i="2" s="1"/>
  <c r="H537" i="2"/>
  <c r="AO537" i="2" s="1"/>
  <c r="AP537" i="2" s="1"/>
  <c r="AO562" i="2"/>
  <c r="AP562" i="2" s="1"/>
  <c r="AS561" i="2"/>
  <c r="AO543" i="2"/>
  <c r="AP543" i="2" s="1"/>
  <c r="AS559" i="2"/>
  <c r="AO558" i="2"/>
  <c r="AP558" i="2" s="1"/>
  <c r="AO556" i="2"/>
  <c r="AP556" i="2" s="1"/>
  <c r="AO554" i="2"/>
  <c r="AP554" i="2" s="1"/>
  <c r="AO553" i="2"/>
  <c r="AP553" i="2" s="1"/>
  <c r="AS552" i="2"/>
  <c r="AO550" i="2"/>
  <c r="AP550" i="2" s="1"/>
  <c r="AO549" i="2"/>
  <c r="AP549" i="2" s="1"/>
  <c r="AO548" i="2"/>
  <c r="AP548" i="2" s="1"/>
  <c r="AS548" i="2"/>
  <c r="AO547" i="2"/>
  <c r="AP547" i="2" s="1"/>
  <c r="AS546" i="2"/>
  <c r="AO544" i="2"/>
  <c r="AP544" i="2" s="1"/>
  <c r="AO542" i="2"/>
  <c r="AP542" i="2" s="1"/>
  <c r="AS538" i="2"/>
  <c r="AS537" i="2"/>
  <c r="AO536" i="2"/>
  <c r="AP536" i="2" s="1"/>
  <c r="AO535" i="2"/>
  <c r="AP535" i="2" s="1"/>
  <c r="AO534" i="2"/>
  <c r="AP534" i="2" s="1"/>
  <c r="AO533" i="2"/>
  <c r="AP533" i="2" s="1"/>
  <c r="AO532" i="2"/>
  <c r="AP532" i="2" s="1"/>
  <c r="AO531" i="2"/>
  <c r="AP531" i="2" s="1"/>
  <c r="AO530" i="2"/>
  <c r="AP530" i="2" s="1"/>
  <c r="AO526" i="2"/>
  <c r="AP526" i="2" s="1"/>
  <c r="U141" i="1"/>
  <c r="U140" i="1"/>
  <c r="U139" i="1"/>
  <c r="U138" i="1"/>
  <c r="U137" i="1"/>
  <c r="U136" i="1"/>
  <c r="U135" i="1"/>
  <c r="H525" i="2"/>
  <c r="AS525" i="2" s="1"/>
  <c r="U134" i="1"/>
  <c r="U133" i="1"/>
  <c r="U132" i="1"/>
  <c r="U131" i="1"/>
  <c r="H523" i="2" s="1"/>
  <c r="AO523" i="2" s="1"/>
  <c r="AP523" i="2" s="1"/>
  <c r="U130" i="1"/>
  <c r="H522" i="2" s="1"/>
  <c r="AS522" i="2" s="1"/>
  <c r="H515" i="2"/>
  <c r="H514" i="2"/>
  <c r="H513" i="2"/>
  <c r="H512" i="2"/>
  <c r="H510" i="2"/>
  <c r="H509" i="2"/>
  <c r="H508" i="2"/>
  <c r="H507" i="2"/>
  <c r="H506" i="2"/>
  <c r="H505" i="2"/>
  <c r="H504" i="2"/>
  <c r="H503" i="2"/>
  <c r="H502" i="2"/>
  <c r="H501" i="2"/>
  <c r="H500" i="2"/>
  <c r="H521" i="2"/>
  <c r="AS521" i="2" s="1"/>
  <c r="H498" i="2"/>
  <c r="H497" i="2"/>
  <c r="H496" i="2"/>
  <c r="H495" i="2"/>
  <c r="U129" i="1"/>
  <c r="H520" i="2"/>
  <c r="AS520" i="2" s="1"/>
  <c r="H519" i="2"/>
  <c r="AS519" i="2" s="1"/>
  <c r="U128" i="1"/>
  <c r="U127" i="1"/>
  <c r="U126" i="1"/>
  <c r="U125" i="1"/>
  <c r="H25" i="1"/>
  <c r="H492" i="2"/>
  <c r="H491" i="2"/>
  <c r="H485" i="2"/>
  <c r="AO485" i="2" s="1"/>
  <c r="AP485" i="2" s="1"/>
  <c r="H482" i="2"/>
  <c r="AS482" i="2" s="1"/>
  <c r="U121" i="1"/>
  <c r="AN481" i="2"/>
  <c r="H481" i="2"/>
  <c r="H479" i="2"/>
  <c r="AO479" i="2" s="1"/>
  <c r="AP479" i="2" s="1"/>
  <c r="U120" i="1"/>
  <c r="H490" i="2" s="1"/>
  <c r="AS490" i="2" s="1"/>
  <c r="U119" i="1"/>
  <c r="U118" i="1"/>
  <c r="U117" i="1"/>
  <c r="U116" i="1"/>
  <c r="H488" i="2" s="1"/>
  <c r="AS488" i="2" s="1"/>
  <c r="U115" i="1"/>
  <c r="U114" i="1"/>
  <c r="U113" i="1"/>
  <c r="U112" i="1"/>
  <c r="U111" i="1"/>
  <c r="U110" i="1"/>
  <c r="U109" i="1"/>
  <c r="H483" i="2" s="1"/>
  <c r="AO483" i="2" s="1"/>
  <c r="AP483" i="2" s="1"/>
  <c r="H24" i="1"/>
  <c r="U105" i="1"/>
  <c r="U104" i="1"/>
  <c r="U103" i="1"/>
  <c r="U102" i="1"/>
  <c r="U101" i="1"/>
  <c r="U100" i="1"/>
  <c r="U99" i="1"/>
  <c r="U98" i="1"/>
  <c r="H477" i="2" s="1"/>
  <c r="AS477" i="2" s="1"/>
  <c r="U97" i="1"/>
  <c r="U96" i="1"/>
  <c r="U95" i="1"/>
  <c r="H475" i="2" s="1"/>
  <c r="U94" i="1"/>
  <c r="U93" i="1"/>
  <c r="H474" i="2" s="1"/>
  <c r="AS474" i="2" s="1"/>
  <c r="U92" i="1"/>
  <c r="U91" i="1"/>
  <c r="U90" i="1"/>
  <c r="U89" i="1"/>
  <c r="H472" i="2" s="1"/>
  <c r="AO472" i="2" s="1"/>
  <c r="AP472" i="2" s="1"/>
  <c r="H471" i="2"/>
  <c r="AS471" i="2" s="1"/>
  <c r="U88" i="1"/>
  <c r="U87" i="1"/>
  <c r="U86" i="1"/>
  <c r="H469" i="2"/>
  <c r="AS469" i="2" s="1"/>
  <c r="H438" i="2"/>
  <c r="H437" i="2"/>
  <c r="H436" i="2"/>
  <c r="U85" i="1"/>
  <c r="H468" i="2" s="1"/>
  <c r="AO468" i="2" s="1"/>
  <c r="AP468" i="2" s="1"/>
  <c r="H463" i="2"/>
  <c r="AS463" i="2" s="1"/>
  <c r="H462" i="2"/>
  <c r="AS462" i="2" s="1"/>
  <c r="H458" i="2"/>
  <c r="AS458" i="2" s="1"/>
  <c r="H23" i="1"/>
  <c r="U84" i="1"/>
  <c r="U83" i="1"/>
  <c r="U82" i="1"/>
  <c r="H466" i="2" s="1"/>
  <c r="AS466" i="2" s="1"/>
  <c r="U81" i="1"/>
  <c r="U80" i="1"/>
  <c r="U79" i="1"/>
  <c r="U78" i="1"/>
  <c r="U77" i="1"/>
  <c r="U76" i="1"/>
  <c r="P187" i="1"/>
  <c r="H460" i="2" s="1"/>
  <c r="AS460" i="2" s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H433" i="2" s="1"/>
  <c r="AS539" i="2" l="1"/>
  <c r="H456" i="2"/>
  <c r="AS456" i="2" s="1"/>
  <c r="AO551" i="2"/>
  <c r="AP551" i="2" s="1"/>
  <c r="H476" i="2"/>
  <c r="AO476" i="2" s="1"/>
  <c r="AP476" i="2" s="1"/>
  <c r="H480" i="2"/>
  <c r="AS480" i="2" s="1"/>
  <c r="AO540" i="2"/>
  <c r="AP540" i="2" s="1"/>
  <c r="AO541" i="2"/>
  <c r="AP541" i="2" s="1"/>
  <c r="H467" i="2"/>
  <c r="AO467" i="2" s="1"/>
  <c r="AP467" i="2" s="1"/>
  <c r="H527" i="2"/>
  <c r="AS527" i="2" s="1"/>
  <c r="H529" i="2"/>
  <c r="AO529" i="2" s="1"/>
  <c r="AP529" i="2" s="1"/>
  <c r="AO545" i="2"/>
  <c r="AP545" i="2" s="1"/>
  <c r="AO557" i="2"/>
  <c r="AP557" i="2" s="1"/>
  <c r="AO555" i="2"/>
  <c r="AP555" i="2" s="1"/>
  <c r="H478" i="2"/>
  <c r="AO478" i="2" s="1"/>
  <c r="AP478" i="2" s="1"/>
  <c r="U122" i="1"/>
  <c r="I24" i="1" s="1"/>
  <c r="J24" i="1" s="1"/>
  <c r="K24" i="1" s="1"/>
  <c r="H487" i="2"/>
  <c r="AO487" i="2" s="1"/>
  <c r="AP487" i="2" s="1"/>
  <c r="H489" i="2"/>
  <c r="AS489" i="2" s="1"/>
  <c r="H524" i="2"/>
  <c r="AS524" i="2" s="1"/>
  <c r="AS560" i="2"/>
  <c r="H457" i="2"/>
  <c r="AS457" i="2" s="1"/>
  <c r="H459" i="2"/>
  <c r="AS459" i="2" s="1"/>
  <c r="H486" i="2"/>
  <c r="AO486" i="2" s="1"/>
  <c r="AP486" i="2" s="1"/>
  <c r="U145" i="1"/>
  <c r="I25" i="1" s="1"/>
  <c r="J25" i="1" s="1"/>
  <c r="K25" i="1" s="1"/>
  <c r="H528" i="2"/>
  <c r="AS528" i="2" s="1"/>
  <c r="H518" i="2"/>
  <c r="AS518" i="2" s="1"/>
  <c r="AS529" i="2"/>
  <c r="H517" i="2"/>
  <c r="AO517" i="2" s="1"/>
  <c r="AP517" i="2" s="1"/>
  <c r="AO525" i="2"/>
  <c r="AP525" i="2" s="1"/>
  <c r="AS523" i="2"/>
  <c r="AO522" i="2"/>
  <c r="AP522" i="2" s="1"/>
  <c r="AO521" i="2"/>
  <c r="AP521" i="2" s="1"/>
  <c r="AO520" i="2"/>
  <c r="AP520" i="2" s="1"/>
  <c r="AO519" i="2"/>
  <c r="AP519" i="2" s="1"/>
  <c r="H484" i="2"/>
  <c r="AS484" i="2" s="1"/>
  <c r="AO490" i="2"/>
  <c r="AP490" i="2" s="1"/>
  <c r="AO488" i="2"/>
  <c r="AP488" i="2" s="1"/>
  <c r="AS485" i="2"/>
  <c r="AS483" i="2"/>
  <c r="AO482" i="2"/>
  <c r="AP482" i="2" s="1"/>
  <c r="H470" i="2"/>
  <c r="AO470" i="2" s="1"/>
  <c r="AP470" i="2" s="1"/>
  <c r="H473" i="2"/>
  <c r="AO473" i="2" s="1"/>
  <c r="AP473" i="2" s="1"/>
  <c r="H435" i="2"/>
  <c r="AO435" i="2" s="1"/>
  <c r="AP435" i="2" s="1"/>
  <c r="H434" i="2"/>
  <c r="AS434" i="2" s="1"/>
  <c r="H465" i="2"/>
  <c r="AS465" i="2" s="1"/>
  <c r="AO463" i="2"/>
  <c r="AP463" i="2" s="1"/>
  <c r="U106" i="1"/>
  <c r="H464" i="2"/>
  <c r="AS464" i="2" s="1"/>
  <c r="AO481" i="2"/>
  <c r="AP481" i="2" s="1"/>
  <c r="AS481" i="2"/>
  <c r="AS479" i="2"/>
  <c r="H461" i="2"/>
  <c r="AS461" i="2" s="1"/>
  <c r="AO471" i="2"/>
  <c r="AP471" i="2" s="1"/>
  <c r="AS472" i="2"/>
  <c r="AO474" i="2"/>
  <c r="AP474" i="2" s="1"/>
  <c r="AO477" i="2"/>
  <c r="AP477" i="2" s="1"/>
  <c r="AS475" i="2"/>
  <c r="AO475" i="2"/>
  <c r="AP475" i="2" s="1"/>
  <c r="AO469" i="2"/>
  <c r="AP469" i="2" s="1"/>
  <c r="AS468" i="2"/>
  <c r="AO466" i="2"/>
  <c r="AP466" i="2" s="1"/>
  <c r="AO462" i="2"/>
  <c r="AP462" i="2" s="1"/>
  <c r="AO460" i="2"/>
  <c r="AP460" i="2" s="1"/>
  <c r="AO458" i="2"/>
  <c r="AP458" i="2" s="1"/>
  <c r="AO456" i="2"/>
  <c r="AP456" i="2" s="1"/>
  <c r="I23" i="1"/>
  <c r="J23" i="1" s="1"/>
  <c r="K23" i="1" s="1"/>
  <c r="AS433" i="2"/>
  <c r="AO433" i="2"/>
  <c r="AP433" i="2" s="1"/>
  <c r="H432" i="2"/>
  <c r="AS432" i="2" s="1"/>
  <c r="P165" i="1"/>
  <c r="P164" i="1"/>
  <c r="H430" i="2"/>
  <c r="AS430" i="2" s="1"/>
  <c r="P163" i="1"/>
  <c r="H429" i="2"/>
  <c r="AS429" i="2" s="1"/>
  <c r="P162" i="1"/>
  <c r="H428" i="2" s="1"/>
  <c r="H425" i="2"/>
  <c r="AS425" i="2" s="1"/>
  <c r="H422" i="2"/>
  <c r="AS422" i="2" s="1"/>
  <c r="H420" i="2"/>
  <c r="AS420" i="2" s="1"/>
  <c r="P161" i="1"/>
  <c r="P160" i="1"/>
  <c r="P159" i="1"/>
  <c r="H426" i="2" s="1"/>
  <c r="AO426" i="2" s="1"/>
  <c r="AP426" i="2" s="1"/>
  <c r="P158" i="1"/>
  <c r="H424" i="2" s="1"/>
  <c r="AS424" i="2" s="1"/>
  <c r="P157" i="1"/>
  <c r="P156" i="1"/>
  <c r="P155" i="1"/>
  <c r="P154" i="1"/>
  <c r="H421" i="2" s="1"/>
  <c r="AS421" i="2" s="1"/>
  <c r="P153" i="1"/>
  <c r="H419" i="2" s="1"/>
  <c r="AO419" i="2" s="1"/>
  <c r="AP419" i="2" s="1"/>
  <c r="P152" i="1"/>
  <c r="H22" i="1"/>
  <c r="P148" i="1"/>
  <c r="H418" i="2" s="1"/>
  <c r="AO418" i="2" s="1"/>
  <c r="AP418" i="2" s="1"/>
  <c r="P147" i="1"/>
  <c r="P146" i="1"/>
  <c r="P145" i="1"/>
  <c r="P144" i="1"/>
  <c r="H416" i="2" s="1"/>
  <c r="AO416" i="2" s="1"/>
  <c r="AP416" i="2" s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H410" i="2"/>
  <c r="AO410" i="2" s="1"/>
  <c r="AP410" i="2" s="1"/>
  <c r="P130" i="1"/>
  <c r="P129" i="1"/>
  <c r="P128" i="1"/>
  <c r="P127" i="1"/>
  <c r="P126" i="1"/>
  <c r="H408" i="2" s="1"/>
  <c r="AO408" i="2" s="1"/>
  <c r="AP408" i="2" s="1"/>
  <c r="P125" i="1"/>
  <c r="P124" i="1"/>
  <c r="H406" i="2" s="1"/>
  <c r="AO406" i="2" s="1"/>
  <c r="AP406" i="2" s="1"/>
  <c r="P123" i="1"/>
  <c r="P122" i="1"/>
  <c r="H400" i="2"/>
  <c r="AS400" i="2" s="1"/>
  <c r="H398" i="2"/>
  <c r="AS398" i="2" s="1"/>
  <c r="H397" i="2"/>
  <c r="AS397" i="2" s="1"/>
  <c r="AN396" i="2"/>
  <c r="AN397" i="2" s="1"/>
  <c r="H396" i="2"/>
  <c r="AS396" i="2" s="1"/>
  <c r="H395" i="2"/>
  <c r="AO395" i="2" s="1"/>
  <c r="AP395" i="2" s="1"/>
  <c r="P121" i="1"/>
  <c r="H404" i="2" s="1"/>
  <c r="AS404" i="2" s="1"/>
  <c r="P120" i="1"/>
  <c r="P119" i="1"/>
  <c r="H390" i="2"/>
  <c r="AS390" i="2" s="1"/>
  <c r="H388" i="2"/>
  <c r="AO388" i="2" s="1"/>
  <c r="AP388" i="2" s="1"/>
  <c r="P118" i="1"/>
  <c r="H402" i="2" s="1"/>
  <c r="AO402" i="2" s="1"/>
  <c r="AP402" i="2" s="1"/>
  <c r="P117" i="1"/>
  <c r="P116" i="1"/>
  <c r="P115" i="1"/>
  <c r="H399" i="2" s="1"/>
  <c r="AS399" i="2" s="1"/>
  <c r="P114" i="1"/>
  <c r="P113" i="1"/>
  <c r="P112" i="1"/>
  <c r="P111" i="1"/>
  <c r="P110" i="1"/>
  <c r="H393" i="2" s="1"/>
  <c r="AS393" i="2" s="1"/>
  <c r="H21" i="1"/>
  <c r="P106" i="1"/>
  <c r="H392" i="2" s="1"/>
  <c r="AO392" i="2" s="1"/>
  <c r="AP392" i="2" s="1"/>
  <c r="P105" i="1"/>
  <c r="H391" i="2" s="1"/>
  <c r="AO391" i="2" s="1"/>
  <c r="AP391" i="2" s="1"/>
  <c r="P104" i="1"/>
  <c r="H389" i="2" s="1"/>
  <c r="AS389" i="2" s="1"/>
  <c r="P103" i="1"/>
  <c r="P102" i="1"/>
  <c r="P101" i="1"/>
  <c r="P100" i="1"/>
  <c r="P99" i="1"/>
  <c r="P98" i="1"/>
  <c r="H385" i="2" s="1"/>
  <c r="H384" i="2"/>
  <c r="H383" i="2"/>
  <c r="P97" i="1"/>
  <c r="P96" i="1"/>
  <c r="H382" i="2"/>
  <c r="AS382" i="2" s="1"/>
  <c r="AN382" i="2"/>
  <c r="P95" i="1"/>
  <c r="P94" i="1"/>
  <c r="P93" i="1"/>
  <c r="H380" i="2" s="1"/>
  <c r="AS380" i="2" s="1"/>
  <c r="P92" i="1"/>
  <c r="H379" i="2" s="1"/>
  <c r="AO379" i="2" s="1"/>
  <c r="AP379" i="2" s="1"/>
  <c r="P91" i="1"/>
  <c r="H378" i="2" s="1"/>
  <c r="AS378" i="2" s="1"/>
  <c r="P90" i="1"/>
  <c r="P89" i="1"/>
  <c r="H376" i="2"/>
  <c r="AS376" i="2" s="1"/>
  <c r="AB372" i="2"/>
  <c r="Y372" i="2"/>
  <c r="Z372" i="2"/>
  <c r="AA372" i="2"/>
  <c r="X372" i="2"/>
  <c r="H371" i="2"/>
  <c r="AS371" i="2" s="1"/>
  <c r="H370" i="2"/>
  <c r="AS370" i="2" s="1"/>
  <c r="P88" i="1"/>
  <c r="H375" i="2" s="1"/>
  <c r="AS375" i="2" s="1"/>
  <c r="P77" i="1"/>
  <c r="P76" i="1"/>
  <c r="H365" i="2"/>
  <c r="AS365" i="2" s="1"/>
  <c r="P87" i="1"/>
  <c r="H374" i="2" s="1"/>
  <c r="AS374" i="2" s="1"/>
  <c r="P86" i="1"/>
  <c r="H373" i="2" s="1"/>
  <c r="AO373" i="2" s="1"/>
  <c r="AP373" i="2" s="1"/>
  <c r="P85" i="1"/>
  <c r="P84" i="1"/>
  <c r="P83" i="1"/>
  <c r="P82" i="1"/>
  <c r="P81" i="1"/>
  <c r="H369" i="2" s="1"/>
  <c r="AO369" i="2" s="1"/>
  <c r="AP369" i="2" s="1"/>
  <c r="P80" i="1"/>
  <c r="P79" i="1"/>
  <c r="P78" i="1"/>
  <c r="H20" i="1"/>
  <c r="J187" i="1"/>
  <c r="H366" i="2" s="1"/>
  <c r="AS366" i="2" s="1"/>
  <c r="J186" i="1"/>
  <c r="J185" i="1"/>
  <c r="J184" i="1"/>
  <c r="J183" i="1"/>
  <c r="H381" i="2" l="1"/>
  <c r="AO381" i="2" s="1"/>
  <c r="AP381" i="2" s="1"/>
  <c r="AO480" i="2"/>
  <c r="AP480" i="2" s="1"/>
  <c r="AO527" i="2"/>
  <c r="AP527" i="2" s="1"/>
  <c r="AS467" i="2"/>
  <c r="AS476" i="2"/>
  <c r="AO489" i="2"/>
  <c r="AP489" i="2" s="1"/>
  <c r="AS478" i="2"/>
  <c r="AS486" i="2"/>
  <c r="AO524" i="2"/>
  <c r="AP524" i="2" s="1"/>
  <c r="AO459" i="2"/>
  <c r="AP459" i="2" s="1"/>
  <c r="AO518" i="2"/>
  <c r="AP518" i="2" s="1"/>
  <c r="AS487" i="2"/>
  <c r="H362" i="2"/>
  <c r="AS362" i="2" s="1"/>
  <c r="H377" i="2"/>
  <c r="AS377" i="2" s="1"/>
  <c r="H394" i="2"/>
  <c r="AS394" i="2" s="1"/>
  <c r="H405" i="2"/>
  <c r="AS405" i="2" s="1"/>
  <c r="H413" i="2"/>
  <c r="AS413" i="2" s="1"/>
  <c r="AO457" i="2"/>
  <c r="AP457" i="2" s="1"/>
  <c r="AO528" i="2"/>
  <c r="AP528" i="2" s="1"/>
  <c r="H411" i="2"/>
  <c r="AS411" i="2" s="1"/>
  <c r="H412" i="2"/>
  <c r="AS412" i="2" s="1"/>
  <c r="H431" i="2"/>
  <c r="AS431" i="2" s="1"/>
  <c r="AS517" i="2"/>
  <c r="AS470" i="2"/>
  <c r="AS473" i="2"/>
  <c r="AO464" i="2"/>
  <c r="AP464" i="2" s="1"/>
  <c r="AO465" i="2"/>
  <c r="AP465" i="2" s="1"/>
  <c r="AO484" i="2"/>
  <c r="AP484" i="2" s="1"/>
  <c r="AO382" i="2"/>
  <c r="AP382" i="2" s="1"/>
  <c r="AS435" i="2"/>
  <c r="AO461" i="2"/>
  <c r="AP461" i="2" s="1"/>
  <c r="AO434" i="2"/>
  <c r="AP434" i="2" s="1"/>
  <c r="H409" i="2"/>
  <c r="AO409" i="2" s="1"/>
  <c r="AP409" i="2" s="1"/>
  <c r="H415" i="2"/>
  <c r="AO415" i="2" s="1"/>
  <c r="AP415" i="2" s="1"/>
  <c r="H386" i="2"/>
  <c r="AS386" i="2" s="1"/>
  <c r="H417" i="2"/>
  <c r="AO417" i="2" s="1"/>
  <c r="AP417" i="2" s="1"/>
  <c r="H414" i="2"/>
  <c r="AO414" i="2" s="1"/>
  <c r="AP414" i="2" s="1"/>
  <c r="H423" i="2"/>
  <c r="AO423" i="2" s="1"/>
  <c r="AP423" i="2" s="1"/>
  <c r="P188" i="1"/>
  <c r="I22" i="1" s="1"/>
  <c r="J22" i="1" s="1"/>
  <c r="K22" i="1" s="1"/>
  <c r="H427" i="2"/>
  <c r="AS427" i="2" s="1"/>
  <c r="AS428" i="2"/>
  <c r="AO428" i="2"/>
  <c r="AP428" i="2" s="1"/>
  <c r="H401" i="2"/>
  <c r="AS401" i="2" s="1"/>
  <c r="H403" i="2"/>
  <c r="AS403" i="2" s="1"/>
  <c r="P149" i="1"/>
  <c r="AO432" i="2"/>
  <c r="AP432" i="2" s="1"/>
  <c r="AO430" i="2"/>
  <c r="AP430" i="2" s="1"/>
  <c r="AO429" i="2"/>
  <c r="AP429" i="2" s="1"/>
  <c r="AS426" i="2"/>
  <c r="AO425" i="2"/>
  <c r="AP425" i="2" s="1"/>
  <c r="AO424" i="2"/>
  <c r="AP424" i="2" s="1"/>
  <c r="AO422" i="2"/>
  <c r="AP422" i="2" s="1"/>
  <c r="AO421" i="2"/>
  <c r="AP421" i="2" s="1"/>
  <c r="AO420" i="2"/>
  <c r="AP420" i="2" s="1"/>
  <c r="AS419" i="2"/>
  <c r="AS418" i="2"/>
  <c r="AS416" i="2"/>
  <c r="H372" i="2"/>
  <c r="AS372" i="2" s="1"/>
  <c r="P107" i="1"/>
  <c r="I20" i="1" s="1"/>
  <c r="J20" i="1" s="1"/>
  <c r="K20" i="1" s="1"/>
  <c r="H387" i="2"/>
  <c r="AO387" i="2" s="1"/>
  <c r="AP387" i="2" s="1"/>
  <c r="AS406" i="2"/>
  <c r="AS410" i="2"/>
  <c r="AS408" i="2"/>
  <c r="AO385" i="2"/>
  <c r="AP385" i="2" s="1"/>
  <c r="AS385" i="2"/>
  <c r="AO404" i="2"/>
  <c r="AP404" i="2" s="1"/>
  <c r="AS402" i="2"/>
  <c r="AO400" i="2"/>
  <c r="AP400" i="2" s="1"/>
  <c r="AO399" i="2"/>
  <c r="AP399" i="2" s="1"/>
  <c r="AO398" i="2"/>
  <c r="AP398" i="2" s="1"/>
  <c r="AO397" i="2"/>
  <c r="AP397" i="2" s="1"/>
  <c r="AO396" i="2"/>
  <c r="AP396" i="2" s="1"/>
  <c r="AS395" i="2"/>
  <c r="AO393" i="2"/>
  <c r="AP393" i="2" s="1"/>
  <c r="AS392" i="2"/>
  <c r="AS391" i="2"/>
  <c r="AO390" i="2"/>
  <c r="AP390" i="2" s="1"/>
  <c r="AO389" i="2"/>
  <c r="AP389" i="2" s="1"/>
  <c r="AS388" i="2"/>
  <c r="I21" i="1"/>
  <c r="J21" i="1" s="1"/>
  <c r="K21" i="1" s="1"/>
  <c r="AO378" i="2"/>
  <c r="AP378" i="2" s="1"/>
  <c r="AS381" i="2"/>
  <c r="AO380" i="2"/>
  <c r="AP380" i="2" s="1"/>
  <c r="AS379" i="2"/>
  <c r="H368" i="2"/>
  <c r="AS368" i="2" s="1"/>
  <c r="H364" i="2"/>
  <c r="AO364" i="2" s="1"/>
  <c r="AP364" i="2" s="1"/>
  <c r="H367" i="2"/>
  <c r="AS367" i="2" s="1"/>
  <c r="AO376" i="2"/>
  <c r="AP376" i="2" s="1"/>
  <c r="AO375" i="2"/>
  <c r="AP375" i="2" s="1"/>
  <c r="AS373" i="2"/>
  <c r="AO371" i="2"/>
  <c r="AP371" i="2" s="1"/>
  <c r="AO370" i="2"/>
  <c r="AP370" i="2" s="1"/>
  <c r="AS369" i="2"/>
  <c r="AO366" i="2"/>
  <c r="AP366" i="2" s="1"/>
  <c r="AO365" i="2"/>
  <c r="AP365" i="2" s="1"/>
  <c r="AO362" i="2"/>
  <c r="AP362" i="2" s="1"/>
  <c r="AO374" i="2"/>
  <c r="AP374" i="2" s="1"/>
  <c r="J182" i="1"/>
  <c r="J181" i="1"/>
  <c r="J180" i="1"/>
  <c r="J179" i="1"/>
  <c r="J178" i="1"/>
  <c r="J177" i="1"/>
  <c r="J176" i="1"/>
  <c r="J175" i="1"/>
  <c r="J174" i="1"/>
  <c r="H359" i="2" s="1"/>
  <c r="AS359" i="2" s="1"/>
  <c r="J173" i="1"/>
  <c r="H358" i="2"/>
  <c r="AS358" i="2" s="1"/>
  <c r="H357" i="2"/>
  <c r="AS357" i="2" s="1"/>
  <c r="J172" i="1"/>
  <c r="J171" i="1"/>
  <c r="J170" i="1"/>
  <c r="H355" i="2" s="1"/>
  <c r="AO394" i="2" l="1"/>
  <c r="AP394" i="2" s="1"/>
  <c r="AO377" i="2"/>
  <c r="AP377" i="2" s="1"/>
  <c r="AO412" i="2"/>
  <c r="AP412" i="2" s="1"/>
  <c r="AO411" i="2"/>
  <c r="AP411" i="2" s="1"/>
  <c r="AO405" i="2"/>
  <c r="AP405" i="2" s="1"/>
  <c r="AS417" i="2"/>
  <c r="AO413" i="2"/>
  <c r="AP413" i="2" s="1"/>
  <c r="AS415" i="2"/>
  <c r="AS423" i="2"/>
  <c r="AO431" i="2"/>
  <c r="AP431" i="2" s="1"/>
  <c r="AS409" i="2"/>
  <c r="AS414" i="2"/>
  <c r="AO386" i="2"/>
  <c r="AP386" i="2" s="1"/>
  <c r="AO401" i="2"/>
  <c r="AP401" i="2" s="1"/>
  <c r="AO427" i="2"/>
  <c r="AP427" i="2" s="1"/>
  <c r="AO372" i="2"/>
  <c r="AP372" i="2" s="1"/>
  <c r="AO403" i="2"/>
  <c r="AP403" i="2" s="1"/>
  <c r="AS387" i="2"/>
  <c r="AS364" i="2"/>
  <c r="AO368" i="2"/>
  <c r="AP368" i="2" s="1"/>
  <c r="H356" i="2"/>
  <c r="AS356" i="2" s="1"/>
  <c r="H360" i="2"/>
  <c r="H361" i="2"/>
  <c r="AO367" i="2"/>
  <c r="AP367" i="2" s="1"/>
  <c r="AO359" i="2"/>
  <c r="AP359" i="2" s="1"/>
  <c r="AO357" i="2"/>
  <c r="AP357" i="2" s="1"/>
  <c r="AO358" i="2"/>
  <c r="AP358" i="2" s="1"/>
  <c r="AS355" i="2"/>
  <c r="J169" i="1"/>
  <c r="H354" i="2" s="1"/>
  <c r="AS354" i="2" s="1"/>
  <c r="J168" i="1"/>
  <c r="J167" i="1"/>
  <c r="H353" i="2" s="1"/>
  <c r="AS353" i="2" s="1"/>
  <c r="H352" i="2"/>
  <c r="J166" i="1"/>
  <c r="J165" i="1"/>
  <c r="J164" i="1"/>
  <c r="J163" i="1"/>
  <c r="H343" i="2"/>
  <c r="AO343" i="2" s="1"/>
  <c r="AP343" i="2" s="1"/>
  <c r="J162" i="1"/>
  <c r="J161" i="1"/>
  <c r="J160" i="1"/>
  <c r="J159" i="1"/>
  <c r="J158" i="1"/>
  <c r="J157" i="1"/>
  <c r="J156" i="1"/>
  <c r="J155" i="1"/>
  <c r="J154" i="1"/>
  <c r="J153" i="1"/>
  <c r="H345" i="2" s="1"/>
  <c r="AS345" i="2" s="1"/>
  <c r="J152" i="1"/>
  <c r="J151" i="1"/>
  <c r="J150" i="1"/>
  <c r="J149" i="1"/>
  <c r="J148" i="1"/>
  <c r="J147" i="1"/>
  <c r="J146" i="1"/>
  <c r="H19" i="1"/>
  <c r="J142" i="1"/>
  <c r="J141" i="1"/>
  <c r="J140" i="1"/>
  <c r="J139" i="1"/>
  <c r="J138" i="1"/>
  <c r="J137" i="1"/>
  <c r="J136" i="1"/>
  <c r="J135" i="1"/>
  <c r="H338" i="2" s="1"/>
  <c r="AS338" i="2" s="1"/>
  <c r="J134" i="1"/>
  <c r="H337" i="2" s="1"/>
  <c r="AS337" i="2" s="1"/>
  <c r="J133" i="1"/>
  <c r="J132" i="1"/>
  <c r="J131" i="1"/>
  <c r="J130" i="1"/>
  <c r="H335" i="2"/>
  <c r="H334" i="2"/>
  <c r="H333" i="2"/>
  <c r="H332" i="2"/>
  <c r="H330" i="2"/>
  <c r="H329" i="2"/>
  <c r="H328" i="2"/>
  <c r="H327" i="2"/>
  <c r="H326" i="2"/>
  <c r="H325" i="2"/>
  <c r="H324" i="2"/>
  <c r="H322" i="2"/>
  <c r="H321" i="2"/>
  <c r="H320" i="2"/>
  <c r="J129" i="1"/>
  <c r="J128" i="1"/>
  <c r="H18" i="1"/>
  <c r="H346" i="2" l="1"/>
  <c r="AS346" i="2" s="1"/>
  <c r="H348" i="2"/>
  <c r="AS348" i="2" s="1"/>
  <c r="H350" i="2"/>
  <c r="AS350" i="2" s="1"/>
  <c r="H340" i="2"/>
  <c r="AS340" i="2" s="1"/>
  <c r="H351" i="2"/>
  <c r="AS351" i="2" s="1"/>
  <c r="J143" i="1"/>
  <c r="I18" i="1" s="1"/>
  <c r="J18" i="1" s="1"/>
  <c r="K18" i="1" s="1"/>
  <c r="H347" i="2"/>
  <c r="AS347" i="2" s="1"/>
  <c r="H344" i="2"/>
  <c r="AS344" i="2" s="1"/>
  <c r="AO356" i="2"/>
  <c r="AP356" i="2" s="1"/>
  <c r="H342" i="2"/>
  <c r="AS342" i="2" s="1"/>
  <c r="H349" i="2"/>
  <c r="AS349" i="2" s="1"/>
  <c r="AO361" i="2"/>
  <c r="AP361" i="2" s="1"/>
  <c r="AS361" i="2"/>
  <c r="AS360" i="2"/>
  <c r="AO360" i="2"/>
  <c r="AP360" i="2" s="1"/>
  <c r="H341" i="2"/>
  <c r="AS341" i="2" s="1"/>
  <c r="J188" i="1"/>
  <c r="I19" i="1" s="1"/>
  <c r="J19" i="1" s="1"/>
  <c r="K19" i="1" s="1"/>
  <c r="H336" i="2"/>
  <c r="AO336" i="2" s="1"/>
  <c r="AP336" i="2" s="1"/>
  <c r="H339" i="2"/>
  <c r="AO339" i="2" s="1"/>
  <c r="AP339" i="2" s="1"/>
  <c r="AO355" i="2"/>
  <c r="AP355" i="2" s="1"/>
  <c r="AO354" i="2"/>
  <c r="AP354" i="2" s="1"/>
  <c r="AO353" i="2"/>
  <c r="AP353" i="2" s="1"/>
  <c r="AO337" i="2"/>
  <c r="AP337" i="2" s="1"/>
  <c r="AS352" i="2"/>
  <c r="AO352" i="2"/>
  <c r="AP352" i="2" s="1"/>
  <c r="AO348" i="2"/>
  <c r="AP348" i="2" s="1"/>
  <c r="AO345" i="2"/>
  <c r="AP345" i="2" s="1"/>
  <c r="AS343" i="2"/>
  <c r="AO338" i="2"/>
  <c r="AP338" i="2" s="1"/>
  <c r="H318" i="2"/>
  <c r="AS318" i="2" s="1"/>
  <c r="H316" i="2"/>
  <c r="AS316" i="2" s="1"/>
  <c r="H314" i="2"/>
  <c r="AO314" i="2" s="1"/>
  <c r="AP314" i="2" s="1"/>
  <c r="H319" i="2"/>
  <c r="AO319" i="2" s="1"/>
  <c r="AP319" i="2" s="1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5" i="2"/>
  <c r="AS309" i="2"/>
  <c r="AO309" i="2"/>
  <c r="AP309" i="2" s="1"/>
  <c r="H274" i="2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H313" i="2" s="1"/>
  <c r="AO313" i="2" s="1"/>
  <c r="AP313" i="2" s="1"/>
  <c r="J111" i="1"/>
  <c r="J110" i="1"/>
  <c r="J109" i="1"/>
  <c r="J105" i="1"/>
  <c r="H311" i="2" s="1"/>
  <c r="AS311" i="2" s="1"/>
  <c r="J104" i="1"/>
  <c r="J103" i="1"/>
  <c r="J102" i="1"/>
  <c r="J101" i="1"/>
  <c r="H17" i="1"/>
  <c r="AO340" i="2" l="1"/>
  <c r="AP340" i="2" s="1"/>
  <c r="AO341" i="2"/>
  <c r="AP341" i="2" s="1"/>
  <c r="AO346" i="2"/>
  <c r="AP346" i="2" s="1"/>
  <c r="AO350" i="2"/>
  <c r="AP350" i="2" s="1"/>
  <c r="H310" i="2"/>
  <c r="AS310" i="2" s="1"/>
  <c r="H312" i="2"/>
  <c r="AO312" i="2" s="1"/>
  <c r="AP312" i="2" s="1"/>
  <c r="AO351" i="2"/>
  <c r="AP351" i="2" s="1"/>
  <c r="AO347" i="2"/>
  <c r="AP347" i="2" s="1"/>
  <c r="AO349" i="2"/>
  <c r="AP349" i="2" s="1"/>
  <c r="AO342" i="2"/>
  <c r="AP342" i="2" s="1"/>
  <c r="AO344" i="2"/>
  <c r="AP344" i="2" s="1"/>
  <c r="AS339" i="2"/>
  <c r="AS336" i="2"/>
  <c r="H315" i="2"/>
  <c r="AO315" i="2" s="1"/>
  <c r="AP315" i="2" s="1"/>
  <c r="H317" i="2"/>
  <c r="AS317" i="2" s="1"/>
  <c r="J125" i="1"/>
  <c r="I17" i="1" s="1"/>
  <c r="J17" i="1" s="1"/>
  <c r="K17" i="1" s="1"/>
  <c r="J106" i="1"/>
  <c r="I16" i="1" s="1"/>
  <c r="AO318" i="2"/>
  <c r="AP318" i="2" s="1"/>
  <c r="AO316" i="2"/>
  <c r="AP316" i="2" s="1"/>
  <c r="AS314" i="2"/>
  <c r="AS313" i="2"/>
  <c r="AS319" i="2"/>
  <c r="AO311" i="2"/>
  <c r="AP311" i="2" s="1"/>
  <c r="H16" i="1"/>
  <c r="H273" i="2"/>
  <c r="AS273" i="2" s="1"/>
  <c r="AO310" i="2" l="1"/>
  <c r="AP310" i="2" s="1"/>
  <c r="AS312" i="2"/>
  <c r="AS315" i="2"/>
  <c r="AO317" i="2"/>
  <c r="AP317" i="2" s="1"/>
  <c r="J16" i="1"/>
  <c r="K16" i="1" s="1"/>
  <c r="AO273" i="2"/>
  <c r="AP273" i="2" s="1"/>
  <c r="J98" i="1"/>
  <c r="J97" i="1"/>
  <c r="H270" i="2"/>
  <c r="AO270" i="2" s="1"/>
  <c r="AP270" i="2" s="1"/>
  <c r="J96" i="1"/>
  <c r="H271" i="2" s="1"/>
  <c r="AO271" i="2" s="1"/>
  <c r="AP271" i="2" s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H15" i="1"/>
  <c r="J79" i="1"/>
  <c r="H263" i="2" s="1"/>
  <c r="AO263" i="2" s="1"/>
  <c r="AP263" i="2" s="1"/>
  <c r="J78" i="1"/>
  <c r="J77" i="1"/>
  <c r="J76" i="1"/>
  <c r="J75" i="1"/>
  <c r="H261" i="2" s="1"/>
  <c r="AS261" i="2" s="1"/>
  <c r="J74" i="1"/>
  <c r="J73" i="1"/>
  <c r="J72" i="1"/>
  <c r="J71" i="1"/>
  <c r="J70" i="1"/>
  <c r="J69" i="1"/>
  <c r="J68" i="1"/>
  <c r="H258" i="2" s="1"/>
  <c r="J67" i="1"/>
  <c r="H257" i="2" s="1"/>
  <c r="AS257" i="2" s="1"/>
  <c r="J66" i="1"/>
  <c r="J65" i="1"/>
  <c r="J64" i="1"/>
  <c r="J63" i="1"/>
  <c r="H255" i="2"/>
  <c r="AS255" i="2" s="1"/>
  <c r="H253" i="2"/>
  <c r="AO253" i="2" s="1"/>
  <c r="AP253" i="2" s="1"/>
  <c r="J62" i="1"/>
  <c r="H254" i="2" s="1"/>
  <c r="AS254" i="2" s="1"/>
  <c r="J61" i="1"/>
  <c r="J60" i="1"/>
  <c r="H252" i="2" s="1"/>
  <c r="AO252" i="2" s="1"/>
  <c r="AP252" i="2" s="1"/>
  <c r="J59" i="1"/>
  <c r="H251" i="2" s="1"/>
  <c r="AS251" i="2" s="1"/>
  <c r="H250" i="2"/>
  <c r="H260" i="2" l="1"/>
  <c r="AO260" i="2" s="1"/>
  <c r="AP260" i="2" s="1"/>
  <c r="H262" i="2"/>
  <c r="AS262" i="2" s="1"/>
  <c r="H259" i="2"/>
  <c r="AS259" i="2" s="1"/>
  <c r="H256" i="2"/>
  <c r="AO256" i="2" s="1"/>
  <c r="AP256" i="2" s="1"/>
  <c r="H266" i="2"/>
  <c r="AS266" i="2" s="1"/>
  <c r="H267" i="2"/>
  <c r="AS267" i="2" s="1"/>
  <c r="H269" i="2"/>
  <c r="AS269" i="2" s="1"/>
  <c r="H272" i="2"/>
  <c r="AO272" i="2" s="1"/>
  <c r="AP272" i="2" s="1"/>
  <c r="H265" i="2"/>
  <c r="AO265" i="2" s="1"/>
  <c r="AP265" i="2" s="1"/>
  <c r="H268" i="2"/>
  <c r="AS268" i="2" s="1"/>
  <c r="J99" i="1"/>
  <c r="I15" i="1" s="1"/>
  <c r="J15" i="1" s="1"/>
  <c r="K15" i="1" s="1"/>
  <c r="H264" i="2"/>
  <c r="AO264" i="2" s="1"/>
  <c r="AP264" i="2" s="1"/>
  <c r="AO258" i="2"/>
  <c r="AP258" i="2" s="1"/>
  <c r="AS258" i="2"/>
  <c r="AS271" i="2"/>
  <c r="AS270" i="2"/>
  <c r="AS263" i="2"/>
  <c r="AO262" i="2"/>
  <c r="AP262" i="2" s="1"/>
  <c r="AO261" i="2"/>
  <c r="AP261" i="2" s="1"/>
  <c r="AO257" i="2"/>
  <c r="AP257" i="2" s="1"/>
  <c r="AS253" i="2"/>
  <c r="AO255" i="2"/>
  <c r="AP255" i="2" s="1"/>
  <c r="AO254" i="2"/>
  <c r="AP254" i="2" s="1"/>
  <c r="AS252" i="2"/>
  <c r="AO251" i="2"/>
  <c r="AP251" i="2" s="1"/>
  <c r="J58" i="1"/>
  <c r="H249" i="2" s="1"/>
  <c r="AO249" i="2" s="1"/>
  <c r="AP249" i="2" s="1"/>
  <c r="H246" i="2"/>
  <c r="AS246" i="2" s="1"/>
  <c r="H244" i="2"/>
  <c r="AS244" i="2" s="1"/>
  <c r="J57" i="1"/>
  <c r="AS250" i="2"/>
  <c r="AO250" i="2"/>
  <c r="AP250" i="2" s="1"/>
  <c r="H242" i="2"/>
  <c r="AS242" i="2" s="1"/>
  <c r="H240" i="2"/>
  <c r="AS240" i="2" s="1"/>
  <c r="H239" i="2"/>
  <c r="AS239" i="2" s="1"/>
  <c r="J56" i="1"/>
  <c r="J55" i="1"/>
  <c r="J54" i="1"/>
  <c r="J53" i="1"/>
  <c r="J52" i="1"/>
  <c r="J51" i="1"/>
  <c r="J50" i="1"/>
  <c r="J49" i="1"/>
  <c r="J48" i="1"/>
  <c r="J47" i="1"/>
  <c r="J46" i="1"/>
  <c r="H243" i="2" s="1"/>
  <c r="AS243" i="2" s="1"/>
  <c r="J45" i="1"/>
  <c r="J44" i="1"/>
  <c r="J43" i="1"/>
  <c r="H14" i="1"/>
  <c r="E190" i="1"/>
  <c r="E189" i="1"/>
  <c r="H238" i="2" s="1"/>
  <c r="AO238" i="2" s="1"/>
  <c r="AP238" i="2" s="1"/>
  <c r="E188" i="1"/>
  <c r="E187" i="1"/>
  <c r="H237" i="2" s="1"/>
  <c r="AS237" i="2" s="1"/>
  <c r="E186" i="1"/>
  <c r="H236" i="2" s="1"/>
  <c r="AS236" i="2" s="1"/>
  <c r="E185" i="1"/>
  <c r="E184" i="1"/>
  <c r="E183" i="1"/>
  <c r="E182" i="1"/>
  <c r="E181" i="1"/>
  <c r="H234" i="2" s="1"/>
  <c r="H233" i="2"/>
  <c r="AS233" i="2" s="1"/>
  <c r="AS260" i="2" l="1"/>
  <c r="H245" i="2"/>
  <c r="AS245" i="2" s="1"/>
  <c r="AS256" i="2"/>
  <c r="AO259" i="2"/>
  <c r="AP259" i="2" s="1"/>
  <c r="J80" i="1"/>
  <c r="I14" i="1" s="1"/>
  <c r="J14" i="1" s="1"/>
  <c r="K14" i="1" s="1"/>
  <c r="H248" i="2"/>
  <c r="AS248" i="2" s="1"/>
  <c r="AO268" i="2"/>
  <c r="AP268" i="2" s="1"/>
  <c r="H247" i="2"/>
  <c r="AS247" i="2" s="1"/>
  <c r="AS272" i="2"/>
  <c r="AS264" i="2"/>
  <c r="AO267" i="2"/>
  <c r="AP267" i="2" s="1"/>
  <c r="AO266" i="2"/>
  <c r="AP266" i="2" s="1"/>
  <c r="AS265" i="2"/>
  <c r="AO269" i="2"/>
  <c r="AP269" i="2" s="1"/>
  <c r="AO246" i="2"/>
  <c r="AP246" i="2" s="1"/>
  <c r="AO244" i="2"/>
  <c r="AP244" i="2" s="1"/>
  <c r="AO243" i="2"/>
  <c r="AP243" i="2" s="1"/>
  <c r="AS249" i="2"/>
  <c r="AO242" i="2"/>
  <c r="AP242" i="2" s="1"/>
  <c r="H241" i="2"/>
  <c r="AS241" i="2" s="1"/>
  <c r="H235" i="2"/>
  <c r="AO235" i="2" s="1"/>
  <c r="AP235" i="2" s="1"/>
  <c r="AO234" i="2"/>
  <c r="AP234" i="2" s="1"/>
  <c r="AS234" i="2"/>
  <c r="AO233" i="2"/>
  <c r="AP233" i="2" s="1"/>
  <c r="AO236" i="2"/>
  <c r="AP236" i="2" s="1"/>
  <c r="AO240" i="2"/>
  <c r="AP240" i="2" s="1"/>
  <c r="AO239" i="2"/>
  <c r="AP239" i="2" s="1"/>
  <c r="AS238" i="2"/>
  <c r="AO237" i="2"/>
  <c r="AP237" i="2" s="1"/>
  <c r="H232" i="2"/>
  <c r="AS232" i="2" s="1"/>
  <c r="E180" i="1"/>
  <c r="E179" i="1"/>
  <c r="E178" i="1"/>
  <c r="E177" i="1"/>
  <c r="H229" i="2"/>
  <c r="AS229" i="2" s="1"/>
  <c r="E176" i="1"/>
  <c r="AO247" i="2" l="1"/>
  <c r="AP247" i="2" s="1"/>
  <c r="AO245" i="2"/>
  <c r="AP245" i="2" s="1"/>
  <c r="AO248" i="2"/>
  <c r="AP248" i="2" s="1"/>
  <c r="H231" i="2"/>
  <c r="AO231" i="2" s="1"/>
  <c r="AP231" i="2" s="1"/>
  <c r="AO241" i="2"/>
  <c r="AP241" i="2" s="1"/>
  <c r="AS235" i="2"/>
  <c r="H230" i="2"/>
  <c r="AO230" i="2" s="1"/>
  <c r="AP230" i="2" s="1"/>
  <c r="AO232" i="2"/>
  <c r="AP232" i="2" s="1"/>
  <c r="AO229" i="2"/>
  <c r="AP229" i="2" s="1"/>
  <c r="E175" i="1"/>
  <c r="E174" i="1"/>
  <c r="E173" i="1"/>
  <c r="E172" i="1"/>
  <c r="E171" i="1"/>
  <c r="H227" i="2" s="1"/>
  <c r="AS227" i="2" s="1"/>
  <c r="E170" i="1"/>
  <c r="E169" i="1"/>
  <c r="E168" i="1"/>
  <c r="AN219" i="2"/>
  <c r="E167" i="1"/>
  <c r="H225" i="2" s="1"/>
  <c r="AS225" i="2" s="1"/>
  <c r="H223" i="2"/>
  <c r="AS223" i="2" s="1"/>
  <c r="H220" i="2"/>
  <c r="AS220" i="2" s="1"/>
  <c r="H219" i="2"/>
  <c r="AS219" i="2" s="1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E166" i="1"/>
  <c r="H224" i="2" s="1"/>
  <c r="AS224" i="2" s="1"/>
  <c r="E165" i="1"/>
  <c r="E164" i="1"/>
  <c r="E163" i="1"/>
  <c r="H221" i="2" s="1"/>
  <c r="AS221" i="2" s="1"/>
  <c r="E162" i="1"/>
  <c r="H13" i="1"/>
  <c r="AO223" i="2" l="1"/>
  <c r="AP223" i="2" s="1"/>
  <c r="AO219" i="2"/>
  <c r="AP219" i="2" s="1"/>
  <c r="AO220" i="2"/>
  <c r="AP220" i="2" s="1"/>
  <c r="H228" i="2"/>
  <c r="AO228" i="2" s="1"/>
  <c r="AP228" i="2" s="1"/>
  <c r="AS231" i="2"/>
  <c r="AS230" i="2"/>
  <c r="H222" i="2"/>
  <c r="AO222" i="2" s="1"/>
  <c r="AP222" i="2" s="1"/>
  <c r="H226" i="2"/>
  <c r="AS226" i="2" s="1"/>
  <c r="E191" i="1"/>
  <c r="I13" i="1" s="1"/>
  <c r="AO221" i="2"/>
  <c r="AP221" i="2" s="1"/>
  <c r="AO225" i="2"/>
  <c r="AP225" i="2" s="1"/>
  <c r="AO224" i="2"/>
  <c r="AP224" i="2" s="1"/>
  <c r="AO227" i="2"/>
  <c r="AP227" i="2" s="1"/>
  <c r="C7" i="4"/>
  <c r="D7" i="4" s="1"/>
  <c r="AS228" i="2" l="1"/>
  <c r="AO226" i="2"/>
  <c r="AP226" i="2" s="1"/>
  <c r="AS222" i="2"/>
  <c r="J13" i="1"/>
  <c r="K13" i="1" s="1"/>
  <c r="F7" i="4"/>
  <c r="E7" i="4"/>
  <c r="H204" i="2"/>
  <c r="AO204" i="2" s="1"/>
  <c r="AP204" i="2" s="1"/>
  <c r="H200" i="2"/>
  <c r="H199" i="2"/>
  <c r="AN198" i="2"/>
  <c r="H197" i="2"/>
  <c r="H194" i="2"/>
  <c r="AO194" i="2" s="1"/>
  <c r="AP194" i="2" s="1"/>
  <c r="H191" i="2"/>
  <c r="AO191" i="2" s="1"/>
  <c r="AP191" i="2" s="1"/>
  <c r="AN190" i="2"/>
  <c r="H190" i="2"/>
  <c r="AO190" i="2" s="1"/>
  <c r="AP190" i="2" s="1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E158" i="1"/>
  <c r="E157" i="1"/>
  <c r="E156" i="1"/>
  <c r="E155" i="1"/>
  <c r="E154" i="1"/>
  <c r="E153" i="1"/>
  <c r="E142" i="1"/>
  <c r="E143" i="1"/>
  <c r="E144" i="1"/>
  <c r="E145" i="1"/>
  <c r="H193" i="2" s="1"/>
  <c r="E146" i="1"/>
  <c r="E147" i="1"/>
  <c r="H196" i="2" s="1"/>
  <c r="E148" i="1"/>
  <c r="H198" i="2" s="1"/>
  <c r="E149" i="1"/>
  <c r="E150" i="1"/>
  <c r="E151" i="1"/>
  <c r="H201" i="2" s="1"/>
  <c r="E152" i="1"/>
  <c r="E141" i="1"/>
  <c r="E136" i="1"/>
  <c r="E137" i="1" s="1"/>
  <c r="I11" i="1" s="1"/>
  <c r="E140" i="1"/>
  <c r="H12" i="1"/>
  <c r="H11" i="1"/>
  <c r="H202" i="2" l="1"/>
  <c r="AS202" i="2" s="1"/>
  <c r="AS190" i="2"/>
  <c r="AS191" i="2"/>
  <c r="AS204" i="2"/>
  <c r="H192" i="2"/>
  <c r="AS192" i="2" s="1"/>
  <c r="H203" i="2"/>
  <c r="AS203" i="2" s="1"/>
  <c r="AS196" i="2"/>
  <c r="AO196" i="2"/>
  <c r="AP196" i="2" s="1"/>
  <c r="AS200" i="2"/>
  <c r="AO200" i="2"/>
  <c r="AP200" i="2" s="1"/>
  <c r="AS193" i="2"/>
  <c r="AO193" i="2"/>
  <c r="AP193" i="2" s="1"/>
  <c r="AO197" i="2"/>
  <c r="AP197" i="2" s="1"/>
  <c r="AS198" i="2"/>
  <c r="AO198" i="2"/>
  <c r="AP198" i="2" s="1"/>
  <c r="AS201" i="2"/>
  <c r="AO201" i="2"/>
  <c r="AP201" i="2" s="1"/>
  <c r="AS194" i="2"/>
  <c r="AO199" i="2"/>
  <c r="AP199" i="2" s="1"/>
  <c r="AS199" i="2"/>
  <c r="AS197" i="2"/>
  <c r="E159" i="1"/>
  <c r="I12" i="1" s="1"/>
  <c r="J11" i="1"/>
  <c r="K11" i="1" s="1"/>
  <c r="AA160" i="2"/>
  <c r="W160" i="2"/>
  <c r="H158" i="2"/>
  <c r="AO158" i="2" s="1"/>
  <c r="AN155" i="2"/>
  <c r="W155" i="2"/>
  <c r="H155" i="2"/>
  <c r="AO155" i="2" s="1"/>
  <c r="H153" i="2"/>
  <c r="H152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E133" i="1"/>
  <c r="H161" i="2" s="1"/>
  <c r="E132" i="1"/>
  <c r="H160" i="2" s="1"/>
  <c r="E131" i="1"/>
  <c r="E130" i="1"/>
  <c r="E129" i="1"/>
  <c r="E128" i="1"/>
  <c r="E127" i="1"/>
  <c r="E126" i="1"/>
  <c r="E125" i="1"/>
  <c r="E124" i="1"/>
  <c r="H156" i="2" s="1"/>
  <c r="AO156" i="2" s="1"/>
  <c r="E123" i="1"/>
  <c r="E122" i="1"/>
  <c r="H154" i="2" s="1"/>
  <c r="E121" i="1"/>
  <c r="E120" i="1"/>
  <c r="H151" i="2" s="1"/>
  <c r="E119" i="1"/>
  <c r="E118" i="1"/>
  <c r="AO202" i="2" l="1"/>
  <c r="AP202" i="2" s="1"/>
  <c r="AO192" i="2"/>
  <c r="AP192" i="2" s="1"/>
  <c r="H157" i="2"/>
  <c r="AO157" i="2" s="1"/>
  <c r="AP157" i="2" s="1"/>
  <c r="H150" i="2"/>
  <c r="AO150" i="2" s="1"/>
  <c r="AP150" i="2" s="1"/>
  <c r="AO203" i="2"/>
  <c r="AP203" i="2" s="1"/>
  <c r="J12" i="1"/>
  <c r="K12" i="1" s="1"/>
  <c r="AO153" i="2"/>
  <c r="AP153" i="2" s="1"/>
  <c r="AO154" i="2"/>
  <c r="AP154" i="2" s="1"/>
  <c r="AS151" i="2"/>
  <c r="AO151" i="2"/>
  <c r="AP151" i="2" s="1"/>
  <c r="AO152" i="2"/>
  <c r="AP152" i="2" s="1"/>
  <c r="AS160" i="2"/>
  <c r="AO160" i="2"/>
  <c r="AP160" i="2" s="1"/>
  <c r="AS161" i="2"/>
  <c r="AO161" i="2"/>
  <c r="AP161" i="2" s="1"/>
  <c r="H159" i="2"/>
  <c r="AS159" i="2" s="1"/>
  <c r="AS152" i="2"/>
  <c r="AS154" i="2"/>
  <c r="AS153" i="2"/>
  <c r="AS155" i="2"/>
  <c r="AS156" i="2"/>
  <c r="AS158" i="2"/>
  <c r="AP155" i="2"/>
  <c r="AP156" i="2"/>
  <c r="AP158" i="2"/>
  <c r="E117" i="1"/>
  <c r="E116" i="1"/>
  <c r="E115" i="1"/>
  <c r="E112" i="1"/>
  <c r="I9" i="1" s="1"/>
  <c r="H10" i="1"/>
  <c r="H9" i="1"/>
  <c r="AS150" i="2" l="1"/>
  <c r="AS157" i="2"/>
  <c r="J9" i="1"/>
  <c r="K9" i="1" s="1"/>
  <c r="AO159" i="2"/>
  <c r="AP159" i="2" s="1"/>
  <c r="E134" i="1"/>
  <c r="I10" i="1" s="1"/>
  <c r="J10" i="1" s="1"/>
  <c r="K10" i="1" s="1"/>
  <c r="E106" i="1"/>
  <c r="H101" i="2"/>
  <c r="AO101" i="2" s="1"/>
  <c r="H130" i="2"/>
  <c r="AO130" i="2" s="1"/>
  <c r="AP130" i="2" s="1"/>
  <c r="AN129" i="2"/>
  <c r="AN126" i="2"/>
  <c r="H124" i="2"/>
  <c r="H123" i="2"/>
  <c r="AS130" i="2" l="1"/>
  <c r="H122" i="2"/>
  <c r="H121" i="2"/>
  <c r="AS101" i="2" l="1"/>
  <c r="AP101" i="2"/>
  <c r="W94" i="2"/>
  <c r="AN98" i="2"/>
  <c r="AN94" i="2"/>
  <c r="E105" i="1" l="1"/>
  <c r="H117" i="2"/>
  <c r="H116" i="2"/>
  <c r="H115" i="2"/>
  <c r="H114" i="2"/>
  <c r="H113" i="2"/>
  <c r="H112" i="2"/>
  <c r="H111" i="2"/>
  <c r="H110" i="2"/>
  <c r="H109" i="2"/>
  <c r="H108" i="2"/>
  <c r="E104" i="1"/>
  <c r="H134" i="2" s="1"/>
  <c r="AO134" i="2" s="1"/>
  <c r="H106" i="2"/>
  <c r="AO106" i="2" s="1"/>
  <c r="AP106" i="2" s="1"/>
  <c r="AS106" i="2" l="1"/>
  <c r="AP134" i="2"/>
  <c r="AS134" i="2"/>
  <c r="H104" i="2"/>
  <c r="E103" i="1"/>
  <c r="E102" i="1"/>
  <c r="E101" i="1"/>
  <c r="H132" i="2" s="1"/>
  <c r="AO132" i="2" s="1"/>
  <c r="E100" i="1"/>
  <c r="H131" i="2" s="1"/>
  <c r="AO131" i="2" s="1"/>
  <c r="E99" i="1"/>
  <c r="H129" i="2" s="1"/>
  <c r="AO129" i="2" s="1"/>
  <c r="E98" i="1"/>
  <c r="E97" i="1"/>
  <c r="E96" i="1"/>
  <c r="E95" i="1"/>
  <c r="H127" i="2" s="1"/>
  <c r="AO127" i="2" s="1"/>
  <c r="E94" i="1"/>
  <c r="H126" i="2" s="1"/>
  <c r="AO126" i="2" s="1"/>
  <c r="E93" i="1"/>
  <c r="E92" i="1"/>
  <c r="E91" i="1"/>
  <c r="E87" i="1"/>
  <c r="H107" i="2" s="1"/>
  <c r="AO107" i="2" s="1"/>
  <c r="E83" i="1"/>
  <c r="E84" i="1"/>
  <c r="E85" i="1"/>
  <c r="E86" i="1"/>
  <c r="H105" i="2" s="1"/>
  <c r="AO105" i="2" s="1"/>
  <c r="H8" i="1"/>
  <c r="H7" i="1"/>
  <c r="H99" i="2"/>
  <c r="H97" i="2"/>
  <c r="AO97" i="2" s="1"/>
  <c r="H96" i="2"/>
  <c r="AO96" i="2" s="1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E79" i="1"/>
  <c r="E80" i="1"/>
  <c r="E78" i="1"/>
  <c r="H102" i="2" s="1"/>
  <c r="AO102" i="2" s="1"/>
  <c r="E74" i="1"/>
  <c r="E73" i="1"/>
  <c r="E72" i="1"/>
  <c r="E71" i="1"/>
  <c r="E70" i="1"/>
  <c r="E69" i="1"/>
  <c r="E68" i="1"/>
  <c r="H98" i="2" s="1"/>
  <c r="AO98" i="2" s="1"/>
  <c r="E67" i="1"/>
  <c r="E66" i="1"/>
  <c r="E65" i="1"/>
  <c r="E63" i="1"/>
  <c r="H94" i="2" s="1"/>
  <c r="AO94" i="2" s="1"/>
  <c r="E64" i="1"/>
  <c r="H95" i="2" s="1"/>
  <c r="AO95" i="2" s="1"/>
  <c r="E60" i="1"/>
  <c r="E61" i="1"/>
  <c r="E62" i="1"/>
  <c r="E59" i="1"/>
  <c r="E58" i="1"/>
  <c r="E57" i="1"/>
  <c r="E56" i="1"/>
  <c r="E55" i="1"/>
  <c r="E54" i="1"/>
  <c r="E53" i="1"/>
  <c r="E52" i="1"/>
  <c r="E51" i="1"/>
  <c r="H6" i="1"/>
  <c r="E50" i="1"/>
  <c r="E49" i="1"/>
  <c r="H5" i="1"/>
  <c r="E45" i="1"/>
  <c r="E44" i="1"/>
  <c r="E43" i="1"/>
  <c r="H4" i="1"/>
  <c r="H6" i="2"/>
  <c r="H39" i="1" l="1"/>
  <c r="H133" i="2"/>
  <c r="AO133" i="2" s="1"/>
  <c r="AP133" i="2" s="1"/>
  <c r="E46" i="1"/>
  <c r="I4" i="1" s="1"/>
  <c r="AO99" i="2"/>
  <c r="AP99" i="2" s="1"/>
  <c r="AS99" i="2"/>
  <c r="E75" i="1"/>
  <c r="I5" i="1" s="1"/>
  <c r="J5" i="1" s="1"/>
  <c r="K5" i="1" s="1"/>
  <c r="E107" i="1"/>
  <c r="I8" i="1" s="1"/>
  <c r="J8" i="1" s="1"/>
  <c r="AS127" i="2"/>
  <c r="AP127" i="2"/>
  <c r="AP129" i="2"/>
  <c r="AS129" i="2"/>
  <c r="E88" i="1"/>
  <c r="I7" i="1" s="1"/>
  <c r="J7" i="1" s="1"/>
  <c r="K7" i="1" s="1"/>
  <c r="H128" i="2"/>
  <c r="AO128" i="2" s="1"/>
  <c r="AS131" i="2"/>
  <c r="AP131" i="2"/>
  <c r="AP132" i="2"/>
  <c r="AS132" i="2"/>
  <c r="AP126" i="2"/>
  <c r="AS126" i="2"/>
  <c r="AP105" i="2"/>
  <c r="AQ105" i="2" s="1"/>
  <c r="AQ106" i="2" s="1"/>
  <c r="AR105" i="2"/>
  <c r="AR106" i="2" s="1"/>
  <c r="AR107" i="2" s="1"/>
  <c r="AR126" i="2" s="1"/>
  <c r="AR127" i="2" s="1"/>
  <c r="AS105" i="2"/>
  <c r="AT105" i="2" s="1"/>
  <c r="AT106" i="2" s="1"/>
  <c r="E81" i="1"/>
  <c r="I6" i="1" s="1"/>
  <c r="J6" i="1" s="1"/>
  <c r="K6" i="1" s="1"/>
  <c r="AP107" i="2"/>
  <c r="AS107" i="2"/>
  <c r="H100" i="2"/>
  <c r="AO100" i="2" s="1"/>
  <c r="AP94" i="2"/>
  <c r="AQ94" i="2" s="1"/>
  <c r="AR94" i="2"/>
  <c r="AR95" i="2" s="1"/>
  <c r="AR96" i="2" s="1"/>
  <c r="AR97" i="2" s="1"/>
  <c r="AR98" i="2" s="1"/>
  <c r="AR99" i="2" s="1"/>
  <c r="AS94" i="2"/>
  <c r="AT94" i="2" s="1"/>
  <c r="AS102" i="2"/>
  <c r="AP102" i="2"/>
  <c r="AS98" i="2"/>
  <c r="AP98" i="2"/>
  <c r="AS97" i="2"/>
  <c r="AP97" i="2"/>
  <c r="AS96" i="2"/>
  <c r="AP96" i="2"/>
  <c r="AP95" i="2"/>
  <c r="AS95" i="2"/>
  <c r="J4" i="1" l="1"/>
  <c r="I39" i="1"/>
  <c r="AS133" i="2"/>
  <c r="AT107" i="2"/>
  <c r="AT126" i="2" s="1"/>
  <c r="AT127" i="2" s="1"/>
  <c r="AR100" i="2"/>
  <c r="AR101" i="2" s="1"/>
  <c r="AR102" i="2" s="1"/>
  <c r="AQ107" i="2"/>
  <c r="AQ126" i="2" s="1"/>
  <c r="AQ127" i="2" s="1"/>
  <c r="AQ95" i="2"/>
  <c r="AQ96" i="2" s="1"/>
  <c r="AQ97" i="2" s="1"/>
  <c r="AQ98" i="2" s="1"/>
  <c r="AQ99" i="2" s="1"/>
  <c r="AR128" i="2"/>
  <c r="AR129" i="2" s="1"/>
  <c r="AR130" i="2" s="1"/>
  <c r="AR131" i="2" s="1"/>
  <c r="AR132" i="2" s="1"/>
  <c r="AR133" i="2" s="1"/>
  <c r="AR134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90" i="2" s="1"/>
  <c r="AR191" i="2" s="1"/>
  <c r="AR192" i="2" s="1"/>
  <c r="AR193" i="2" s="1"/>
  <c r="AR194" i="2" s="1"/>
  <c r="AR196" i="2" s="1"/>
  <c r="AR197" i="2" s="1"/>
  <c r="AR198" i="2" s="1"/>
  <c r="AR199" i="2" s="1"/>
  <c r="AR200" i="2" s="1"/>
  <c r="AR201" i="2" s="1"/>
  <c r="AR202" i="2" s="1"/>
  <c r="AR203" i="2" s="1"/>
  <c r="AR204" i="2" s="1"/>
  <c r="AR219" i="2" s="1"/>
  <c r="AR220" i="2" s="1"/>
  <c r="AR221" i="2" s="1"/>
  <c r="AR222" i="2" s="1"/>
  <c r="AR223" i="2" s="1"/>
  <c r="AR224" i="2" s="1"/>
  <c r="AR225" i="2" s="1"/>
  <c r="AR226" i="2" s="1"/>
  <c r="AR227" i="2" s="1"/>
  <c r="AR228" i="2" s="1"/>
  <c r="AR229" i="2" s="1"/>
  <c r="AR230" i="2" s="1"/>
  <c r="AR231" i="2" s="1"/>
  <c r="AR232" i="2" s="1"/>
  <c r="AR233" i="2" s="1"/>
  <c r="AR234" i="2" s="1"/>
  <c r="AR235" i="2" s="1"/>
  <c r="AR236" i="2" s="1"/>
  <c r="AR237" i="2" s="1"/>
  <c r="AR238" i="2" s="1"/>
  <c r="AR239" i="2" s="1"/>
  <c r="AR240" i="2" s="1"/>
  <c r="AR241" i="2" s="1"/>
  <c r="AR242" i="2" s="1"/>
  <c r="AR243" i="2" s="1"/>
  <c r="AR244" i="2" s="1"/>
  <c r="AR245" i="2" s="1"/>
  <c r="AR246" i="2" s="1"/>
  <c r="AR247" i="2" s="1"/>
  <c r="AR248" i="2" s="1"/>
  <c r="AR249" i="2" s="1"/>
  <c r="AR250" i="2" s="1"/>
  <c r="AR251" i="2" s="1"/>
  <c r="AR252" i="2" s="1"/>
  <c r="AR253" i="2" s="1"/>
  <c r="AR254" i="2" s="1"/>
  <c r="AR255" i="2" s="1"/>
  <c r="AR256" i="2" s="1"/>
  <c r="AR257" i="2" s="1"/>
  <c r="AR258" i="2" s="1"/>
  <c r="AR259" i="2" s="1"/>
  <c r="AR260" i="2" s="1"/>
  <c r="AR261" i="2" s="1"/>
  <c r="AR262" i="2" s="1"/>
  <c r="AR263" i="2" s="1"/>
  <c r="AR264" i="2" s="1"/>
  <c r="AR265" i="2" s="1"/>
  <c r="AR266" i="2" s="1"/>
  <c r="AR267" i="2" s="1"/>
  <c r="AR268" i="2" s="1"/>
  <c r="AR269" i="2" s="1"/>
  <c r="AR270" i="2" s="1"/>
  <c r="AR271" i="2" s="1"/>
  <c r="AR272" i="2" s="1"/>
  <c r="AR273" i="2" s="1"/>
  <c r="AR309" i="2" s="1"/>
  <c r="AR310" i="2" s="1"/>
  <c r="AR311" i="2" s="1"/>
  <c r="AR312" i="2" s="1"/>
  <c r="AR313" i="2" s="1"/>
  <c r="AR314" i="2" s="1"/>
  <c r="AR315" i="2" s="1"/>
  <c r="AR316" i="2" s="1"/>
  <c r="AR317" i="2" s="1"/>
  <c r="AR318" i="2" s="1"/>
  <c r="AR319" i="2" s="1"/>
  <c r="AR336" i="2" s="1"/>
  <c r="AR337" i="2" s="1"/>
  <c r="AR338" i="2" s="1"/>
  <c r="AR339" i="2" s="1"/>
  <c r="AR340" i="2" s="1"/>
  <c r="AR341" i="2" s="1"/>
  <c r="AR342" i="2" s="1"/>
  <c r="AR343" i="2" s="1"/>
  <c r="AR344" i="2" s="1"/>
  <c r="AR345" i="2" s="1"/>
  <c r="AR346" i="2" s="1"/>
  <c r="AR347" i="2" s="1"/>
  <c r="AR348" i="2" s="1"/>
  <c r="AR349" i="2" s="1"/>
  <c r="AR350" i="2" s="1"/>
  <c r="AR351" i="2" s="1"/>
  <c r="AR352" i="2" s="1"/>
  <c r="AR353" i="2" s="1"/>
  <c r="AR354" i="2" s="1"/>
  <c r="AR355" i="2" s="1"/>
  <c r="AR356" i="2" s="1"/>
  <c r="AR357" i="2" s="1"/>
  <c r="AR358" i="2" s="1"/>
  <c r="AR359" i="2" s="1"/>
  <c r="AR360" i="2" s="1"/>
  <c r="AR361" i="2" s="1"/>
  <c r="AR362" i="2" s="1"/>
  <c r="AS128" i="2"/>
  <c r="AP128" i="2"/>
  <c r="AT95" i="2"/>
  <c r="AT96" i="2" s="1"/>
  <c r="AT97" i="2" s="1"/>
  <c r="AT98" i="2" s="1"/>
  <c r="AT99" i="2" s="1"/>
  <c r="AS100" i="2"/>
  <c r="AP100" i="2"/>
  <c r="K8" i="1"/>
  <c r="K4" i="1" l="1"/>
  <c r="J39" i="1"/>
  <c r="K39" i="1" s="1"/>
  <c r="AR364" i="2"/>
  <c r="AR365" i="2" s="1"/>
  <c r="AR366" i="2" s="1"/>
  <c r="AR367" i="2" s="1"/>
  <c r="AR368" i="2" s="1"/>
  <c r="AR369" i="2" s="1"/>
  <c r="AR370" i="2" s="1"/>
  <c r="AR371" i="2" s="1"/>
  <c r="AR372" i="2" s="1"/>
  <c r="AR373" i="2" s="1"/>
  <c r="AR374" i="2" s="1"/>
  <c r="AR375" i="2" s="1"/>
  <c r="AR376" i="2" s="1"/>
  <c r="AR377" i="2" s="1"/>
  <c r="AR378" i="2" s="1"/>
  <c r="AR379" i="2" s="1"/>
  <c r="AR380" i="2" s="1"/>
  <c r="AR381" i="2" s="1"/>
  <c r="AR382" i="2" s="1"/>
  <c r="AR385" i="2" s="1"/>
  <c r="AR386" i="2" s="1"/>
  <c r="AR387" i="2" s="1"/>
  <c r="AR388" i="2" s="1"/>
  <c r="AR389" i="2" s="1"/>
  <c r="AR390" i="2" s="1"/>
  <c r="AR391" i="2" s="1"/>
  <c r="AR392" i="2" s="1"/>
  <c r="AR393" i="2" s="1"/>
  <c r="AR394" i="2" s="1"/>
  <c r="AR395" i="2" s="1"/>
  <c r="AR396" i="2" s="1"/>
  <c r="AR397" i="2" s="1"/>
  <c r="AR398" i="2" s="1"/>
  <c r="AR399" i="2" s="1"/>
  <c r="AR400" i="2" s="1"/>
  <c r="AR401" i="2" s="1"/>
  <c r="AR402" i="2" s="1"/>
  <c r="AR403" i="2" s="1"/>
  <c r="AR404" i="2" s="1"/>
  <c r="AR405" i="2" s="1"/>
  <c r="AR406" i="2" s="1"/>
  <c r="AR408" i="2" s="1"/>
  <c r="AR409" i="2" s="1"/>
  <c r="AR410" i="2" s="1"/>
  <c r="AR411" i="2" s="1"/>
  <c r="AR412" i="2" s="1"/>
  <c r="AR413" i="2" s="1"/>
  <c r="AR414" i="2" s="1"/>
  <c r="AR415" i="2" s="1"/>
  <c r="AR416" i="2" s="1"/>
  <c r="AR417" i="2" s="1"/>
  <c r="AR418" i="2" s="1"/>
  <c r="AR419" i="2" s="1"/>
  <c r="AR420" i="2" s="1"/>
  <c r="AR421" i="2" s="1"/>
  <c r="AR422" i="2" s="1"/>
  <c r="AR423" i="2" s="1"/>
  <c r="AR424" i="2" s="1"/>
  <c r="AR425" i="2" s="1"/>
  <c r="AR426" i="2" s="1"/>
  <c r="AR427" i="2" s="1"/>
  <c r="AR428" i="2" s="1"/>
  <c r="AR429" i="2" s="1"/>
  <c r="AR430" i="2" s="1"/>
  <c r="AR431" i="2" s="1"/>
  <c r="AR432" i="2" s="1"/>
  <c r="AR433" i="2" s="1"/>
  <c r="AR434" i="2" s="1"/>
  <c r="AR435" i="2" s="1"/>
  <c r="AR456" i="2" s="1"/>
  <c r="AR457" i="2" s="1"/>
  <c r="AR458" i="2" s="1"/>
  <c r="AR459" i="2" s="1"/>
  <c r="AR460" i="2" s="1"/>
  <c r="AR461" i="2" s="1"/>
  <c r="AR462" i="2" s="1"/>
  <c r="AR463" i="2" s="1"/>
  <c r="AR464" i="2" s="1"/>
  <c r="AR465" i="2" s="1"/>
  <c r="AR466" i="2" s="1"/>
  <c r="AR467" i="2" s="1"/>
  <c r="AR468" i="2" s="1"/>
  <c r="AR469" i="2" s="1"/>
  <c r="AR470" i="2" s="1"/>
  <c r="AR471" i="2" s="1"/>
  <c r="AR472" i="2" s="1"/>
  <c r="AR473" i="2" s="1"/>
  <c r="AR474" i="2" s="1"/>
  <c r="AR475" i="2" s="1"/>
  <c r="AR476" i="2" s="1"/>
  <c r="AR477" i="2" s="1"/>
  <c r="AR478" i="2" s="1"/>
  <c r="AR479" i="2" s="1"/>
  <c r="AR480" i="2" s="1"/>
  <c r="AR481" i="2" s="1"/>
  <c r="AR482" i="2" s="1"/>
  <c r="AR483" i="2" s="1"/>
  <c r="AR484" i="2" s="1"/>
  <c r="AR485" i="2" s="1"/>
  <c r="AR486" i="2" s="1"/>
  <c r="AR487" i="2" s="1"/>
  <c r="AR488" i="2" s="1"/>
  <c r="AR489" i="2" s="1"/>
  <c r="AR490" i="2" s="1"/>
  <c r="AR517" i="2" s="1"/>
  <c r="AR518" i="2" s="1"/>
  <c r="AR519" i="2" s="1"/>
  <c r="AR520" i="2" s="1"/>
  <c r="AR521" i="2" s="1"/>
  <c r="AR522" i="2" s="1"/>
  <c r="AR523" i="2" s="1"/>
  <c r="AR524" i="2" s="1"/>
  <c r="AR525" i="2" s="1"/>
  <c r="AR526" i="2" s="1"/>
  <c r="AR527" i="2" s="1"/>
  <c r="AR528" i="2" s="1"/>
  <c r="AR529" i="2" s="1"/>
  <c r="AR530" i="2" s="1"/>
  <c r="AR531" i="2" s="1"/>
  <c r="AR532" i="2" s="1"/>
  <c r="AR533" i="2" s="1"/>
  <c r="AR534" i="2" s="1"/>
  <c r="AR535" i="2" s="1"/>
  <c r="AR536" i="2" s="1"/>
  <c r="AR537" i="2" s="1"/>
  <c r="AR538" i="2" s="1"/>
  <c r="AR539" i="2" s="1"/>
  <c r="AR540" i="2" s="1"/>
  <c r="AR541" i="2" s="1"/>
  <c r="AR542" i="2" s="1"/>
  <c r="AR543" i="2" s="1"/>
  <c r="AR544" i="2" s="1"/>
  <c r="AR545" i="2" s="1"/>
  <c r="AR546" i="2" s="1"/>
  <c r="AR547" i="2" s="1"/>
  <c r="AR548" i="2" s="1"/>
  <c r="AR549" i="2" s="1"/>
  <c r="AR550" i="2" s="1"/>
  <c r="AR551" i="2" s="1"/>
  <c r="AR552" i="2" s="1"/>
  <c r="AR553" i="2" s="1"/>
  <c r="AR554" i="2" s="1"/>
  <c r="AR555" i="2" s="1"/>
  <c r="AR556" i="2" s="1"/>
  <c r="AR557" i="2" s="1"/>
  <c r="AR558" i="2" s="1"/>
  <c r="AR559" i="2" s="1"/>
  <c r="AR560" i="2" s="1"/>
  <c r="AR561" i="2" s="1"/>
  <c r="AR562" i="2" s="1"/>
  <c r="AR580" i="2" s="1"/>
  <c r="AR581" i="2" s="1"/>
  <c r="AR582" i="2" s="1"/>
  <c r="AR583" i="2" s="1"/>
  <c r="AR584" i="2" s="1"/>
  <c r="AR585" i="2" s="1"/>
  <c r="AR586" i="2" s="1"/>
  <c r="AR587" i="2" s="1"/>
  <c r="AR588" i="2" s="1"/>
  <c r="AR589" i="2" s="1"/>
  <c r="AR590" i="2" s="1"/>
  <c r="AR591" i="2" s="1"/>
  <c r="AR592" i="2" s="1"/>
  <c r="AR593" i="2" s="1"/>
  <c r="AR594" i="2" s="1"/>
  <c r="AR595" i="2" s="1"/>
  <c r="AR596" i="2" s="1"/>
  <c r="AR597" i="2" s="1"/>
  <c r="AR598" i="2" s="1"/>
  <c r="AR599" i="2" s="1"/>
  <c r="AR600" i="2" s="1"/>
  <c r="AR601" i="2" s="1"/>
  <c r="AR602" i="2" s="1"/>
  <c r="AR603" i="2" s="1"/>
  <c r="AR604" i="2" s="1"/>
  <c r="AR605" i="2" s="1"/>
  <c r="AR606" i="2" s="1"/>
  <c r="AR607" i="2" s="1"/>
  <c r="AR608" i="2" s="1"/>
  <c r="AR609" i="2" s="1"/>
  <c r="AR610" i="2" s="1"/>
  <c r="AR611" i="2" s="1"/>
  <c r="AR612" i="2" s="1"/>
  <c r="AR613" i="2" s="1"/>
  <c r="AR614" i="2" s="1"/>
  <c r="AR615" i="2" s="1"/>
  <c r="AR616" i="2" s="1"/>
  <c r="AR617" i="2" s="1"/>
  <c r="AR618" i="2" s="1"/>
  <c r="AR619" i="2" s="1"/>
  <c r="AR625" i="2" s="1"/>
  <c r="AR626" i="2" s="1"/>
  <c r="AR628" i="2" s="1"/>
  <c r="AR629" i="2" s="1"/>
  <c r="AR632" i="2" s="1"/>
  <c r="AR633" i="2" s="1"/>
  <c r="AR634" i="2" s="1"/>
  <c r="AR635" i="2" s="1"/>
  <c r="AR636" i="2" s="1"/>
  <c r="AR637" i="2" s="1"/>
  <c r="AR638" i="2" s="1"/>
  <c r="AR639" i="2" s="1"/>
  <c r="AR640" i="2" s="1"/>
  <c r="AR641" i="2" s="1"/>
  <c r="AR642" i="2" s="1"/>
  <c r="AR643" i="2" s="1"/>
  <c r="AR644" i="2" s="1"/>
  <c r="AR645" i="2" s="1"/>
  <c r="AR646" i="2" s="1"/>
  <c r="AR647" i="2" s="1"/>
  <c r="AR648" i="2" s="1"/>
  <c r="AR649" i="2" s="1"/>
  <c r="AR650" i="2" s="1"/>
  <c r="AR651" i="2" s="1"/>
  <c r="AR652" i="2" s="1"/>
  <c r="AR653" i="2" s="1"/>
  <c r="AR654" i="2" s="1"/>
  <c r="AR655" i="2" s="1"/>
  <c r="AR676" i="2" s="1"/>
  <c r="AR677" i="2" s="1"/>
  <c r="AR678" i="2" s="1"/>
  <c r="AR679" i="2" s="1"/>
  <c r="AR680" i="2" s="1"/>
  <c r="AR681" i="2" s="1"/>
  <c r="AR682" i="2" s="1"/>
  <c r="AR683" i="2" s="1"/>
  <c r="AR684" i="2" s="1"/>
  <c r="AR685" i="2" s="1"/>
  <c r="AR686" i="2" s="1"/>
  <c r="AR687" i="2" s="1"/>
  <c r="AR688" i="2" s="1"/>
  <c r="AR689" i="2" s="1"/>
  <c r="AR690" i="2" s="1"/>
  <c r="AR691" i="2" s="1"/>
  <c r="AR692" i="2" s="1"/>
  <c r="AR693" i="2" s="1"/>
  <c r="AR694" i="2" s="1"/>
  <c r="AR695" i="2" s="1"/>
  <c r="AR696" i="2" s="1"/>
  <c r="AR697" i="2" s="1"/>
  <c r="AR698" i="2" s="1"/>
  <c r="AR699" i="2" s="1"/>
  <c r="AR700" i="2" s="1"/>
  <c r="AR701" i="2" s="1"/>
  <c r="AR702" i="2" s="1"/>
  <c r="AR703" i="2" s="1"/>
  <c r="AR704" i="2" s="1"/>
  <c r="AR705" i="2" s="1"/>
  <c r="AR706" i="2" s="1"/>
  <c r="AR707" i="2" s="1"/>
  <c r="AR708" i="2" s="1"/>
  <c r="AR709" i="2" s="1"/>
  <c r="AR710" i="2" s="1"/>
  <c r="AR711" i="2" s="1"/>
  <c r="AR712" i="2" s="1"/>
  <c r="AR713" i="2" s="1"/>
  <c r="AR714" i="2" s="1"/>
  <c r="AR715" i="2" s="1"/>
  <c r="AR716" i="2" s="1"/>
  <c r="AR717" i="2" s="1"/>
  <c r="AR718" i="2" s="1"/>
  <c r="AR719" i="2" s="1"/>
  <c r="AR720" i="2" s="1"/>
  <c r="AR721" i="2" s="1"/>
  <c r="AR722" i="2" s="1"/>
  <c r="AR726" i="2" s="1"/>
  <c r="AR727" i="2" s="1"/>
  <c r="AR728" i="2" s="1"/>
  <c r="AR729" i="2" s="1"/>
  <c r="AR730" i="2" s="1"/>
  <c r="AR731" i="2" s="1"/>
  <c r="AR732" i="2" s="1"/>
  <c r="AR733" i="2" s="1"/>
  <c r="AR734" i="2" s="1"/>
  <c r="AR735" i="2" s="1"/>
  <c r="AR736" i="2" s="1"/>
  <c r="AR737" i="2" s="1"/>
  <c r="AR738" i="2" s="1"/>
  <c r="AR739" i="2" s="1"/>
  <c r="AR740" i="2" s="1"/>
  <c r="AR741" i="2" s="1"/>
  <c r="AR742" i="2" s="1"/>
  <c r="AR758" i="2" s="1"/>
  <c r="AR759" i="2" s="1"/>
  <c r="AT128" i="2"/>
  <c r="AT129" i="2" s="1"/>
  <c r="AT130" i="2" s="1"/>
  <c r="AT131" i="2" s="1"/>
  <c r="AT132" i="2" s="1"/>
  <c r="AT133" i="2" s="1"/>
  <c r="AT134" i="2" s="1"/>
  <c r="AT150" i="2" s="1"/>
  <c r="AT151" i="2" s="1"/>
  <c r="AT152" i="2" s="1"/>
  <c r="AT153" i="2" s="1"/>
  <c r="AT154" i="2" s="1"/>
  <c r="AT155" i="2" s="1"/>
  <c r="AT156" i="2" s="1"/>
  <c r="AT157" i="2" s="1"/>
  <c r="AT158" i="2" s="1"/>
  <c r="AT159" i="2" s="1"/>
  <c r="AT160" i="2" s="1"/>
  <c r="AT161" i="2" s="1"/>
  <c r="AT190" i="2" s="1"/>
  <c r="AT191" i="2" s="1"/>
  <c r="AT192" i="2" s="1"/>
  <c r="AT193" i="2" s="1"/>
  <c r="AT194" i="2" s="1"/>
  <c r="AT196" i="2" s="1"/>
  <c r="AT197" i="2" s="1"/>
  <c r="AT198" i="2" s="1"/>
  <c r="AT199" i="2" s="1"/>
  <c r="AT200" i="2" s="1"/>
  <c r="AT201" i="2" s="1"/>
  <c r="AT202" i="2" s="1"/>
  <c r="AT203" i="2" s="1"/>
  <c r="AT204" i="2" s="1"/>
  <c r="AT219" i="2" s="1"/>
  <c r="AT220" i="2" s="1"/>
  <c r="AT221" i="2" s="1"/>
  <c r="AT222" i="2" s="1"/>
  <c r="AT223" i="2" s="1"/>
  <c r="AT224" i="2" s="1"/>
  <c r="AT225" i="2" s="1"/>
  <c r="AT226" i="2" s="1"/>
  <c r="AT227" i="2" s="1"/>
  <c r="AT228" i="2" s="1"/>
  <c r="AT229" i="2" s="1"/>
  <c r="AT230" i="2" s="1"/>
  <c r="AT231" i="2" s="1"/>
  <c r="AT232" i="2" s="1"/>
  <c r="AT233" i="2" s="1"/>
  <c r="AT234" i="2" s="1"/>
  <c r="AT235" i="2" s="1"/>
  <c r="AT236" i="2" s="1"/>
  <c r="AT237" i="2" s="1"/>
  <c r="AT238" i="2" s="1"/>
  <c r="AT239" i="2" s="1"/>
  <c r="AT240" i="2" s="1"/>
  <c r="AT241" i="2" s="1"/>
  <c r="AT242" i="2" s="1"/>
  <c r="AT243" i="2" s="1"/>
  <c r="AT244" i="2" s="1"/>
  <c r="AT245" i="2" s="1"/>
  <c r="AT246" i="2" s="1"/>
  <c r="AT247" i="2" s="1"/>
  <c r="AT248" i="2" s="1"/>
  <c r="AT249" i="2" s="1"/>
  <c r="AT250" i="2" s="1"/>
  <c r="AT251" i="2" s="1"/>
  <c r="AT252" i="2" s="1"/>
  <c r="AT253" i="2" s="1"/>
  <c r="AT254" i="2" s="1"/>
  <c r="AT255" i="2" s="1"/>
  <c r="AT256" i="2" s="1"/>
  <c r="AT257" i="2" s="1"/>
  <c r="AT258" i="2" s="1"/>
  <c r="AT259" i="2" s="1"/>
  <c r="AT260" i="2" s="1"/>
  <c r="AT261" i="2" s="1"/>
  <c r="AT262" i="2" s="1"/>
  <c r="AT263" i="2" s="1"/>
  <c r="AT264" i="2" s="1"/>
  <c r="AT265" i="2" s="1"/>
  <c r="AT266" i="2" s="1"/>
  <c r="AT267" i="2" s="1"/>
  <c r="AT268" i="2" s="1"/>
  <c r="AT269" i="2" s="1"/>
  <c r="AT270" i="2" s="1"/>
  <c r="AT271" i="2" s="1"/>
  <c r="AT272" i="2" s="1"/>
  <c r="AT273" i="2" s="1"/>
  <c r="AT309" i="2" s="1"/>
  <c r="AT310" i="2" s="1"/>
  <c r="AT311" i="2" s="1"/>
  <c r="AT312" i="2" s="1"/>
  <c r="AT313" i="2" s="1"/>
  <c r="AT314" i="2" s="1"/>
  <c r="AT315" i="2" s="1"/>
  <c r="AT316" i="2" s="1"/>
  <c r="AT317" i="2" s="1"/>
  <c r="AT318" i="2" s="1"/>
  <c r="AT319" i="2" s="1"/>
  <c r="AT336" i="2" s="1"/>
  <c r="AT337" i="2" s="1"/>
  <c r="AT338" i="2" s="1"/>
  <c r="AT339" i="2" s="1"/>
  <c r="AT340" i="2" s="1"/>
  <c r="AT341" i="2" s="1"/>
  <c r="AT342" i="2" s="1"/>
  <c r="AT343" i="2" s="1"/>
  <c r="AT344" i="2" s="1"/>
  <c r="AT345" i="2" s="1"/>
  <c r="AT346" i="2" s="1"/>
  <c r="AT347" i="2" s="1"/>
  <c r="AT348" i="2" s="1"/>
  <c r="AT349" i="2" s="1"/>
  <c r="AT350" i="2" s="1"/>
  <c r="AT351" i="2" s="1"/>
  <c r="AT352" i="2" s="1"/>
  <c r="AT353" i="2" s="1"/>
  <c r="AT354" i="2" s="1"/>
  <c r="AT355" i="2" s="1"/>
  <c r="AT356" i="2" s="1"/>
  <c r="AT357" i="2" s="1"/>
  <c r="AT358" i="2" s="1"/>
  <c r="AT359" i="2" s="1"/>
  <c r="AT360" i="2" s="1"/>
  <c r="AT361" i="2" s="1"/>
  <c r="AT362" i="2" s="1"/>
  <c r="AQ128" i="2"/>
  <c r="AQ129" i="2" s="1"/>
  <c r="AQ130" i="2" s="1"/>
  <c r="AQ131" i="2" s="1"/>
  <c r="AQ132" i="2" s="1"/>
  <c r="AQ133" i="2" s="1"/>
  <c r="AQ134" i="2" s="1"/>
  <c r="AQ150" i="2" s="1"/>
  <c r="AQ151" i="2" s="1"/>
  <c r="AQ152" i="2" s="1"/>
  <c r="AQ153" i="2" s="1"/>
  <c r="AQ154" i="2" s="1"/>
  <c r="AQ155" i="2" s="1"/>
  <c r="AQ156" i="2" s="1"/>
  <c r="AQ157" i="2" s="1"/>
  <c r="AQ158" i="2" s="1"/>
  <c r="AQ159" i="2" s="1"/>
  <c r="AQ160" i="2" s="1"/>
  <c r="AQ161" i="2" s="1"/>
  <c r="AQ190" i="2" s="1"/>
  <c r="AQ191" i="2" s="1"/>
  <c r="AQ192" i="2" s="1"/>
  <c r="AQ193" i="2" s="1"/>
  <c r="AQ194" i="2" s="1"/>
  <c r="AQ196" i="2" s="1"/>
  <c r="AQ197" i="2" s="1"/>
  <c r="AQ198" i="2" s="1"/>
  <c r="AQ199" i="2" s="1"/>
  <c r="AQ200" i="2" s="1"/>
  <c r="AQ201" i="2" s="1"/>
  <c r="AQ202" i="2" s="1"/>
  <c r="AQ203" i="2" s="1"/>
  <c r="AQ204" i="2" s="1"/>
  <c r="AT100" i="2"/>
  <c r="AT101" i="2" s="1"/>
  <c r="AT102" i="2" s="1"/>
  <c r="AQ100" i="2"/>
  <c r="AQ101" i="2" s="1"/>
  <c r="AQ102" i="2" s="1"/>
  <c r="AR760" i="2" l="1"/>
  <c r="AR764" i="2" s="1"/>
  <c r="AR765" i="2" s="1"/>
  <c r="AR766" i="2" s="1"/>
  <c r="AR767" i="2" s="1"/>
  <c r="AR768" i="2" s="1"/>
  <c r="AR769" i="2" s="1"/>
  <c r="AR770" i="2" s="1"/>
  <c r="AR771" i="2" s="1"/>
  <c r="AR772" i="2" s="1"/>
  <c r="AR773" i="2" s="1"/>
  <c r="AR774" i="2" s="1"/>
  <c r="AR775" i="2" s="1"/>
  <c r="AR776" i="2" s="1"/>
  <c r="AR777" i="2" s="1"/>
  <c r="AR778" i="2" s="1"/>
  <c r="AR779" i="2" s="1"/>
  <c r="AR780" i="2" s="1"/>
  <c r="AR781" i="2" s="1"/>
  <c r="AR782" i="2" s="1"/>
  <c r="AR783" i="2" s="1"/>
  <c r="AR784" i="2" s="1"/>
  <c r="AR785" i="2" s="1"/>
  <c r="AR786" i="2" s="1"/>
  <c r="AR787" i="2" s="1"/>
  <c r="AR788" i="2" s="1"/>
  <c r="AR789" i="2" s="1"/>
  <c r="AR790" i="2" s="1"/>
  <c r="AR791" i="2" s="1"/>
  <c r="AR792" i="2" s="1"/>
  <c r="AR793" i="2" s="1"/>
  <c r="AR794" i="2" s="1"/>
  <c r="AR795" i="2" s="1"/>
  <c r="AR796" i="2" s="1"/>
  <c r="AR797" i="2" s="1"/>
  <c r="AR798" i="2" s="1"/>
  <c r="AR799" i="2" s="1"/>
  <c r="AR800" i="2" s="1"/>
  <c r="AR803" i="2" s="1"/>
  <c r="AR804" i="2" s="1"/>
  <c r="AR805" i="2" s="1"/>
  <c r="AR806" i="2" s="1"/>
  <c r="AR807" i="2" s="1"/>
  <c r="AR808" i="2" s="1"/>
  <c r="AR809" i="2" s="1"/>
  <c r="AR810" i="2" s="1"/>
  <c r="AR811" i="2" s="1"/>
  <c r="AR812" i="2" s="1"/>
  <c r="AR813" i="2" s="1"/>
  <c r="AR814" i="2" s="1"/>
  <c r="AT364" i="2"/>
  <c r="AT365" i="2" s="1"/>
  <c r="AT366" i="2" s="1"/>
  <c r="AT367" i="2" s="1"/>
  <c r="AT368" i="2" s="1"/>
  <c r="AT369" i="2" s="1"/>
  <c r="AT370" i="2" s="1"/>
  <c r="AT371" i="2" s="1"/>
  <c r="AT372" i="2" s="1"/>
  <c r="AT373" i="2" s="1"/>
  <c r="AT374" i="2" s="1"/>
  <c r="AT375" i="2" s="1"/>
  <c r="AT376" i="2" s="1"/>
  <c r="AT377" i="2" s="1"/>
  <c r="AT378" i="2" s="1"/>
  <c r="AT379" i="2" s="1"/>
  <c r="AT380" i="2" s="1"/>
  <c r="AT381" i="2" s="1"/>
  <c r="AT382" i="2" s="1"/>
  <c r="AT385" i="2" s="1"/>
  <c r="AT386" i="2" s="1"/>
  <c r="AT387" i="2" s="1"/>
  <c r="AT388" i="2" s="1"/>
  <c r="AT389" i="2" s="1"/>
  <c r="AT390" i="2" s="1"/>
  <c r="AT391" i="2" s="1"/>
  <c r="AT392" i="2" s="1"/>
  <c r="AT393" i="2" s="1"/>
  <c r="AT394" i="2" s="1"/>
  <c r="AT395" i="2" s="1"/>
  <c r="AT396" i="2" s="1"/>
  <c r="AT397" i="2" s="1"/>
  <c r="AT398" i="2" s="1"/>
  <c r="AT399" i="2" s="1"/>
  <c r="AT400" i="2" s="1"/>
  <c r="AT401" i="2" s="1"/>
  <c r="AT402" i="2" s="1"/>
  <c r="AT403" i="2" s="1"/>
  <c r="AT404" i="2" s="1"/>
  <c r="AT405" i="2" s="1"/>
  <c r="AT406" i="2" s="1"/>
  <c r="AT408" i="2" s="1"/>
  <c r="AT409" i="2" s="1"/>
  <c r="AT410" i="2" s="1"/>
  <c r="AT411" i="2" s="1"/>
  <c r="AT412" i="2" s="1"/>
  <c r="AT413" i="2" s="1"/>
  <c r="AT414" i="2" s="1"/>
  <c r="AT415" i="2" s="1"/>
  <c r="AT416" i="2" s="1"/>
  <c r="AT417" i="2" s="1"/>
  <c r="AT418" i="2" s="1"/>
  <c r="AT419" i="2" s="1"/>
  <c r="AT420" i="2" s="1"/>
  <c r="AT421" i="2" s="1"/>
  <c r="AT422" i="2" s="1"/>
  <c r="AT423" i="2" s="1"/>
  <c r="AT424" i="2" s="1"/>
  <c r="AT425" i="2" s="1"/>
  <c r="AT426" i="2" s="1"/>
  <c r="AT427" i="2" s="1"/>
  <c r="AT428" i="2" s="1"/>
  <c r="AT429" i="2" s="1"/>
  <c r="AT430" i="2" s="1"/>
  <c r="AT431" i="2" s="1"/>
  <c r="AT432" i="2" s="1"/>
  <c r="AT433" i="2" s="1"/>
  <c r="AT434" i="2" s="1"/>
  <c r="AT435" i="2" s="1"/>
  <c r="AT456" i="2" s="1"/>
  <c r="AT457" i="2" s="1"/>
  <c r="AT458" i="2" s="1"/>
  <c r="AT459" i="2" s="1"/>
  <c r="AT460" i="2" s="1"/>
  <c r="AT461" i="2" s="1"/>
  <c r="AT462" i="2" s="1"/>
  <c r="AT463" i="2" s="1"/>
  <c r="AT464" i="2" s="1"/>
  <c r="AT465" i="2" s="1"/>
  <c r="AT466" i="2" s="1"/>
  <c r="AT467" i="2" s="1"/>
  <c r="AT468" i="2" s="1"/>
  <c r="AT469" i="2" s="1"/>
  <c r="AT470" i="2" s="1"/>
  <c r="AT471" i="2" s="1"/>
  <c r="AT472" i="2" s="1"/>
  <c r="AT473" i="2" s="1"/>
  <c r="AT474" i="2" s="1"/>
  <c r="AT475" i="2" s="1"/>
  <c r="AT476" i="2" s="1"/>
  <c r="AT477" i="2" s="1"/>
  <c r="AT478" i="2" s="1"/>
  <c r="AT479" i="2" s="1"/>
  <c r="AT480" i="2" s="1"/>
  <c r="AT481" i="2" s="1"/>
  <c r="AT482" i="2" s="1"/>
  <c r="AT483" i="2" s="1"/>
  <c r="AT484" i="2" s="1"/>
  <c r="AT485" i="2" s="1"/>
  <c r="AT486" i="2" s="1"/>
  <c r="AT487" i="2" s="1"/>
  <c r="AT488" i="2" s="1"/>
  <c r="AT489" i="2" s="1"/>
  <c r="AT490" i="2" s="1"/>
  <c r="AT517" i="2" s="1"/>
  <c r="AT518" i="2" s="1"/>
  <c r="AT519" i="2" s="1"/>
  <c r="AT520" i="2" s="1"/>
  <c r="AT521" i="2" s="1"/>
  <c r="AT522" i="2" s="1"/>
  <c r="AT523" i="2" s="1"/>
  <c r="AT524" i="2" s="1"/>
  <c r="AT525" i="2" s="1"/>
  <c r="AT526" i="2" s="1"/>
  <c r="AT527" i="2" s="1"/>
  <c r="AT528" i="2" s="1"/>
  <c r="AT529" i="2" s="1"/>
  <c r="AT530" i="2" s="1"/>
  <c r="AT531" i="2" s="1"/>
  <c r="AT532" i="2" s="1"/>
  <c r="AT533" i="2" s="1"/>
  <c r="AT534" i="2" s="1"/>
  <c r="AT535" i="2" s="1"/>
  <c r="AT536" i="2" s="1"/>
  <c r="AT537" i="2" s="1"/>
  <c r="AT538" i="2" s="1"/>
  <c r="AT539" i="2" s="1"/>
  <c r="AT540" i="2" s="1"/>
  <c r="AT541" i="2" s="1"/>
  <c r="AT542" i="2" s="1"/>
  <c r="AT543" i="2" s="1"/>
  <c r="AT544" i="2" s="1"/>
  <c r="AT545" i="2" s="1"/>
  <c r="AT546" i="2" s="1"/>
  <c r="AT547" i="2" s="1"/>
  <c r="AT548" i="2" s="1"/>
  <c r="AT549" i="2" s="1"/>
  <c r="AT550" i="2" s="1"/>
  <c r="AT551" i="2" s="1"/>
  <c r="AT552" i="2" s="1"/>
  <c r="AT553" i="2" s="1"/>
  <c r="AT554" i="2" s="1"/>
  <c r="AT555" i="2" s="1"/>
  <c r="AT556" i="2" s="1"/>
  <c r="AT557" i="2" s="1"/>
  <c r="AT558" i="2" s="1"/>
  <c r="AT559" i="2" s="1"/>
  <c r="AT560" i="2" s="1"/>
  <c r="AT561" i="2" s="1"/>
  <c r="AT562" i="2" s="1"/>
  <c r="AQ219" i="2"/>
  <c r="AQ220" i="2" s="1"/>
  <c r="AQ221" i="2" s="1"/>
  <c r="AQ222" i="2" s="1"/>
  <c r="AQ223" i="2" s="1"/>
  <c r="AQ224" i="2" s="1"/>
  <c r="AQ225" i="2" s="1"/>
  <c r="AQ226" i="2" s="1"/>
  <c r="AQ227" i="2" s="1"/>
  <c r="AQ228" i="2" s="1"/>
  <c r="AQ229" i="2" s="1"/>
  <c r="AQ230" i="2" s="1"/>
  <c r="AQ231" i="2" s="1"/>
  <c r="AQ232" i="2" s="1"/>
  <c r="AQ233" i="2" s="1"/>
  <c r="AQ234" i="2" s="1"/>
  <c r="AQ235" i="2" s="1"/>
  <c r="AQ236" i="2" s="1"/>
  <c r="AQ237" i="2" s="1"/>
  <c r="AQ238" i="2" s="1"/>
  <c r="AQ239" i="2" s="1"/>
  <c r="AQ240" i="2" s="1"/>
  <c r="AQ241" i="2" s="1"/>
  <c r="AT580" i="2" l="1"/>
  <c r="AT581" i="2" s="1"/>
  <c r="AT582" i="2" s="1"/>
  <c r="AT583" i="2" s="1"/>
  <c r="AT584" i="2" s="1"/>
  <c r="AT585" i="2" s="1"/>
  <c r="AT586" i="2" s="1"/>
  <c r="AT587" i="2" s="1"/>
  <c r="AT588" i="2" s="1"/>
  <c r="AT589" i="2" s="1"/>
  <c r="AT590" i="2" s="1"/>
  <c r="AT591" i="2" s="1"/>
  <c r="AT592" i="2" s="1"/>
  <c r="AT593" i="2" s="1"/>
  <c r="AT594" i="2" s="1"/>
  <c r="AT595" i="2" s="1"/>
  <c r="AT596" i="2" s="1"/>
  <c r="AT597" i="2" s="1"/>
  <c r="AT598" i="2" s="1"/>
  <c r="AT599" i="2" s="1"/>
  <c r="AT600" i="2" s="1"/>
  <c r="AT601" i="2" s="1"/>
  <c r="AT602" i="2" s="1"/>
  <c r="AT603" i="2" s="1"/>
  <c r="AQ242" i="2"/>
  <c r="AQ243" i="2" s="1"/>
  <c r="AQ244" i="2" s="1"/>
  <c r="AQ245" i="2" s="1"/>
  <c r="AQ246" i="2" s="1"/>
  <c r="AQ247" i="2" s="1"/>
  <c r="AQ248" i="2" s="1"/>
  <c r="AQ249" i="2" s="1"/>
  <c r="AQ250" i="2" s="1"/>
  <c r="AQ251" i="2" s="1"/>
  <c r="AQ252" i="2" s="1"/>
  <c r="AQ253" i="2" s="1"/>
  <c r="AQ254" i="2" s="1"/>
  <c r="AQ255" i="2" s="1"/>
  <c r="AQ256" i="2" s="1"/>
  <c r="AQ257" i="2" s="1"/>
  <c r="AQ258" i="2" s="1"/>
  <c r="AQ259" i="2" s="1"/>
  <c r="AQ260" i="2" s="1"/>
  <c r="AQ261" i="2" s="1"/>
  <c r="AQ262" i="2" s="1"/>
  <c r="AQ263" i="2" s="1"/>
  <c r="AT604" i="2" l="1"/>
  <c r="AT605" i="2" s="1"/>
  <c r="AT606" i="2" s="1"/>
  <c r="AT607" i="2" s="1"/>
  <c r="AT608" i="2" s="1"/>
  <c r="AT609" i="2" s="1"/>
  <c r="AT610" i="2" s="1"/>
  <c r="AT611" i="2" s="1"/>
  <c r="AT612" i="2" s="1"/>
  <c r="AT613" i="2" s="1"/>
  <c r="AT614" i="2" s="1"/>
  <c r="AT615" i="2" s="1"/>
  <c r="AT616" i="2" s="1"/>
  <c r="AT617" i="2" s="1"/>
  <c r="AT618" i="2" s="1"/>
  <c r="AT619" i="2" s="1"/>
  <c r="AT625" i="2" s="1"/>
  <c r="AT626" i="2" s="1"/>
  <c r="AT628" i="2" s="1"/>
  <c r="AT629" i="2" s="1"/>
  <c r="AT632" i="2" s="1"/>
  <c r="AT633" i="2" s="1"/>
  <c r="AT634" i="2" s="1"/>
  <c r="AT635" i="2" s="1"/>
  <c r="AT636" i="2" s="1"/>
  <c r="AQ264" i="2"/>
  <c r="AQ265" i="2" s="1"/>
  <c r="AQ266" i="2" s="1"/>
  <c r="AQ267" i="2" s="1"/>
  <c r="AQ268" i="2" s="1"/>
  <c r="AQ269" i="2" s="1"/>
  <c r="AQ270" i="2" s="1"/>
  <c r="AQ271" i="2" s="1"/>
  <c r="AQ272" i="2" s="1"/>
  <c r="AQ273" i="2" s="1"/>
  <c r="AQ309" i="2" s="1"/>
  <c r="AQ310" i="2" s="1"/>
  <c r="AQ311" i="2" s="1"/>
  <c r="AQ312" i="2" s="1"/>
  <c r="AQ313" i="2" s="1"/>
  <c r="AQ314" i="2" s="1"/>
  <c r="AQ315" i="2" s="1"/>
  <c r="AQ316" i="2" s="1"/>
  <c r="AQ317" i="2" s="1"/>
  <c r="AQ318" i="2" s="1"/>
  <c r="AQ319" i="2" s="1"/>
  <c r="AT637" i="2" l="1"/>
  <c r="AT638" i="2" s="1"/>
  <c r="AT639" i="2" s="1"/>
  <c r="AT640" i="2" s="1"/>
  <c r="AT641" i="2" s="1"/>
  <c r="AT642" i="2" s="1"/>
  <c r="AT643" i="2" s="1"/>
  <c r="AT644" i="2" s="1"/>
  <c r="AT645" i="2" s="1"/>
  <c r="AT646" i="2" s="1"/>
  <c r="AT647" i="2" s="1"/>
  <c r="AT648" i="2" s="1"/>
  <c r="AT649" i="2" s="1"/>
  <c r="AT650" i="2" s="1"/>
  <c r="AT651" i="2" s="1"/>
  <c r="AT652" i="2" s="1"/>
  <c r="AT653" i="2" s="1"/>
  <c r="AT654" i="2" s="1"/>
  <c r="AT655" i="2" s="1"/>
  <c r="AT676" i="2" s="1"/>
  <c r="AT677" i="2" s="1"/>
  <c r="AT678" i="2" s="1"/>
  <c r="AT679" i="2" s="1"/>
  <c r="AT680" i="2" s="1"/>
  <c r="AT681" i="2" s="1"/>
  <c r="AT682" i="2" s="1"/>
  <c r="AT683" i="2" s="1"/>
  <c r="AQ336" i="2"/>
  <c r="AQ337" i="2" s="1"/>
  <c r="AQ338" i="2" s="1"/>
  <c r="AQ339" i="2" s="1"/>
  <c r="AQ340" i="2" s="1"/>
  <c r="AQ341" i="2" s="1"/>
  <c r="AT684" i="2" l="1"/>
  <c r="AT685" i="2" s="1"/>
  <c r="AT686" i="2" s="1"/>
  <c r="AT687" i="2" s="1"/>
  <c r="AT688" i="2" s="1"/>
  <c r="AT689" i="2" s="1"/>
  <c r="AT690" i="2" s="1"/>
  <c r="AT691" i="2" s="1"/>
  <c r="AT692" i="2" s="1"/>
  <c r="AT693" i="2" s="1"/>
  <c r="AT694" i="2" s="1"/>
  <c r="AT695" i="2" s="1"/>
  <c r="AT696" i="2" s="1"/>
  <c r="AT697" i="2" s="1"/>
  <c r="AT698" i="2" s="1"/>
  <c r="AT699" i="2" s="1"/>
  <c r="AT700" i="2" s="1"/>
  <c r="AT701" i="2" s="1"/>
  <c r="AT702" i="2" s="1"/>
  <c r="AT703" i="2" s="1"/>
  <c r="AT704" i="2" s="1"/>
  <c r="AT705" i="2" s="1"/>
  <c r="AT706" i="2" s="1"/>
  <c r="AQ342" i="2"/>
  <c r="AQ343" i="2" s="1"/>
  <c r="AQ344" i="2" s="1"/>
  <c r="AQ345" i="2" s="1"/>
  <c r="AQ346" i="2" s="1"/>
  <c r="AQ347" i="2" s="1"/>
  <c r="AQ348" i="2" s="1"/>
  <c r="AQ349" i="2" s="1"/>
  <c r="AQ350" i="2" s="1"/>
  <c r="AQ351" i="2" s="1"/>
  <c r="AQ352" i="2" s="1"/>
  <c r="AQ353" i="2" s="1"/>
  <c r="AQ354" i="2" s="1"/>
  <c r="AQ355" i="2" s="1"/>
  <c r="AQ356" i="2" s="1"/>
  <c r="AQ357" i="2" s="1"/>
  <c r="AQ358" i="2" s="1"/>
  <c r="AQ359" i="2" s="1"/>
  <c r="AQ360" i="2" s="1"/>
  <c r="AQ361" i="2" s="1"/>
  <c r="AQ362" i="2" s="1"/>
  <c r="AT707" i="2" l="1"/>
  <c r="AT708" i="2" s="1"/>
  <c r="AT709" i="2" s="1"/>
  <c r="AT710" i="2" s="1"/>
  <c r="AT711" i="2" s="1"/>
  <c r="AT712" i="2" s="1"/>
  <c r="AT713" i="2" s="1"/>
  <c r="AT714" i="2" s="1"/>
  <c r="AT715" i="2" s="1"/>
  <c r="AT716" i="2" s="1"/>
  <c r="AT717" i="2" s="1"/>
  <c r="AT718" i="2" s="1"/>
  <c r="AT719" i="2" s="1"/>
  <c r="AT720" i="2" s="1"/>
  <c r="AT721" i="2" s="1"/>
  <c r="AT722" i="2" s="1"/>
  <c r="AT726" i="2" s="1"/>
  <c r="AT727" i="2" s="1"/>
  <c r="AT728" i="2" s="1"/>
  <c r="AT729" i="2" s="1"/>
  <c r="AT730" i="2" s="1"/>
  <c r="AT731" i="2" s="1"/>
  <c r="AT732" i="2" s="1"/>
  <c r="AT733" i="2" s="1"/>
  <c r="AT734" i="2" s="1"/>
  <c r="AT735" i="2" s="1"/>
  <c r="AT736" i="2" s="1"/>
  <c r="AT737" i="2" s="1"/>
  <c r="AT738" i="2" s="1"/>
  <c r="AT739" i="2" s="1"/>
  <c r="AT740" i="2" s="1"/>
  <c r="AT741" i="2" s="1"/>
  <c r="AT742" i="2" s="1"/>
  <c r="AQ364" i="2"/>
  <c r="AQ365" i="2" s="1"/>
  <c r="AQ366" i="2" s="1"/>
  <c r="AT758" i="2" l="1"/>
  <c r="AT759" i="2" s="1"/>
  <c r="AT760" i="2" s="1"/>
  <c r="AQ367" i="2"/>
  <c r="AQ368" i="2" s="1"/>
  <c r="AQ369" i="2" s="1"/>
  <c r="AQ370" i="2" s="1"/>
  <c r="AQ371" i="2" s="1"/>
  <c r="AQ372" i="2" s="1"/>
  <c r="AQ373" i="2" s="1"/>
  <c r="AQ374" i="2" s="1"/>
  <c r="AQ375" i="2" s="1"/>
  <c r="AQ376" i="2" s="1"/>
  <c r="AQ377" i="2" s="1"/>
  <c r="AQ378" i="2" s="1"/>
  <c r="AQ379" i="2" s="1"/>
  <c r="AQ380" i="2" s="1"/>
  <c r="AQ381" i="2" s="1"/>
  <c r="AQ382" i="2" s="1"/>
  <c r="AQ385" i="2" s="1"/>
  <c r="AQ386" i="2" s="1"/>
  <c r="AQ387" i="2" s="1"/>
  <c r="AQ388" i="2" s="1"/>
  <c r="AQ389" i="2" s="1"/>
  <c r="AQ390" i="2" s="1"/>
  <c r="AQ391" i="2" s="1"/>
  <c r="AQ392" i="2" s="1"/>
  <c r="AT764" i="2" l="1"/>
  <c r="AT765" i="2" s="1"/>
  <c r="AT766" i="2" s="1"/>
  <c r="AT767" i="2" s="1"/>
  <c r="AT768" i="2" s="1"/>
  <c r="AT769" i="2" s="1"/>
  <c r="AT770" i="2" s="1"/>
  <c r="AT771" i="2" s="1"/>
  <c r="AT772" i="2" s="1"/>
  <c r="AT773" i="2" s="1"/>
  <c r="AT774" i="2" s="1"/>
  <c r="AT775" i="2" s="1"/>
  <c r="AT776" i="2" s="1"/>
  <c r="AT777" i="2" s="1"/>
  <c r="AT778" i="2" s="1"/>
  <c r="AT779" i="2" s="1"/>
  <c r="AT780" i="2" s="1"/>
  <c r="AT781" i="2" s="1"/>
  <c r="AT782" i="2" s="1"/>
  <c r="AT783" i="2" s="1"/>
  <c r="AQ393" i="2"/>
  <c r="AQ394" i="2" s="1"/>
  <c r="AQ395" i="2" s="1"/>
  <c r="AQ396" i="2" s="1"/>
  <c r="AQ397" i="2" s="1"/>
  <c r="AQ398" i="2" s="1"/>
  <c r="AQ399" i="2" s="1"/>
  <c r="AQ400" i="2" s="1"/>
  <c r="AQ401" i="2" s="1"/>
  <c r="AQ402" i="2" s="1"/>
  <c r="AQ403" i="2" s="1"/>
  <c r="AQ404" i="2" s="1"/>
  <c r="AQ405" i="2" s="1"/>
  <c r="AQ406" i="2" s="1"/>
  <c r="AQ408" i="2" s="1"/>
  <c r="AQ409" i="2" s="1"/>
  <c r="AQ410" i="2" s="1"/>
  <c r="AQ411" i="2" s="1"/>
  <c r="AQ412" i="2" s="1"/>
  <c r="AQ413" i="2" s="1"/>
  <c r="AQ414" i="2" s="1"/>
  <c r="AQ415" i="2" s="1"/>
  <c r="AQ416" i="2" s="1"/>
  <c r="AQ417" i="2" s="1"/>
  <c r="AQ418" i="2" s="1"/>
  <c r="AT784" i="2" l="1"/>
  <c r="AT785" i="2" s="1"/>
  <c r="AT786" i="2" s="1"/>
  <c r="AT787" i="2" s="1"/>
  <c r="AT788" i="2" s="1"/>
  <c r="AT789" i="2" s="1"/>
  <c r="AT790" i="2" s="1"/>
  <c r="AT791" i="2" s="1"/>
  <c r="AT792" i="2" s="1"/>
  <c r="AT793" i="2" s="1"/>
  <c r="AT794" i="2" s="1"/>
  <c r="AT795" i="2" s="1"/>
  <c r="AT796" i="2" s="1"/>
  <c r="AT797" i="2" s="1"/>
  <c r="AT798" i="2" s="1"/>
  <c r="AT799" i="2" s="1"/>
  <c r="AT800" i="2" s="1"/>
  <c r="AT803" i="2" s="1"/>
  <c r="AT804" i="2" s="1"/>
  <c r="AT805" i="2" s="1"/>
  <c r="AT806" i="2" s="1"/>
  <c r="AT807" i="2" s="1"/>
  <c r="AT808" i="2" s="1"/>
  <c r="AT809" i="2" s="1"/>
  <c r="AT810" i="2" s="1"/>
  <c r="AT811" i="2" s="1"/>
  <c r="AT812" i="2" s="1"/>
  <c r="AT813" i="2" s="1"/>
  <c r="AT814" i="2" s="1"/>
  <c r="B1" i="6"/>
  <c r="AQ419" i="2"/>
  <c r="AQ420" i="2" s="1"/>
  <c r="AQ421" i="2" s="1"/>
  <c r="AQ422" i="2" s="1"/>
  <c r="AQ423" i="2" s="1"/>
  <c r="AQ424" i="2" s="1"/>
  <c r="AQ425" i="2" s="1"/>
  <c r="AQ426" i="2" s="1"/>
  <c r="AQ427" i="2" s="1"/>
  <c r="AQ428" i="2" s="1"/>
  <c r="AQ429" i="2" s="1"/>
  <c r="AQ430" i="2" s="1"/>
  <c r="AQ431" i="2" s="1"/>
  <c r="AQ432" i="2" s="1"/>
  <c r="AQ433" i="2" s="1"/>
  <c r="AQ434" i="2" s="1"/>
  <c r="AQ435" i="2" s="1"/>
  <c r="AQ456" i="2" s="1"/>
  <c r="AQ457" i="2" s="1"/>
  <c r="AQ458" i="2" s="1"/>
  <c r="AQ459" i="2" s="1"/>
  <c r="AQ460" i="2" s="1"/>
  <c r="AQ461" i="2" s="1"/>
  <c r="J6" i="6" l="1"/>
  <c r="J7" i="6" s="1"/>
  <c r="J8" i="6" s="1"/>
  <c r="J9" i="6" s="1"/>
  <c r="G6" i="6"/>
  <c r="I6" i="6"/>
  <c r="H6" i="6"/>
  <c r="H7" i="6" s="1"/>
  <c r="H8" i="6" s="1"/>
  <c r="H9" i="6" s="1"/>
  <c r="AQ462" i="2"/>
  <c r="AQ463" i="2" s="1"/>
  <c r="AQ464" i="2" s="1"/>
  <c r="AQ465" i="2" s="1"/>
  <c r="AQ466" i="2" s="1"/>
  <c r="AQ467" i="2" s="1"/>
  <c r="AQ468" i="2" s="1"/>
  <c r="AQ469" i="2" s="1"/>
  <c r="AQ470" i="2" s="1"/>
  <c r="AQ471" i="2" s="1"/>
  <c r="AQ472" i="2" s="1"/>
  <c r="AQ473" i="2" s="1"/>
  <c r="AQ474" i="2" s="1"/>
  <c r="AQ475" i="2" s="1"/>
  <c r="AQ476" i="2" s="1"/>
  <c r="AQ477" i="2" s="1"/>
  <c r="AQ478" i="2" s="1"/>
  <c r="AQ479" i="2" s="1"/>
  <c r="AQ480" i="2" s="1"/>
  <c r="AQ481" i="2" s="1"/>
  <c r="AQ482" i="2" s="1"/>
  <c r="AQ483" i="2" s="1"/>
  <c r="AQ484" i="2" s="1"/>
  <c r="AQ485" i="2" s="1"/>
  <c r="AQ486" i="2" s="1"/>
  <c r="AQ487" i="2" s="1"/>
  <c r="AQ488" i="2" s="1"/>
  <c r="AQ489" i="2" s="1"/>
  <c r="AQ490" i="2" s="1"/>
  <c r="I7" i="6" l="1"/>
  <c r="I8" i="6" s="1"/>
  <c r="I9" i="6" s="1"/>
  <c r="G7" i="6"/>
  <c r="G8" i="6" s="1"/>
  <c r="G9" i="6" s="1"/>
  <c r="AQ517" i="2"/>
  <c r="AQ518" i="2" s="1"/>
  <c r="AQ519" i="2" s="1"/>
  <c r="AQ520" i="2" s="1"/>
  <c r="AQ521" i="2" s="1"/>
  <c r="AQ522" i="2" s="1"/>
  <c r="AQ523" i="2" s="1"/>
  <c r="AQ524" i="2" s="1"/>
  <c r="AQ525" i="2" s="1"/>
  <c r="AQ526" i="2" s="1"/>
  <c r="AQ527" i="2" s="1"/>
  <c r="AQ528" i="2" s="1"/>
  <c r="AQ529" i="2" s="1"/>
  <c r="AQ530" i="2" s="1"/>
  <c r="AQ531" i="2" s="1"/>
  <c r="AQ532" i="2" l="1"/>
  <c r="AQ533" i="2" s="1"/>
  <c r="AQ534" i="2" s="1"/>
  <c r="AQ535" i="2" s="1"/>
  <c r="AQ536" i="2" s="1"/>
  <c r="AQ537" i="2" s="1"/>
  <c r="AQ538" i="2" s="1"/>
  <c r="AQ539" i="2" s="1"/>
  <c r="AQ540" i="2" s="1"/>
  <c r="AQ541" i="2" s="1"/>
  <c r="AQ542" i="2" s="1"/>
  <c r="AQ543" i="2" s="1"/>
  <c r="AQ544" i="2" s="1"/>
  <c r="AQ545" i="2" s="1"/>
  <c r="AQ546" i="2" s="1"/>
  <c r="AQ547" i="2" s="1"/>
  <c r="AQ548" i="2" s="1"/>
  <c r="AQ549" i="2" s="1"/>
  <c r="AQ550" i="2" s="1"/>
  <c r="AQ551" i="2" s="1"/>
  <c r="AQ552" i="2" s="1"/>
  <c r="AQ553" i="2" s="1"/>
  <c r="AQ554" i="2" s="1"/>
  <c r="AQ555" i="2" s="1"/>
  <c r="AQ556" i="2" s="1"/>
  <c r="AQ557" i="2" s="1"/>
  <c r="AQ558" i="2" s="1"/>
  <c r="AQ559" i="2" s="1"/>
  <c r="AQ560" i="2" s="1"/>
  <c r="AQ561" i="2" s="1"/>
  <c r="AQ562" i="2" s="1"/>
  <c r="AQ580" i="2" l="1"/>
  <c r="AQ581" i="2" s="1"/>
  <c r="AQ582" i="2" s="1"/>
  <c r="AQ583" i="2" s="1"/>
  <c r="AQ584" i="2" s="1"/>
  <c r="AQ585" i="2" s="1"/>
  <c r="AQ586" i="2" s="1"/>
  <c r="AQ587" i="2" s="1"/>
  <c r="AQ588" i="2" s="1"/>
  <c r="AQ589" i="2" s="1"/>
  <c r="AQ590" i="2" s="1"/>
  <c r="AQ591" i="2" s="1"/>
  <c r="AQ592" i="2" s="1"/>
  <c r="AQ593" i="2" s="1"/>
  <c r="AQ594" i="2" s="1"/>
  <c r="AQ595" i="2" s="1"/>
  <c r="AQ596" i="2" s="1"/>
  <c r="AQ597" i="2" s="1"/>
  <c r="AQ598" i="2" s="1"/>
  <c r="AQ599" i="2" s="1"/>
  <c r="AQ600" i="2" s="1"/>
  <c r="AQ601" i="2" s="1"/>
  <c r="AQ602" i="2" s="1"/>
  <c r="AQ603" i="2" s="1"/>
  <c r="AQ604" i="2" l="1"/>
  <c r="AQ605" i="2" s="1"/>
  <c r="AQ606" i="2" s="1"/>
  <c r="AQ607" i="2" s="1"/>
  <c r="AQ608" i="2" s="1"/>
  <c r="AQ609" i="2" s="1"/>
  <c r="AQ610" i="2" s="1"/>
  <c r="AQ611" i="2" s="1"/>
  <c r="AQ612" i="2" s="1"/>
  <c r="AQ613" i="2" s="1"/>
  <c r="AQ614" i="2" s="1"/>
  <c r="AQ615" i="2" s="1"/>
  <c r="AQ616" i="2" s="1"/>
  <c r="AQ617" i="2" s="1"/>
  <c r="AQ618" i="2" s="1"/>
  <c r="AQ619" i="2" s="1"/>
  <c r="AQ625" i="2" s="1"/>
  <c r="AQ626" i="2" s="1"/>
  <c r="AQ628" i="2" s="1"/>
  <c r="AQ629" i="2" l="1"/>
  <c r="AQ632" i="2" s="1"/>
  <c r="AQ633" i="2" s="1"/>
  <c r="AQ634" i="2" s="1"/>
  <c r="AQ635" i="2" s="1"/>
  <c r="AQ636" i="2" s="1"/>
  <c r="AQ637" i="2" l="1"/>
  <c r="AQ638" i="2" s="1"/>
  <c r="AQ639" i="2" s="1"/>
  <c r="AQ640" i="2" s="1"/>
  <c r="AQ641" i="2" s="1"/>
  <c r="AQ642" i="2" s="1"/>
  <c r="AQ643" i="2" s="1"/>
  <c r="AQ644" i="2" s="1"/>
  <c r="AQ645" i="2" s="1"/>
  <c r="AQ646" i="2" s="1"/>
  <c r="AQ647" i="2" s="1"/>
  <c r="AQ648" i="2" s="1"/>
  <c r="AQ649" i="2" s="1"/>
  <c r="AQ650" i="2" s="1"/>
  <c r="AQ651" i="2" s="1"/>
  <c r="AQ652" i="2" s="1"/>
  <c r="AQ653" i="2" s="1"/>
  <c r="AQ654" i="2" s="1"/>
  <c r="AQ655" i="2" s="1"/>
  <c r="AQ676" i="2" s="1"/>
  <c r="AQ677" i="2" s="1"/>
  <c r="AQ678" i="2" s="1"/>
  <c r="AQ679" i="2" s="1"/>
  <c r="AQ680" i="2" s="1"/>
  <c r="AQ681" i="2" s="1"/>
  <c r="AQ682" i="2" s="1"/>
  <c r="AQ683" i="2" s="1"/>
  <c r="AQ684" i="2" l="1"/>
  <c r="AQ685" i="2" s="1"/>
  <c r="AQ686" i="2" s="1"/>
  <c r="AQ687" i="2" s="1"/>
  <c r="AQ688" i="2" s="1"/>
  <c r="AQ689" i="2" s="1"/>
  <c r="AQ690" i="2" s="1"/>
  <c r="AQ691" i="2" s="1"/>
  <c r="AQ692" i="2" s="1"/>
  <c r="AQ693" i="2" s="1"/>
  <c r="AQ694" i="2" s="1"/>
  <c r="AQ695" i="2" s="1"/>
  <c r="AQ696" i="2" s="1"/>
  <c r="AQ697" i="2" s="1"/>
  <c r="AQ698" i="2" s="1"/>
  <c r="AQ699" i="2" s="1"/>
  <c r="AQ700" i="2" s="1"/>
  <c r="AQ701" i="2" s="1"/>
  <c r="AQ702" i="2" s="1"/>
  <c r="AQ703" i="2" s="1"/>
  <c r="AQ704" i="2" s="1"/>
  <c r="AQ705" i="2" s="1"/>
  <c r="AQ706" i="2" s="1"/>
  <c r="AQ707" i="2" l="1"/>
  <c r="AQ708" i="2" s="1"/>
  <c r="AQ709" i="2" s="1"/>
  <c r="AQ710" i="2" s="1"/>
  <c r="AQ711" i="2" s="1"/>
  <c r="AQ712" i="2" s="1"/>
  <c r="AQ713" i="2" s="1"/>
  <c r="AQ714" i="2" s="1"/>
  <c r="AQ715" i="2" s="1"/>
  <c r="AQ716" i="2" s="1"/>
  <c r="AQ717" i="2" s="1"/>
  <c r="AQ718" i="2" s="1"/>
  <c r="AQ719" i="2" s="1"/>
  <c r="AQ720" i="2" s="1"/>
  <c r="AQ721" i="2" s="1"/>
  <c r="AQ722" i="2" s="1"/>
  <c r="AQ726" i="2" s="1"/>
  <c r="AQ727" i="2" s="1"/>
  <c r="AQ728" i="2" s="1"/>
  <c r="AQ729" i="2" s="1"/>
  <c r="AQ730" i="2" s="1"/>
  <c r="AQ731" i="2" s="1"/>
  <c r="AQ732" i="2" s="1"/>
  <c r="AQ733" i="2" s="1"/>
  <c r="AQ734" i="2" s="1"/>
  <c r="AQ735" i="2" s="1"/>
  <c r="AQ736" i="2" s="1"/>
  <c r="AQ737" i="2" s="1"/>
  <c r="AQ738" i="2" s="1"/>
  <c r="AQ739" i="2" s="1"/>
  <c r="AQ740" i="2" s="1"/>
  <c r="AQ741" i="2" s="1"/>
  <c r="AQ742" i="2" s="1"/>
  <c r="AQ758" i="2" l="1"/>
  <c r="AQ759" i="2" s="1"/>
  <c r="AQ760" i="2" s="1"/>
  <c r="AQ764" i="2" s="1"/>
  <c r="AQ765" i="2" s="1"/>
  <c r="AQ766" i="2" s="1"/>
  <c r="AQ767" i="2" s="1"/>
  <c r="AQ768" i="2" s="1"/>
  <c r="AQ769" i="2" s="1"/>
  <c r="AQ770" i="2" s="1"/>
  <c r="AQ771" i="2" s="1"/>
  <c r="AQ772" i="2" s="1"/>
  <c r="AQ773" i="2" s="1"/>
  <c r="AQ774" i="2" s="1"/>
  <c r="AQ775" i="2" s="1"/>
  <c r="AQ776" i="2" s="1"/>
  <c r="AQ777" i="2" s="1"/>
  <c r="AQ778" i="2" s="1"/>
  <c r="AQ779" i="2" s="1"/>
  <c r="AQ780" i="2" s="1"/>
  <c r="AQ781" i="2" s="1"/>
  <c r="AQ782" i="2" s="1"/>
  <c r="AQ783" i="2" s="1"/>
  <c r="AQ784" i="2" l="1"/>
  <c r="AQ785" i="2" s="1"/>
  <c r="AQ786" i="2" s="1"/>
  <c r="AQ787" i="2" s="1"/>
  <c r="AQ788" i="2" s="1"/>
  <c r="AQ789" i="2" s="1"/>
  <c r="AQ790" i="2" s="1"/>
  <c r="AQ791" i="2" s="1"/>
  <c r="AQ792" i="2" s="1"/>
  <c r="AQ793" i="2" s="1"/>
  <c r="AQ794" i="2" s="1"/>
  <c r="AQ795" i="2" s="1"/>
  <c r="AQ796" i="2" s="1"/>
  <c r="AQ797" i="2" s="1"/>
  <c r="AQ798" i="2" s="1"/>
  <c r="AQ799" i="2" s="1"/>
  <c r="AQ800" i="2" s="1"/>
  <c r="AQ803" i="2" s="1"/>
  <c r="AQ804" i="2" s="1"/>
  <c r="AQ805" i="2" s="1"/>
  <c r="AQ806" i="2" s="1"/>
  <c r="AQ807" i="2" s="1"/>
  <c r="AQ808" i="2" s="1"/>
  <c r="AQ809" i="2" s="1"/>
  <c r="AQ810" i="2" s="1"/>
  <c r="AQ811" i="2" s="1"/>
  <c r="AQ812" i="2" s="1"/>
  <c r="AQ813" i="2" s="1"/>
  <c r="AQ814" i="2" s="1"/>
  <c r="B1" i="4"/>
  <c r="G6" i="4" l="1"/>
  <c r="G7" i="4" s="1"/>
  <c r="G8" i="4" s="1"/>
  <c r="G9" i="4" s="1"/>
  <c r="I6" i="4"/>
  <c r="I7" i="4" s="1"/>
  <c r="I8" i="4" s="1"/>
  <c r="I9" i="4" s="1"/>
  <c r="J6" i="4"/>
  <c r="J7" i="4" s="1"/>
  <c r="J8" i="4" s="1"/>
  <c r="J9" i="4" s="1"/>
  <c r="H6" i="4"/>
  <c r="H7" i="4" l="1"/>
  <c r="H8" i="4" s="1"/>
  <c r="H9" i="4" s="1"/>
</calcChain>
</file>

<file path=xl/connections.xml><?xml version="1.0" encoding="utf-8"?>
<connections xmlns="http://schemas.openxmlformats.org/spreadsheetml/2006/main">
  <connection id="1" name="tmp" type="6" refreshedVersion="4" background="1" saveData="1">
    <textPr codePage="932" sourceFile="C:\Users\sakuma\Desktop\tmp.txt">
      <textFields>
        <textField/>
      </textFields>
    </textPr>
  </connection>
  <connection id="2" name="tmp1" type="6" refreshedVersion="4" background="1" saveData="1">
    <textPr codePage="932" sourceFile="C:\Users\sakuma\Desktop\tmp.txt">
      <textFields>
        <textField/>
      </textFields>
    </textPr>
  </connection>
</connections>
</file>

<file path=xl/sharedStrings.xml><?xml version="1.0" encoding="utf-8"?>
<sst xmlns="http://schemas.openxmlformats.org/spreadsheetml/2006/main" count="6319" uniqueCount="893">
  <si>
    <t>date</t>
    <phoneticPr fontId="3"/>
  </si>
  <si>
    <t>MR</t>
    <phoneticPr fontId="3"/>
  </si>
  <si>
    <t>beam
condition</t>
    <phoneticPr fontId="3"/>
  </si>
  <si>
    <t>run</t>
    <phoneticPr fontId="3"/>
  </si>
  <si>
    <t>start
time</t>
    <phoneticPr fontId="3"/>
  </si>
  <si>
    <t>end
time</t>
    <phoneticPr fontId="3"/>
  </si>
  <si>
    <t>duration</t>
    <phoneticPr fontId="3"/>
  </si>
  <si>
    <t>down
time</t>
    <phoneticPr fontId="3"/>
  </si>
  <si>
    <t>up time</t>
    <phoneticPr fontId="3"/>
  </si>
  <si>
    <t>up time
ratio</t>
    <phoneticPr fontId="3"/>
  </si>
  <si>
    <t>beam stop</t>
  </si>
  <si>
    <t>beam start</t>
  </si>
  <si>
    <t>down</t>
  </si>
  <si>
    <t>date</t>
  </si>
  <si>
    <t>beam stop</t>
    <phoneticPr fontId="3"/>
  </si>
  <si>
    <t>beam start</t>
    <phoneticPr fontId="3"/>
  </si>
  <si>
    <t>down</t>
    <phoneticPr fontId="3"/>
  </si>
  <si>
    <t>sum</t>
    <phoneticPr fontId="3"/>
  </si>
  <si>
    <t>run num</t>
  </si>
  <si>
    <t xml:space="preserve">starttime </t>
  </si>
  <si>
    <t>start time</t>
  </si>
  <si>
    <t xml:space="preserve">endtime </t>
  </si>
  <si>
    <t>duration</t>
    <phoneticPr fontId="3"/>
  </si>
  <si>
    <t>Acc power</t>
  </si>
  <si>
    <t>exp. target</t>
    <phoneticPr fontId="3"/>
  </si>
  <si>
    <t xml:space="preserve">HD-Target </t>
    <phoneticPr fontId="3"/>
  </si>
  <si>
    <t>Beam Pol</t>
  </si>
  <si>
    <t>K1.8D1</t>
    <phoneticPr fontId="3"/>
  </si>
  <si>
    <t>K1.8mom</t>
    <phoneticPr fontId="3"/>
  </si>
  <si>
    <t>ESS</t>
    <phoneticPr fontId="3"/>
  </si>
  <si>
    <t>CM
(1/2)</t>
    <phoneticPr fontId="3"/>
  </si>
  <si>
    <t>beam</t>
    <phoneticPr fontId="3"/>
  </si>
  <si>
    <t>Trig</t>
  </si>
  <si>
    <t>Solenoid</t>
  </si>
  <si>
    <t>Ushiwaka</t>
    <phoneticPr fontId="3"/>
  </si>
  <si>
    <t>FT</t>
    <phoneticPr fontId="3"/>
  </si>
  <si>
    <t>SYIM</t>
    <phoneticPr fontId="3"/>
  </si>
  <si>
    <t>TM</t>
  </si>
  <si>
    <t>kaon</t>
    <phoneticPr fontId="3"/>
  </si>
  <si>
    <t>pion</t>
    <phoneticPr fontId="3"/>
  </si>
  <si>
    <t>MomS+</t>
    <phoneticPr fontId="3"/>
  </si>
  <si>
    <t>MomS-</t>
    <phoneticPr fontId="3"/>
  </si>
  <si>
    <t>MS+</t>
    <phoneticPr fontId="3"/>
  </si>
  <si>
    <t>MS-</t>
    <phoneticPr fontId="3"/>
  </si>
  <si>
    <t>IF-H +</t>
    <phoneticPr fontId="3"/>
  </si>
  <si>
    <t>IF-H-</t>
    <phoneticPr fontId="3"/>
  </si>
  <si>
    <t>IF-V +</t>
    <phoneticPr fontId="3"/>
  </si>
  <si>
    <t>IF-V-</t>
    <phoneticPr fontId="3"/>
  </si>
  <si>
    <t>Comment</t>
  </si>
  <si>
    <t>K- on target 
(DEF)</t>
    <phoneticPr fontId="3"/>
  </si>
  <si>
    <t>K- on target
(DEF*0.7)</t>
    <phoneticPr fontId="3"/>
  </si>
  <si>
    <t>Integrated K- on target
(DEF*0.7)</t>
    <phoneticPr fontId="3"/>
  </si>
  <si>
    <t>integrated time</t>
    <phoneticPr fontId="3"/>
  </si>
  <si>
    <t>kW*week</t>
    <phoneticPr fontId="3"/>
  </si>
  <si>
    <t>integrated kW*week</t>
    <phoneticPr fontId="3"/>
  </si>
  <si>
    <t>########</t>
  </si>
  <si>
    <t>Au</t>
    <phoneticPr fontId="3"/>
  </si>
  <si>
    <t>negative</t>
    <phoneticPr fontId="3"/>
  </si>
  <si>
    <t>K</t>
    <phoneticPr fontId="3"/>
  </si>
  <si>
    <t>on</t>
    <phoneticPr fontId="3"/>
  </si>
  <si>
    <t>345</t>
    <phoneticPr fontId="3"/>
  </si>
  <si>
    <t>D2</t>
    <phoneticPr fontId="3"/>
  </si>
  <si>
    <t>off</t>
    <phoneticPr fontId="3"/>
  </si>
  <si>
    <t>k- purity</t>
  </si>
  <si>
    <t>Log Note</t>
    <phoneticPr fontId="3"/>
  </si>
  <si>
    <t>DEF</t>
    <phoneticPr fontId="3"/>
  </si>
  <si>
    <t>1st trig Req</t>
    <phoneticPr fontId="3"/>
  </si>
  <si>
    <t>1st trig Acc</t>
    <phoneticPr fontId="3"/>
  </si>
  <si>
    <t>-1.0 GeV/c</t>
    <phoneticPr fontId="3"/>
  </si>
  <si>
    <t>system launch</t>
    <phoneticPr fontId="3"/>
  </si>
  <si>
    <t>total</t>
    <phoneticPr fontId="3"/>
  </si>
  <si>
    <t>junk</t>
    <phoneticPr fontId="3"/>
  </si>
  <si>
    <t>Au</t>
  </si>
  <si>
    <t>negative</t>
  </si>
  <si>
    <t>345</t>
  </si>
  <si>
    <t>K</t>
  </si>
  <si>
    <t>pi</t>
    <phoneticPr fontId="3"/>
  </si>
  <si>
    <t>pi</t>
    <phoneticPr fontId="3"/>
  </si>
  <si>
    <t>off</t>
    <phoneticPr fontId="3"/>
  </si>
  <si>
    <t>Run78 User Time</t>
    <phoneticPr fontId="3"/>
  </si>
  <si>
    <t>Run#78</t>
    <phoneticPr fontId="3"/>
  </si>
  <si>
    <t>10.5kW</t>
    <phoneticPr fontId="3"/>
  </si>
  <si>
    <t>-1.0 GeV/c</t>
    <phoneticPr fontId="3"/>
  </si>
  <si>
    <t>system launch, emtpy run</t>
    <phoneticPr fontId="3"/>
  </si>
  <si>
    <t>empty run</t>
    <phoneticPr fontId="3"/>
  </si>
  <si>
    <t>31.5kW</t>
    <phoneticPr fontId="3"/>
  </si>
  <si>
    <t>31.5kW</t>
    <phoneticPr fontId="3"/>
  </si>
  <si>
    <t>beam</t>
    <phoneticPr fontId="3"/>
  </si>
  <si>
    <t>Main Log vol.38</t>
    <phoneticPr fontId="3"/>
  </si>
  <si>
    <t>junk</t>
    <phoneticPr fontId="3"/>
  </si>
  <si>
    <t>[USKW scan] 2100, for SKS-TOF</t>
    <phoneticPr fontId="3"/>
  </si>
  <si>
    <t>K, beam/5</t>
    <phoneticPr fontId="3"/>
  </si>
  <si>
    <t>[BLDC study] default setting</t>
    <phoneticPr fontId="3"/>
  </si>
  <si>
    <t>pi</t>
    <phoneticPr fontId="3"/>
  </si>
  <si>
    <t>[BLDC study] scan</t>
    <phoneticPr fontId="3"/>
  </si>
  <si>
    <t>CDH1*pi, CDH1*K</t>
    <phoneticPr fontId="3"/>
  </si>
  <si>
    <t>[CDC study] Vth=0.60V, Dora=+938</t>
    <phoneticPr fontId="3"/>
  </si>
  <si>
    <t>[CDC study] Vth=0.45V, Dora=+938</t>
    <phoneticPr fontId="3"/>
  </si>
  <si>
    <t>[CDC study] Vth=0.75V, Dora=+938</t>
    <phoneticPr fontId="3"/>
  </si>
  <si>
    <t>[CDC study] Vth=0.60V, Dora=0, USWK=0</t>
    <phoneticPr fontId="3"/>
  </si>
  <si>
    <t>[USKW scan] 1700~2200, collector dead</t>
    <phoneticPr fontId="3"/>
  </si>
  <si>
    <t>[USWK scan] -1900~-1600, collector dead</t>
    <phoneticPr fontId="3"/>
  </si>
  <si>
    <t>[USWK scan] -1600~-2100, NC-TDC-U17 dead</t>
    <phoneticPr fontId="3"/>
  </si>
  <si>
    <t>junk</t>
    <phoneticPr fontId="3"/>
  </si>
  <si>
    <t>[USWK scan] 700, NC-TDC-U17 fixed</t>
    <phoneticPr fontId="3"/>
  </si>
  <si>
    <t>[D5 scan] -1866, BPD=default</t>
    <phoneticPr fontId="3"/>
  </si>
  <si>
    <t>[D5 scan] -1866, BPD=-0.2V</t>
    <phoneticPr fontId="3"/>
  </si>
  <si>
    <t>[D5 scan] -1866, BPD=+0.2V</t>
    <phoneticPr fontId="3"/>
  </si>
  <si>
    <t>[D5 scan] -1866, BPD=+0.4V</t>
    <phoneticPr fontId="3"/>
  </si>
  <si>
    <t>[D5 scan] -1366, BPD=default</t>
    <phoneticPr fontId="3"/>
  </si>
  <si>
    <t>[D5 scan] -1366, BPD=+0.4V</t>
    <phoneticPr fontId="3"/>
  </si>
  <si>
    <t>[D5 scan] -1366, BPD=+0.2V</t>
    <phoneticPr fontId="3"/>
  </si>
  <si>
    <t>[D5 scan] -1366, BPD=-0.2V</t>
    <phoneticPr fontId="3"/>
  </si>
  <si>
    <t>K</t>
    <phoneticPr fontId="3"/>
  </si>
  <si>
    <t>[kaon record]</t>
    <phoneticPr fontId="3"/>
  </si>
  <si>
    <t>[CM scan] 355</t>
    <phoneticPr fontId="3"/>
  </si>
  <si>
    <t>[CM scan] 350, junk data?</t>
    <phoneticPr fontId="3"/>
  </si>
  <si>
    <t>[CM scan] 345</t>
    <phoneticPr fontId="3"/>
  </si>
  <si>
    <t>[CM scan] 340</t>
    <phoneticPr fontId="3"/>
  </si>
  <si>
    <t>[CM scan] 335</t>
    <phoneticPr fontId="3"/>
  </si>
  <si>
    <t>[CM scan] 347</t>
    <phoneticPr fontId="3"/>
  </si>
  <si>
    <t>off</t>
    <phoneticPr fontId="3"/>
  </si>
  <si>
    <t>1700~2200</t>
    <phoneticPr fontId="3"/>
  </si>
  <si>
    <t>700~</t>
    <phoneticPr fontId="3"/>
  </si>
  <si>
    <t>-1600~-2100</t>
    <phoneticPr fontId="3"/>
  </si>
  <si>
    <t>-1900~-1600</t>
    <phoneticPr fontId="3"/>
  </si>
  <si>
    <t>[IF-Y scan] 0.2 - 0.5</t>
    <phoneticPr fontId="3"/>
  </si>
  <si>
    <t>[IF-Y scan] 0.7 - 1.0</t>
    <phoneticPr fontId="3"/>
  </si>
  <si>
    <t>[IF-Y scan] 1.2 - 1.5</t>
    <phoneticPr fontId="3"/>
  </si>
  <si>
    <t>[IF-Y scan] 1.7 - 2.0</t>
    <phoneticPr fontId="3"/>
  </si>
  <si>
    <t>[IF-Y scan] 2.2 - 2.5</t>
    <phoneticPr fontId="3"/>
  </si>
  <si>
    <t>[IF-Y scan] 2.7 - 3.0</t>
    <phoneticPr fontId="3"/>
  </si>
  <si>
    <t>[IF-Y scan] 3.2 - 3.5</t>
    <phoneticPr fontId="3"/>
  </si>
  <si>
    <t>[IF-Y scan] 3.7 - 4.0</t>
    <phoneticPr fontId="3"/>
  </si>
  <si>
    <t>[MS scan] -2.48 - -3.37</t>
    <phoneticPr fontId="3"/>
  </si>
  <si>
    <t>[MS scan] -1.49 - -2.38</t>
    <phoneticPr fontId="3"/>
  </si>
  <si>
    <t>[MS scan] -0.51 - -1.40</t>
    <phoneticPr fontId="3"/>
  </si>
  <si>
    <t>[MS scan] 0.47 - -0.38</t>
    <phoneticPr fontId="3"/>
  </si>
  <si>
    <t>[MS scan] 1.49 - 0.61</t>
    <phoneticPr fontId="3"/>
  </si>
  <si>
    <t>[MS scan] 2.48 - 1.63</t>
    <phoneticPr fontId="3"/>
  </si>
  <si>
    <t>[MS scan] 3.49 - 2.65</t>
    <phoneticPr fontId="3"/>
  </si>
  <si>
    <t>[MS scan] 4.48 - 3.64</t>
    <phoneticPr fontId="3"/>
  </si>
  <si>
    <t>on</t>
    <phoneticPr fontId="3"/>
  </si>
  <si>
    <t>off</t>
    <phoneticPr fontId="3"/>
  </si>
  <si>
    <t>[beam record] DEF off, BPD=-0.2V</t>
    <phoneticPr fontId="3"/>
  </si>
  <si>
    <t>[beam record] DEF on, BPD=-0.2V</t>
    <phoneticPr fontId="3"/>
  </si>
  <si>
    <t>pi</t>
    <phoneticPr fontId="3"/>
  </si>
  <si>
    <t>[pi record] BPD=-0.2V</t>
    <phoneticPr fontId="3"/>
  </si>
  <si>
    <t>[pi record] BPD=+0.2V</t>
    <phoneticPr fontId="3"/>
  </si>
  <si>
    <t>[pi record] BPD=+0.4V</t>
    <phoneticPr fontId="3"/>
  </si>
  <si>
    <t>p</t>
    <phoneticPr fontId="3"/>
  </si>
  <si>
    <t>435-&gt;420</t>
    <phoneticPr fontId="3"/>
  </si>
  <si>
    <t>[CM scan for pbar] 410</t>
    <phoneticPr fontId="3"/>
  </si>
  <si>
    <t>[CM scan for pbar] 415</t>
    <phoneticPr fontId="3"/>
  </si>
  <si>
    <t>[CM scan for pbar] 420</t>
    <phoneticPr fontId="3"/>
  </si>
  <si>
    <t>[CM scan for pbar] 425</t>
    <phoneticPr fontId="3"/>
  </si>
  <si>
    <t>[CM scan for pbar] 430</t>
    <phoneticPr fontId="3"/>
  </si>
  <si>
    <t>[CM scan for pbar] 435-&gt;420</t>
    <phoneticPr fontId="3"/>
  </si>
  <si>
    <t>p</t>
    <phoneticPr fontId="3"/>
  </si>
  <si>
    <t>[USWK scan with pbar] -1900</t>
    <phoneticPr fontId="3"/>
  </si>
  <si>
    <t>[USWK scan with pbar] -1600</t>
    <phoneticPr fontId="3"/>
  </si>
  <si>
    <t>[USWK scan with pbar] -1200</t>
    <phoneticPr fontId="3"/>
  </si>
  <si>
    <t>[USWK scan with pbar] -900</t>
    <phoneticPr fontId="3"/>
  </si>
  <si>
    <t>[USWK scan with pbar] -600</t>
    <phoneticPr fontId="3"/>
  </si>
  <si>
    <t>[USWK scan with pbar] -300</t>
    <phoneticPr fontId="3"/>
  </si>
  <si>
    <t>[USWK scan with pbar] 0</t>
    <phoneticPr fontId="3"/>
  </si>
  <si>
    <t>[USWK scan with pbar] 350</t>
    <phoneticPr fontId="3"/>
  </si>
  <si>
    <t>[USWK scan with pbar] 700</t>
    <phoneticPr fontId="3"/>
  </si>
  <si>
    <t>[USWK scan with pbar] 2100</t>
    <phoneticPr fontId="3"/>
  </si>
  <si>
    <t>[kano beam] CM=345</t>
    <phoneticPr fontId="3"/>
  </si>
  <si>
    <t>[kano beam] CM=347</t>
    <phoneticPr fontId="3"/>
  </si>
  <si>
    <t>trigger check</t>
    <phoneticPr fontId="3"/>
  </si>
  <si>
    <t>[trigger check] USWK=+1600</t>
    <phoneticPr fontId="3"/>
  </si>
  <si>
    <t>[trigger check] USWK=+1500</t>
    <phoneticPr fontId="3"/>
  </si>
  <si>
    <t>[trigger check] USWK=+1400</t>
    <phoneticPr fontId="3"/>
  </si>
  <si>
    <t>[empty run] w/ BLC2b cable swap, no DEF-TDC-D5</t>
    <phoneticPr fontId="3"/>
  </si>
  <si>
    <t>production run</t>
    <phoneticPr fontId="3"/>
  </si>
  <si>
    <t>31.5kW</t>
    <phoneticPr fontId="3"/>
  </si>
  <si>
    <t>total</t>
    <phoneticPr fontId="3"/>
  </si>
  <si>
    <t>p, beam/5</t>
  </si>
  <si>
    <t>[beam record]</t>
    <phoneticPr fontId="3"/>
  </si>
  <si>
    <t>[production run]</t>
    <phoneticPr fontId="3"/>
  </si>
  <si>
    <t>[production run] beam*AC timing was changed</t>
    <phoneticPr fontId="3"/>
  </si>
  <si>
    <t>(CDH1*K, pi/10*vBVC, K/20*vBVC, K/15k, beam/70k) x (NC*vCVC*vBVC, charge, CDH1*K/120, CDH2*K/20, CDH3*K/7, beam/70k, K/15k)</t>
    <phoneticPr fontId="3"/>
  </si>
  <si>
    <t>[production run] no SKS-trig</t>
    <phoneticPr fontId="3"/>
  </si>
  <si>
    <t>p</t>
    <phoneticPr fontId="3"/>
  </si>
  <si>
    <t>p, beam/5</t>
    <phoneticPr fontId="3"/>
  </si>
  <si>
    <t>junk</t>
    <phoneticPr fontId="3"/>
  </si>
  <si>
    <t>junk</t>
    <phoneticPr fontId="3"/>
  </si>
  <si>
    <t>[USWK scan w/ pbar] -1900</t>
    <phoneticPr fontId="3"/>
  </si>
  <si>
    <t>[USWK scan w/ pbar] -1550</t>
    <phoneticPr fontId="3"/>
  </si>
  <si>
    <t>[USWK scan w/ pbar] -1200</t>
    <phoneticPr fontId="3"/>
  </si>
  <si>
    <t>[USWK scan w/ pbar] -900</t>
    <phoneticPr fontId="3"/>
  </si>
  <si>
    <t>[USWK scan w/ pbar] -600</t>
    <phoneticPr fontId="3"/>
  </si>
  <si>
    <t>[USWK scan w/ pbar] -300</t>
    <phoneticPr fontId="3"/>
  </si>
  <si>
    <t>[USWK scan w/ pbar] 0</t>
    <phoneticPr fontId="3"/>
  </si>
  <si>
    <t>[USWK scan w/ pbar] 350</t>
    <phoneticPr fontId="3"/>
  </si>
  <si>
    <t>[USWK scan w/ pbar] 700</t>
    <phoneticPr fontId="3"/>
  </si>
  <si>
    <t>[USWK scan w/ pbar] 2100</t>
    <phoneticPr fontId="3"/>
  </si>
  <si>
    <t>D2</t>
    <phoneticPr fontId="3"/>
  </si>
  <si>
    <t>(CDH2*K) x (NC*vCVC*vBVC, CDH2*K/2)</t>
    <phoneticPr fontId="3"/>
  </si>
  <si>
    <t>[pbar production]</t>
    <phoneticPr fontId="3"/>
  </si>
  <si>
    <t>junk</t>
    <phoneticPr fontId="3"/>
  </si>
  <si>
    <t>(CDH1*K, pi/10*vBVC, K/20*vBVC, K/15k, beam/70k) x (NC*vCVC*vBVC, charge, CDH1*K/120, CDH2*K/20, CDH3*K/7, beam/70k, K/15k)</t>
  </si>
  <si>
    <t>pi</t>
    <phoneticPr fontId="3"/>
  </si>
  <si>
    <t>off</t>
    <phoneticPr fontId="3"/>
  </si>
  <si>
    <t>[D5 scan] -1866</t>
    <phoneticPr fontId="3"/>
  </si>
  <si>
    <t>[D5 scan] -1366</t>
    <phoneticPr fontId="3"/>
  </si>
  <si>
    <t>on</t>
    <phoneticPr fontId="3"/>
  </si>
  <si>
    <t>[production run]</t>
    <phoneticPr fontId="3"/>
  </si>
  <si>
    <t>[production run] miss setting in 2nd-trig</t>
    <phoneticPr fontId="3"/>
  </si>
  <si>
    <t>[production run] CDH3 study</t>
    <phoneticPr fontId="3"/>
  </si>
  <si>
    <t>[production run] no 2nd-trig, USWK=1400</t>
    <phoneticPr fontId="3"/>
  </si>
  <si>
    <t>[production run] no 2nd-trig in the beginning of the run</t>
    <phoneticPr fontId="3"/>
  </si>
  <si>
    <t>93end</t>
    <phoneticPr fontId="3"/>
  </si>
  <si>
    <t>[empty run] w/ BLC2b cable swap, stopped due to MPS</t>
    <phoneticPr fontId="3"/>
  </si>
  <si>
    <t>94end</t>
    <phoneticPr fontId="3"/>
  </si>
  <si>
    <t>95end</t>
    <phoneticPr fontId="3"/>
  </si>
  <si>
    <t>96</t>
    <phoneticPr fontId="3"/>
  </si>
  <si>
    <t>96end</t>
    <phoneticPr fontId="3"/>
  </si>
  <si>
    <t>[empty run] stopped due to MPS</t>
    <phoneticPr fontId="3"/>
  </si>
  <si>
    <t>98</t>
    <phoneticPr fontId="3"/>
  </si>
  <si>
    <t>98</t>
    <phoneticPr fontId="3"/>
  </si>
  <si>
    <t>98end</t>
    <phoneticPr fontId="3"/>
  </si>
  <si>
    <t>99end</t>
    <phoneticPr fontId="3"/>
  </si>
  <si>
    <t>100</t>
    <phoneticPr fontId="3"/>
  </si>
  <si>
    <t>100end</t>
    <phoneticPr fontId="3"/>
  </si>
  <si>
    <t>103</t>
    <phoneticPr fontId="3"/>
  </si>
  <si>
    <t>105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</si>
  <si>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</si>
  <si>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</si>
  <si>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</si>
  <si>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</si>
  <si>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</si>
  <si>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</si>
  <si>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</si>
  <si>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</si>
  <si>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132end</t>
    <phoneticPr fontId="3"/>
  </si>
  <si>
    <t>[production run] stopped due to MPS</t>
    <phoneticPr fontId="3"/>
  </si>
  <si>
    <t>33.5kW</t>
    <phoneticPr fontId="3"/>
  </si>
  <si>
    <t>157end</t>
    <phoneticPr fontId="3"/>
  </si>
  <si>
    <t>157</t>
    <phoneticPr fontId="3"/>
  </si>
  <si>
    <t>158</t>
    <phoneticPr fontId="3"/>
  </si>
  <si>
    <t>junk</t>
    <phoneticPr fontId="3"/>
  </si>
  <si>
    <t>beam/10</t>
    <phoneticPr fontId="3"/>
  </si>
  <si>
    <t>pi/10</t>
    <phoneticPr fontId="3"/>
  </si>
  <si>
    <t>[USWK scan] 0</t>
  </si>
  <si>
    <t>[USWK scan] 350</t>
  </si>
  <si>
    <t>[USWK scan] 700</t>
  </si>
  <si>
    <t>[USWK scan] 1800</t>
  </si>
  <si>
    <t>[USWK scan] 2100</t>
  </si>
  <si>
    <t>[USWK scan] -300, scaler value might be stramge</t>
    <phoneticPr fontId="3"/>
  </si>
  <si>
    <t>[D5 scan] -1866, scaler value might be stramge</t>
    <phoneticPr fontId="3"/>
  </si>
  <si>
    <t>[D5 scan] -1366, scaler value might be stramge</t>
    <phoneticPr fontId="3"/>
  </si>
  <si>
    <t>[USWK scan] -1900, scaler value might be stramge</t>
    <phoneticPr fontId="3"/>
  </si>
  <si>
    <t>[USWK scan] -1550, scaler value might be stramge</t>
    <phoneticPr fontId="3"/>
  </si>
  <si>
    <t>[USWK scan] -1200, scaler value might be stramge</t>
    <phoneticPr fontId="3"/>
  </si>
  <si>
    <t>[USWK scan] -900, scaler value might be stramge</t>
    <phoneticPr fontId="3"/>
  </si>
  <si>
    <t>[USWK scan] -600, scaler value might be stramge</t>
    <phoneticPr fontId="3"/>
  </si>
  <si>
    <r>
      <t>[beam record] scaler value might be stramge =</t>
    </r>
    <r>
      <rPr>
        <b/>
        <sz val="11"/>
        <rFont val="ＭＳ Ｐゴシック"/>
        <family val="3"/>
        <charset val="128"/>
      </rPr>
      <t>== 5.2s cycle started ===</t>
    </r>
    <phoneticPr fontId="3"/>
  </si>
  <si>
    <t>D2</t>
  </si>
  <si>
    <t>(CDH1*K, pi/10*vBVC, K/20*vBVC, K/15k, beam/70k) x (NC*vCVC*vBVC, charge, CDH1*K/120, CDH2*K/20, CDH3*K/7, beam/70k, K/15k, SKS*CDH1*K)</t>
  </si>
  <si>
    <t>[empty run] SKS*CDH1*K trigger was added</t>
  </si>
  <si>
    <t>(CDH1*K, pi/10*vBVC, K/20*vBVC, K/15k, beam/70k) x (NC*vCVC*vBVC, charge, CDH1*K/120, CDH2*K/20, CDH3*K/7, SKS*CDH1*K)</t>
  </si>
  <si>
    <t>(CDH1*K, pi/10*vBVC, K/20*vBVC, K/15k, beam/70k) x (NC*vCVC*vBVC, charge, CDH1*K/120, CDH2*K/20, CDH3*K/2, beam/70k, K/15k, SKS*CDH1*K)</t>
  </si>
  <si>
    <t>(CDH1*K, K/15k, beam/70k) x (NC*vCVC*vBVC, charge, CDH1*K/120, CDH2*K/20, CDH3*K/2, beam/70k, K/15k, SKS*CDH1*K)</t>
  </si>
  <si>
    <t>[production run] stopped due to MPS</t>
    <phoneticPr fontId="3"/>
  </si>
  <si>
    <t>[production run] collector dead -&gt; stopped</t>
    <phoneticPr fontId="3"/>
  </si>
  <si>
    <t>148</t>
    <phoneticPr fontId="3"/>
  </si>
  <si>
    <t>149</t>
    <phoneticPr fontId="3"/>
  </si>
  <si>
    <t>149end</t>
    <phoneticPr fontId="3"/>
  </si>
  <si>
    <t>[production run] MPS/collector dead -&gt; stopped</t>
    <phoneticPr fontId="3"/>
  </si>
  <si>
    <t>152</t>
    <phoneticPr fontId="3"/>
  </si>
  <si>
    <t>[production run]</t>
    <phoneticPr fontId="3"/>
  </si>
  <si>
    <t>153end</t>
    <phoneticPr fontId="3"/>
  </si>
  <si>
    <t>154</t>
    <phoneticPr fontId="3"/>
  </si>
  <si>
    <t>155</t>
    <phoneticPr fontId="3"/>
  </si>
  <si>
    <t>159</t>
    <phoneticPr fontId="3"/>
  </si>
  <si>
    <t>44.5kW</t>
    <phoneticPr fontId="3"/>
  </si>
  <si>
    <t>Main Log vol.39</t>
    <phoneticPr fontId="3"/>
  </si>
  <si>
    <t>junk</t>
    <phoneticPr fontId="3"/>
  </si>
  <si>
    <t>junk</t>
    <phoneticPr fontId="3"/>
  </si>
  <si>
    <t>TDC calibration</t>
    <phoneticPr fontId="3"/>
  </si>
  <si>
    <t>[TDC calibration] C2S9, C7S2, range=0.32, period=0.01</t>
    <phoneticPr fontId="3"/>
  </si>
  <si>
    <t>[TDC calibration] C5S8, range=1.28, period=0.04 (ch.15 dead)</t>
    <phoneticPr fontId="3"/>
  </si>
  <si>
    <t>[TDC calibration] C5S8, range=1.28, period=0.04</t>
    <phoneticPr fontId="3"/>
  </si>
  <si>
    <t>K, beam/10</t>
    <phoneticPr fontId="3"/>
  </si>
  <si>
    <t>[beam record]</t>
    <phoneticPr fontId="3"/>
  </si>
  <si>
    <t>beam/10</t>
    <phoneticPr fontId="3"/>
  </si>
  <si>
    <t>[D5 scan] -1866</t>
    <phoneticPr fontId="3"/>
  </si>
  <si>
    <t>[D5 scan] -1366</t>
    <phoneticPr fontId="3"/>
  </si>
  <si>
    <t>[CM scan] 355</t>
    <phoneticPr fontId="3"/>
  </si>
  <si>
    <t>[CM scan] 350</t>
    <phoneticPr fontId="3"/>
  </si>
  <si>
    <t>[CM scan] 345</t>
    <phoneticPr fontId="3"/>
  </si>
  <si>
    <t>[CM scan] 340</t>
    <phoneticPr fontId="3"/>
  </si>
  <si>
    <t>[CM scan] 335</t>
    <phoneticPr fontId="3"/>
  </si>
  <si>
    <t>[CM scan] 347</t>
    <phoneticPr fontId="3"/>
  </si>
  <si>
    <t>[IF-Y scan] 0.5, 0</t>
    <phoneticPr fontId="3"/>
  </si>
  <si>
    <t>[IF-Y scan] 1.0, 0.7</t>
    <phoneticPr fontId="3"/>
  </si>
  <si>
    <t>[IF-Y scan] 1.5, 1.2</t>
    <phoneticPr fontId="3"/>
  </si>
  <si>
    <t>[IF-Y scan] 2.0, 1.7</t>
    <phoneticPr fontId="3"/>
  </si>
  <si>
    <t>[IF-Y scan] 2.5, 2.2</t>
    <phoneticPr fontId="3"/>
  </si>
  <si>
    <t>[IF-Y scan] 3, 2.8</t>
    <phoneticPr fontId="3"/>
  </si>
  <si>
    <t>[MS scan] 0.01, -0.9</t>
    <phoneticPr fontId="3"/>
  </si>
  <si>
    <t>[MS scan] 1.04, 0.16</t>
    <phoneticPr fontId="3"/>
  </si>
  <si>
    <t>[MS scan] 1.99, 1.10</t>
    <phoneticPr fontId="3"/>
  </si>
  <si>
    <t>[MS scan] 3.02, 2.15</t>
    <phoneticPr fontId="3"/>
  </si>
  <si>
    <t>[MS scan] 4.00, 3.12</t>
    <phoneticPr fontId="3"/>
  </si>
  <si>
    <t>[MS scan] 2.53, 1.68</t>
    <phoneticPr fontId="3"/>
  </si>
  <si>
    <t>on</t>
    <phoneticPr fontId="3"/>
  </si>
  <si>
    <t>[production run]</t>
    <phoneticPr fontId="3"/>
  </si>
  <si>
    <t>190</t>
    <phoneticPr fontId="3"/>
  </si>
  <si>
    <t>190end</t>
    <phoneticPr fontId="3"/>
  </si>
  <si>
    <t>[production run] stopped due to MPS</t>
    <phoneticPr fontId="3"/>
  </si>
  <si>
    <t>191</t>
    <phoneticPr fontId="3"/>
  </si>
  <si>
    <t>191end</t>
    <phoneticPr fontId="3"/>
  </si>
  <si>
    <t>194</t>
    <phoneticPr fontId="3"/>
  </si>
  <si>
    <t>197end</t>
    <phoneticPr fontId="3"/>
  </si>
  <si>
    <t>196</t>
    <phoneticPr fontId="3"/>
  </si>
  <si>
    <t>[production run] collector dead -&gt; stopped</t>
    <phoneticPr fontId="3"/>
  </si>
  <si>
    <t>198end</t>
    <phoneticPr fontId="3"/>
  </si>
  <si>
    <t>199</t>
    <phoneticPr fontId="3"/>
  </si>
  <si>
    <t>200</t>
    <phoneticPr fontId="3"/>
  </si>
  <si>
    <t>201</t>
    <phoneticPr fontId="3"/>
  </si>
  <si>
    <t>date</t>
    <phoneticPr fontId="3"/>
  </si>
  <si>
    <t>allocation</t>
    <phoneticPr fontId="3"/>
  </si>
  <si>
    <t>KOT/h</t>
    <phoneticPr fontId="3"/>
  </si>
  <si>
    <t>expected KOT</t>
    <phoneticPr fontId="3"/>
  </si>
  <si>
    <t>100%</t>
    <phoneticPr fontId="3"/>
  </si>
  <si>
    <t>90%</t>
    <phoneticPr fontId="3"/>
  </si>
  <si>
    <t>80%</t>
    <phoneticPr fontId="3"/>
  </si>
  <si>
    <t>70%</t>
    <phoneticPr fontId="3"/>
  </si>
  <si>
    <t>integrated KOT</t>
    <phoneticPr fontId="3"/>
  </si>
  <si>
    <t>[D5 scan] -1866</t>
    <phoneticPr fontId="3"/>
  </si>
  <si>
    <t>[D5 scan] -1366</t>
    <phoneticPr fontId="3"/>
  </si>
  <si>
    <t>[USWK scan] -1900</t>
    <phoneticPr fontId="3"/>
  </si>
  <si>
    <t>[USWK scan] -1550</t>
    <phoneticPr fontId="3"/>
  </si>
  <si>
    <t>[USWK scan] -1200</t>
    <phoneticPr fontId="3"/>
  </si>
  <si>
    <t>[USWK scan] -900</t>
    <phoneticPr fontId="3"/>
  </si>
  <si>
    <t>[USWK scan] -600</t>
    <phoneticPr fontId="3"/>
  </si>
  <si>
    <t>[USWK scan] -300</t>
    <phoneticPr fontId="3"/>
  </si>
  <si>
    <t>pi</t>
    <phoneticPr fontId="3"/>
  </si>
  <si>
    <t>[USWK scan] 2150</t>
    <phoneticPr fontId="3"/>
  </si>
  <si>
    <t>217end</t>
    <phoneticPr fontId="3"/>
  </si>
  <si>
    <t>219</t>
    <phoneticPr fontId="3"/>
  </si>
  <si>
    <t>220</t>
    <phoneticPr fontId="3"/>
  </si>
  <si>
    <t>222</t>
    <phoneticPr fontId="3"/>
  </si>
  <si>
    <t>223</t>
    <phoneticPr fontId="3"/>
  </si>
  <si>
    <t>(CDH1*K, K/15k, beam/70k) x (NC*vCVC*vBVC, charge, CDH1*K/200, CDH2*K/50, CDH3*K/2, beam/70k, K/15k, SKS*CDH1*K)</t>
    <phoneticPr fontId="3"/>
  </si>
  <si>
    <t>[production run] stopped due to MPS</t>
    <phoneticPr fontId="3"/>
  </si>
  <si>
    <t>[production run] no SKS-TOF data, trigger sampling rate was changed</t>
    <phoneticPr fontId="3"/>
  </si>
  <si>
    <t>[production run] ERROR:vme-read(); input/output error around 5:01</t>
    <phoneticPr fontId="3"/>
  </si>
  <si>
    <t>224</t>
    <phoneticPr fontId="3"/>
  </si>
  <si>
    <t>225</t>
    <phoneticPr fontId="3"/>
  </si>
  <si>
    <t>[production run] stopped due to MPS</t>
    <phoneticPr fontId="3"/>
  </si>
  <si>
    <t>225end/226start</t>
    <phoneticPr fontId="3"/>
  </si>
  <si>
    <t>226</t>
    <phoneticPr fontId="3"/>
  </si>
  <si>
    <t>228</t>
    <phoneticPr fontId="3"/>
  </si>
  <si>
    <t>229</t>
    <phoneticPr fontId="3"/>
  </si>
  <si>
    <t>232</t>
    <phoneticPr fontId="3"/>
  </si>
  <si>
    <t>232end</t>
    <phoneticPr fontId="3"/>
  </si>
  <si>
    <t>233</t>
    <phoneticPr fontId="3"/>
  </si>
  <si>
    <t>234</t>
    <phoneticPr fontId="3"/>
  </si>
  <si>
    <t>235</t>
    <phoneticPr fontId="3"/>
  </si>
  <si>
    <t>235end</t>
    <phoneticPr fontId="3"/>
  </si>
  <si>
    <t>236</t>
    <phoneticPr fontId="3"/>
  </si>
  <si>
    <t>239</t>
    <phoneticPr fontId="3"/>
  </si>
  <si>
    <t>239end</t>
    <phoneticPr fontId="3"/>
  </si>
  <si>
    <t>242end</t>
    <phoneticPr fontId="3"/>
  </si>
  <si>
    <t>243</t>
    <phoneticPr fontId="3"/>
  </si>
  <si>
    <t>245</t>
    <phoneticPr fontId="3"/>
  </si>
  <si>
    <t>246</t>
    <phoneticPr fontId="3"/>
  </si>
  <si>
    <t>247</t>
    <phoneticPr fontId="3"/>
  </si>
  <si>
    <t>249</t>
    <phoneticPr fontId="3"/>
  </si>
  <si>
    <t>250end</t>
    <phoneticPr fontId="3"/>
  </si>
  <si>
    <t>250</t>
    <phoneticPr fontId="3"/>
  </si>
  <si>
    <t>[production run] stopped due to MPS</t>
    <phoneticPr fontId="3"/>
  </si>
  <si>
    <t>252</t>
    <phoneticPr fontId="3"/>
  </si>
  <si>
    <t>252end</t>
    <phoneticPr fontId="3"/>
  </si>
  <si>
    <t>254</t>
    <phoneticPr fontId="3"/>
  </si>
  <si>
    <t>255</t>
    <phoneticPr fontId="3"/>
  </si>
  <si>
    <t>254end/255start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</si>
  <si>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</si>
  <si>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</si>
  <si>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</si>
  <si>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</si>
  <si>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[production run] Q6 was unstable from 19:36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</si>
  <si>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</si>
  <si>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</si>
  <si>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</si>
  <si>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</si>
  <si>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</si>
  <si>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</si>
  <si>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</si>
  <si>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</si>
  <si>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[production run] CDC-1/2, FDC/BPC-cat tripped (ESS trip) -&gt; stopped (spill 273)</t>
    <phoneticPr fontId="3"/>
  </si>
  <si>
    <t>269</t>
    <phoneticPr fontId="3"/>
  </si>
  <si>
    <t>270</t>
    <phoneticPr fontId="3"/>
  </si>
  <si>
    <t>49.8kW</t>
    <phoneticPr fontId="3"/>
  </si>
  <si>
    <t>Main Log vol.40</t>
    <phoneticPr fontId="3"/>
  </si>
  <si>
    <t>[beam record]</t>
    <phoneticPr fontId="3"/>
  </si>
  <si>
    <t>junk</t>
    <phoneticPr fontId="3"/>
  </si>
  <si>
    <t>[CM scan] 350</t>
    <phoneticPr fontId="3"/>
  </si>
  <si>
    <t>[CM scan] 345</t>
    <phoneticPr fontId="3"/>
  </si>
  <si>
    <t>[CM scan] 340</t>
    <phoneticPr fontId="3"/>
  </si>
  <si>
    <t>[CM scan] 335</t>
    <phoneticPr fontId="3"/>
  </si>
  <si>
    <t>[CM scan] 355</t>
    <phoneticPr fontId="3"/>
  </si>
  <si>
    <t>[CM scan] 348</t>
    <phoneticPr fontId="3"/>
  </si>
  <si>
    <t>[IF-Y scan] 0.5, 0.1</t>
    <phoneticPr fontId="3"/>
  </si>
  <si>
    <t>[IF-Y scan] 1.0, 0.7</t>
    <phoneticPr fontId="3"/>
  </si>
  <si>
    <t>[IF-Y scan] 1.5, 1.2</t>
    <phoneticPr fontId="3"/>
  </si>
  <si>
    <t>[IF-Y scan] 2.0, 1.7</t>
    <phoneticPr fontId="3"/>
  </si>
  <si>
    <t>[IF-Y scan] 2.5, 2.2</t>
    <phoneticPr fontId="3"/>
  </si>
  <si>
    <t>[IF-Y scan] 3.0, 2.7</t>
    <phoneticPr fontId="3"/>
  </si>
  <si>
    <t>[IF-Y scan] 3.5, 3.2</t>
    <phoneticPr fontId="3"/>
  </si>
  <si>
    <t>[MS scan] -0.02, -0.88</t>
    <phoneticPr fontId="3"/>
  </si>
  <si>
    <t>[MS scan] 1.00, 0.00</t>
    <phoneticPr fontId="3"/>
  </si>
  <si>
    <t>[MS scan] 1.98, 1.10</t>
    <phoneticPr fontId="3"/>
  </si>
  <si>
    <t>[MS scan] 3.01, 2.14</t>
    <phoneticPr fontId="3"/>
  </si>
  <si>
    <t>[MS scan] 3.98, 3.11</t>
    <phoneticPr fontId="3"/>
  </si>
  <si>
    <t>[MS scan] 2.49, 1.66</t>
    <phoneticPr fontId="3"/>
  </si>
  <si>
    <t>beam/2</t>
    <phoneticPr fontId="3"/>
  </si>
  <si>
    <t>pi</t>
    <phoneticPr fontId="3"/>
  </si>
  <si>
    <t>[D5 scan] -1866</t>
    <phoneticPr fontId="3"/>
  </si>
  <si>
    <t>[D5 scan] -1366</t>
    <phoneticPr fontId="3"/>
  </si>
  <si>
    <t>307end</t>
    <phoneticPr fontId="3"/>
  </si>
  <si>
    <t>308</t>
    <phoneticPr fontId="3"/>
  </si>
  <si>
    <t>309</t>
    <phoneticPr fontId="3"/>
  </si>
  <si>
    <t>311</t>
    <phoneticPr fontId="3"/>
  </si>
  <si>
    <t>312end</t>
    <phoneticPr fontId="3"/>
  </si>
  <si>
    <t>313</t>
    <phoneticPr fontId="3"/>
  </si>
  <si>
    <r>
      <t>3</t>
    </r>
    <r>
      <rPr>
        <sz val="11"/>
        <rFont val="ＭＳ Ｐゴシック"/>
        <family val="3"/>
        <charset val="128"/>
      </rPr>
      <t>13</t>
    </r>
    <phoneticPr fontId="3"/>
  </si>
  <si>
    <r>
      <t>3</t>
    </r>
    <r>
      <rPr>
        <sz val="11"/>
        <rFont val="ＭＳ Ｐゴシック"/>
        <family val="3"/>
        <charset val="128"/>
      </rPr>
      <t>15</t>
    </r>
    <phoneticPr fontId="3"/>
  </si>
  <si>
    <t>316end</t>
    <phoneticPr fontId="3"/>
  </si>
  <si>
    <t>cycle was changed to 5.2s</t>
    <phoneticPr fontId="3"/>
  </si>
  <si>
    <t>50.7kW</t>
    <phoneticPr fontId="3"/>
  </si>
  <si>
    <t>[pbar beam] D4=1913</t>
    <phoneticPr fontId="3"/>
  </si>
  <si>
    <t>beam-power calibration was changed</t>
    <phoneticPr fontId="3"/>
  </si>
  <si>
    <t>K, beam/10</t>
    <phoneticPr fontId="3"/>
  </si>
  <si>
    <t>[beam record]</t>
    <phoneticPr fontId="3"/>
  </si>
  <si>
    <t>junk</t>
    <phoneticPr fontId="3"/>
  </si>
  <si>
    <t>beam/2</t>
    <phoneticPr fontId="3"/>
  </si>
  <si>
    <t>beam/2</t>
    <phoneticPr fontId="3"/>
  </si>
  <si>
    <t>[USWK scan w/ pbar] 1800</t>
    <phoneticPr fontId="3"/>
  </si>
  <si>
    <t>[USWK scan w/ pbar] 2150</t>
    <phoneticPr fontId="3"/>
  </si>
  <si>
    <t>335</t>
    <phoneticPr fontId="3"/>
  </si>
  <si>
    <t>336</t>
    <phoneticPr fontId="3"/>
  </si>
  <si>
    <t>337</t>
    <phoneticPr fontId="3"/>
  </si>
  <si>
    <t>[production run] no cosmic-ray data in 20:02~20:19</t>
  </si>
  <si>
    <t>[production run] no cosmic-ray data in 21:55~22:06</t>
  </si>
  <si>
    <t>[production run] no cosmic-ray data in 23:23~23:34</t>
  </si>
  <si>
    <t>[production run] no cosmic-ray data in 23:00~23:21</t>
  </si>
  <si>
    <t>[production run] no cosmic-ray data in 21:00~21:15, 21:21~21:25</t>
  </si>
  <si>
    <t>338</t>
    <phoneticPr fontId="3"/>
  </si>
  <si>
    <t>339</t>
    <phoneticPr fontId="3"/>
  </si>
  <si>
    <t>[production run] no cosmic-ray data in 23:29~23:33</t>
    <phoneticPr fontId="3"/>
  </si>
  <si>
    <t>[production run]</t>
    <phoneticPr fontId="3"/>
  </si>
  <si>
    <t>342</t>
    <phoneticPr fontId="3"/>
  </si>
  <si>
    <t>343</t>
    <phoneticPr fontId="3"/>
  </si>
  <si>
    <t>[production run] ESS trip -&gt; DCs down -&gt; stopped</t>
    <phoneticPr fontId="3"/>
  </si>
  <si>
    <t>344</t>
    <phoneticPr fontId="3"/>
  </si>
  <si>
    <t>[production run] beam condition was changed dureing this run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</si>
  <si>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</si>
  <si>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</si>
  <si>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</si>
  <si>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</si>
  <si>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</si>
  <si>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351</t>
    <phoneticPr fontId="3"/>
  </si>
  <si>
    <t>[production run] stopped due to MPS</t>
    <phoneticPr fontId="3"/>
  </si>
  <si>
    <t>351end</t>
    <phoneticPr fontId="3"/>
  </si>
  <si>
    <t>352</t>
    <phoneticPr fontId="3"/>
  </si>
  <si>
    <t>353</t>
    <phoneticPr fontId="3"/>
  </si>
  <si>
    <t>354</t>
    <phoneticPr fontId="3"/>
  </si>
  <si>
    <t>[production run] BPD bias 73.8-&gt;73.9V</t>
    <phoneticPr fontId="3"/>
  </si>
  <si>
    <t>357</t>
    <phoneticPr fontId="3"/>
  </si>
  <si>
    <t>356end</t>
    <phoneticPr fontId="3"/>
  </si>
  <si>
    <t>357end</t>
    <phoneticPr fontId="3"/>
  </si>
  <si>
    <t>358</t>
    <phoneticPr fontId="3"/>
  </si>
  <si>
    <t>359</t>
    <phoneticPr fontId="3"/>
  </si>
  <si>
    <t>[production run] no cosmic-ray data in 18:34~18:44, 19:14~19:24</t>
    <phoneticPr fontId="3"/>
  </si>
  <si>
    <t>360</t>
    <phoneticPr fontId="3"/>
  </si>
  <si>
    <t>junk</t>
    <phoneticPr fontId="3"/>
  </si>
  <si>
    <t>362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</si>
  <si>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</si>
  <si>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</si>
  <si>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</si>
  <si>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</si>
  <si>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368end</t>
    <phoneticPr fontId="3"/>
  </si>
  <si>
    <t>369end/370start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</si>
  <si>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</si>
  <si>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</si>
  <si>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</si>
  <si>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</si>
  <si>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</si>
  <si>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</si>
  <si>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</si>
  <si>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</si>
  <si>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</si>
  <si>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380end</t>
    <phoneticPr fontId="3"/>
  </si>
  <si>
    <t>beam/2</t>
    <phoneticPr fontId="3"/>
  </si>
  <si>
    <t>beam/2</t>
    <phoneticPr fontId="3"/>
  </si>
  <si>
    <t>400</t>
    <phoneticPr fontId="3"/>
  </si>
  <si>
    <t>383</t>
    <phoneticPr fontId="3"/>
  </si>
  <si>
    <t>384</t>
    <phoneticPr fontId="3"/>
  </si>
  <si>
    <t>385</t>
    <phoneticPr fontId="3"/>
  </si>
  <si>
    <t>387</t>
    <phoneticPr fontId="3"/>
  </si>
  <si>
    <t>389</t>
    <phoneticPr fontId="3"/>
  </si>
  <si>
    <t>390</t>
    <phoneticPr fontId="3"/>
  </si>
  <si>
    <t>401</t>
    <phoneticPr fontId="3"/>
  </si>
  <si>
    <t>402</t>
    <phoneticPr fontId="3"/>
  </si>
  <si>
    <t>391</t>
    <phoneticPr fontId="3"/>
  </si>
  <si>
    <t>392</t>
    <phoneticPr fontId="3"/>
  </si>
  <si>
    <t>[production run] BLDC high-gain</t>
    <phoneticPr fontId="3"/>
  </si>
  <si>
    <t>[production run] BLDC high-gain, BPC-Vth=0.45V</t>
    <phoneticPr fontId="3"/>
  </si>
  <si>
    <t>395end</t>
    <phoneticPr fontId="3"/>
  </si>
  <si>
    <t>[production run] stopped due to MPS</t>
    <phoneticPr fontId="3"/>
  </si>
  <si>
    <t>396end</t>
    <phoneticPr fontId="3"/>
  </si>
  <si>
    <t>397</t>
    <phoneticPr fontId="3"/>
  </si>
  <si>
    <t>399</t>
    <phoneticPr fontId="3"/>
  </si>
  <si>
    <t>403</t>
    <phoneticPr fontId="3"/>
  </si>
  <si>
    <t>404</t>
    <phoneticPr fontId="3"/>
  </si>
  <si>
    <t>404end</t>
    <phoneticPr fontId="3"/>
  </si>
  <si>
    <t>[production run] BLDC high-gain, BPC-Vth=0.45V, wrong CVC2-trig, stopped due to MPS</t>
    <phoneticPr fontId="3"/>
  </si>
  <si>
    <t>406</t>
    <phoneticPr fontId="3"/>
  </si>
  <si>
    <t>406end</t>
    <phoneticPr fontId="3"/>
  </si>
  <si>
    <t>[production run] BLDC high-gain, BPC-Vth=0.45V, stopped due to MPS</t>
    <phoneticPr fontId="3"/>
  </si>
  <si>
    <t>407</t>
    <phoneticPr fontId="3"/>
  </si>
  <si>
    <t>Main Log vol.41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</si>
  <si>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</si>
  <si>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</si>
  <si>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</si>
  <si>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</si>
  <si>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[production run] D4=-1928</t>
    <phoneticPr fontId="3"/>
  </si>
  <si>
    <t>413</t>
    <phoneticPr fontId="3"/>
  </si>
  <si>
    <t>424</t>
    <phoneticPr fontId="3"/>
  </si>
  <si>
    <t>425</t>
    <phoneticPr fontId="3"/>
  </si>
  <si>
    <t>414</t>
    <phoneticPr fontId="3"/>
  </si>
  <si>
    <t>[production run] BLC1-Vth=1.2V</t>
    <phoneticPr fontId="3"/>
  </si>
  <si>
    <t>415</t>
    <phoneticPr fontId="3"/>
  </si>
  <si>
    <t>50.8kW</t>
    <phoneticPr fontId="3"/>
  </si>
  <si>
    <t>416</t>
    <phoneticPr fontId="3"/>
  </si>
  <si>
    <t>417</t>
    <phoneticPr fontId="3"/>
  </si>
  <si>
    <t>419</t>
    <phoneticPr fontId="3"/>
  </si>
  <si>
    <t>421</t>
    <phoneticPr fontId="3"/>
  </si>
  <si>
    <t>422</t>
    <phoneticPr fontId="3"/>
  </si>
  <si>
    <t>426</t>
    <phoneticPr fontId="3"/>
  </si>
  <si>
    <t>427end/428start</t>
    <phoneticPr fontId="3"/>
  </si>
  <si>
    <t>429</t>
    <phoneticPr fontId="3"/>
  </si>
  <si>
    <t>431</t>
    <phoneticPr fontId="3"/>
  </si>
  <si>
    <t>[production run] stopped due to MPS</t>
    <phoneticPr fontId="3"/>
  </si>
  <si>
    <t>431end/432start</t>
    <phoneticPr fontId="3"/>
  </si>
  <si>
    <t>432</t>
    <phoneticPr fontId="3"/>
  </si>
  <si>
    <t>433</t>
    <phoneticPr fontId="3"/>
  </si>
  <si>
    <t>[D5 scan] -1366, collector dead -&gt; stop</t>
    <phoneticPr fontId="3"/>
  </si>
  <si>
    <t>454</t>
    <phoneticPr fontId="3"/>
  </si>
  <si>
    <t>455</t>
    <phoneticPr fontId="3"/>
  </si>
  <si>
    <t>457</t>
    <phoneticPr fontId="3"/>
  </si>
  <si>
    <t>458</t>
    <phoneticPr fontId="3"/>
  </si>
  <si>
    <t>459</t>
    <phoneticPr fontId="3"/>
  </si>
  <si>
    <t>[production run] ESS trip -&gt; DCs down -&gt; stopped</t>
    <phoneticPr fontId="3"/>
  </si>
  <si>
    <t>462</t>
    <phoneticPr fontId="3"/>
  </si>
  <si>
    <t>[production run] including logn beam-off time of ~2h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</si>
  <si>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</si>
  <si>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</si>
  <si>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</si>
  <si>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</si>
  <si>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junk</t>
    <phoneticPr fontId="3"/>
  </si>
  <si>
    <t>pi/5</t>
    <phoneticPr fontId="3"/>
  </si>
  <si>
    <t>pi/10</t>
    <phoneticPr fontId="3"/>
  </si>
  <si>
    <t>pi/50</t>
    <phoneticPr fontId="3"/>
  </si>
  <si>
    <t>pi/10-&gt;pi/50</t>
    <phoneticPr fontId="3"/>
  </si>
  <si>
    <t>[D5 scan] -1366, collector dead -&gt; stop</t>
    <phoneticPr fontId="3"/>
  </si>
  <si>
    <t>[USWK scan] -600, collector dead -&gt; stop</t>
    <phoneticPr fontId="3"/>
  </si>
  <si>
    <t>[USWK scan] -300, collector dead -&gt; stop</t>
    <phoneticPr fontId="3"/>
  </si>
  <si>
    <t>[USWK scan] 0, collector dead -&gt; stop</t>
    <phoneticPr fontId="3"/>
  </si>
  <si>
    <t>[USWK scan] 350, collector dead -&gt; stop</t>
    <phoneticPr fontId="3"/>
  </si>
  <si>
    <t>468</t>
    <phoneticPr fontId="3"/>
  </si>
  <si>
    <t>468end</t>
    <phoneticPr fontId="3"/>
  </si>
  <si>
    <t>470</t>
    <phoneticPr fontId="3"/>
  </si>
  <si>
    <t>471</t>
    <phoneticPr fontId="3"/>
  </si>
  <si>
    <t>472</t>
    <phoneticPr fontId="3"/>
  </si>
  <si>
    <t>472end/473start</t>
    <phoneticPr fontId="3"/>
  </si>
  <si>
    <t>473</t>
    <phoneticPr fontId="3"/>
  </si>
  <si>
    <t>474</t>
    <phoneticPr fontId="3"/>
  </si>
  <si>
    <t>487</t>
    <phoneticPr fontId="3"/>
  </si>
  <si>
    <t>488</t>
    <phoneticPr fontId="3"/>
  </si>
  <si>
    <t>475</t>
    <phoneticPr fontId="3"/>
  </si>
  <si>
    <t>476</t>
    <phoneticPr fontId="3"/>
  </si>
  <si>
    <t>478</t>
    <phoneticPr fontId="3"/>
  </si>
  <si>
    <t>[production run] BLC1a3L noisy</t>
    <phoneticPr fontId="3"/>
  </si>
  <si>
    <t>[production run] BLC1aL3 noisy</t>
    <phoneticPr fontId="3"/>
  </si>
  <si>
    <t>[production run] BLC1-Vth=1.2V, BLC1aL3 noisy</t>
    <phoneticPr fontId="3"/>
  </si>
  <si>
    <t>[production run] D4=-1933 (from this run, D4=-1933), BLC1-Vth=1.2V, BLC1aL3 noisy</t>
    <phoneticPr fontId="3"/>
  </si>
  <si>
    <t>[production run] D4=-1928 (default=-1938), BLC1aL3 noisy</t>
    <phoneticPr fontId="3"/>
  </si>
  <si>
    <t>[production run] BLC1aL3 noisy, stopped to check BLC1a</t>
    <phoneticPr fontId="3"/>
  </si>
  <si>
    <t>481</t>
    <phoneticPr fontId="3"/>
  </si>
  <si>
    <t>482</t>
    <phoneticPr fontId="3"/>
  </si>
  <si>
    <t>484</t>
    <phoneticPr fontId="3"/>
  </si>
  <si>
    <t>beam/10</t>
    <phoneticPr fontId="3"/>
  </si>
  <si>
    <t>[D5 scan] -1866, collector dead -&gt; stop</t>
    <phoneticPr fontId="3"/>
  </si>
  <si>
    <t>485</t>
    <phoneticPr fontId="3"/>
  </si>
  <si>
    <t>486</t>
    <phoneticPr fontId="3"/>
  </si>
  <si>
    <t>516end</t>
    <phoneticPr fontId="3"/>
  </si>
  <si>
    <t>516</t>
    <phoneticPr fontId="3"/>
  </si>
  <si>
    <t>beam/2</t>
    <phoneticPr fontId="3"/>
  </si>
  <si>
    <t>[beam record] D4=-1933</t>
    <phoneticPr fontId="3"/>
  </si>
  <si>
    <t>[beam record] D4=-1938 &lt;- default setting from this run</t>
    <phoneticPr fontId="3"/>
  </si>
  <si>
    <t>K, beam/10</t>
    <phoneticPr fontId="3"/>
  </si>
  <si>
    <t>K, beam/2</t>
    <phoneticPr fontId="3"/>
  </si>
  <si>
    <t>50.3kW</t>
    <phoneticPr fontId="3"/>
  </si>
  <si>
    <t>520</t>
    <phoneticPr fontId="3"/>
  </si>
  <si>
    <t>521</t>
    <phoneticPr fontId="3"/>
  </si>
  <si>
    <t>522</t>
    <phoneticPr fontId="3"/>
  </si>
  <si>
    <t>[production run] BPD bias 73.8-&gt;73.9V</t>
    <phoneticPr fontId="3"/>
  </si>
  <si>
    <t>[production run]  BPD bias 73.9-&gt;73.8V, stopped due to MPS</t>
    <phoneticPr fontId="3"/>
  </si>
  <si>
    <t>[production run]  BPD bias 74.0-&gt;73.9V</t>
    <phoneticPr fontId="3"/>
  </si>
  <si>
    <t>[production run] BPD bias 73.9-&gt;74.0V</t>
    <phoneticPr fontId="3"/>
  </si>
  <si>
    <t>536</t>
    <phoneticPr fontId="3"/>
  </si>
  <si>
    <t>525</t>
    <phoneticPr fontId="3"/>
  </si>
  <si>
    <t>Main Log vol.42</t>
    <phoneticPr fontId="3"/>
  </si>
  <si>
    <t>526</t>
    <phoneticPr fontId="3"/>
  </si>
  <si>
    <t>527</t>
    <phoneticPr fontId="3"/>
  </si>
  <si>
    <t>528</t>
    <phoneticPr fontId="3"/>
  </si>
  <si>
    <t>528end</t>
    <phoneticPr fontId="3"/>
  </si>
  <si>
    <t>[production run] stopped due to MPS</t>
    <phoneticPr fontId="3"/>
  </si>
  <si>
    <t>529</t>
    <phoneticPr fontId="3"/>
  </si>
  <si>
    <t>529end</t>
    <phoneticPr fontId="3"/>
  </si>
  <si>
    <t>537</t>
    <phoneticPr fontId="3"/>
  </si>
  <si>
    <t>530</t>
    <phoneticPr fontId="3"/>
  </si>
  <si>
    <t>531</t>
    <phoneticPr fontId="3"/>
  </si>
  <si>
    <t>[production run] stopped due to T1 targetting</t>
    <phoneticPr fontId="3"/>
  </si>
  <si>
    <t>532</t>
    <phoneticPr fontId="3"/>
  </si>
  <si>
    <t>531end/532start</t>
    <phoneticPr fontId="3"/>
  </si>
  <si>
    <t>533</t>
    <phoneticPr fontId="3"/>
  </si>
  <si>
    <t>534</t>
    <phoneticPr fontId="3"/>
  </si>
  <si>
    <t>[production run] 4:55~5:20 T1 targetting</t>
    <phoneticPr fontId="3"/>
  </si>
  <si>
    <t>535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</si>
  <si>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</si>
  <si>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</si>
  <si>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</si>
  <si>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</si>
  <si>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</si>
  <si>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</si>
  <si>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543end</t>
    <phoneticPr fontId="3"/>
  </si>
  <si>
    <t>544</t>
    <phoneticPr fontId="3"/>
  </si>
  <si>
    <t>545</t>
    <phoneticPr fontId="3"/>
  </si>
  <si>
    <t>546</t>
    <phoneticPr fontId="3"/>
  </si>
  <si>
    <t>546end</t>
    <phoneticPr fontId="3"/>
  </si>
  <si>
    <t>[production run] stopped due to MR maintenance</t>
    <phoneticPr fontId="3"/>
  </si>
  <si>
    <t>547</t>
    <phoneticPr fontId="3"/>
  </si>
  <si>
    <t>547end</t>
    <phoneticPr fontId="3"/>
  </si>
  <si>
    <t>548end</t>
    <phoneticPr fontId="3"/>
  </si>
  <si>
    <t>560</t>
    <phoneticPr fontId="3"/>
  </si>
  <si>
    <t>549</t>
    <phoneticPr fontId="3"/>
  </si>
  <si>
    <t>551end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</si>
  <si>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</si>
  <si>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</si>
  <si>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</si>
  <si>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</si>
  <si>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</si>
  <si>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</si>
  <si>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</si>
  <si>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kW*week/h</t>
    <phoneticPr fontId="3"/>
  </si>
  <si>
    <t>49.6kW</t>
    <phoneticPr fontId="3"/>
  </si>
  <si>
    <t>[beam record]</t>
    <phoneticPr fontId="3"/>
  </si>
  <si>
    <t>578</t>
    <phoneticPr fontId="3"/>
  </si>
  <si>
    <t>579</t>
    <phoneticPr fontId="3"/>
  </si>
  <si>
    <t>579end</t>
    <phoneticPr fontId="3"/>
  </si>
  <si>
    <t>[production run] stopped due to MPS</t>
    <phoneticPr fontId="3"/>
  </si>
  <si>
    <t>580end</t>
    <phoneticPr fontId="3"/>
  </si>
  <si>
    <t>581end</t>
    <phoneticPr fontId="3"/>
  </si>
  <si>
    <t>682</t>
    <phoneticPr fontId="3"/>
  </si>
  <si>
    <t>584</t>
    <phoneticPr fontId="3"/>
  </si>
  <si>
    <t>beam</t>
    <phoneticPr fontId="3"/>
  </si>
  <si>
    <t>beam</t>
    <phoneticPr fontId="3"/>
  </si>
  <si>
    <t>junk</t>
    <phoneticPr fontId="3"/>
  </si>
  <si>
    <t>585</t>
    <phoneticPr fontId="3"/>
  </si>
  <si>
    <t>586</t>
    <phoneticPr fontId="3"/>
  </si>
  <si>
    <t>[D5 scan] -1366, 0:38~0:43 no beam</t>
    <phoneticPr fontId="3"/>
  </si>
  <si>
    <t>pi/5</t>
    <phoneticPr fontId="3"/>
  </si>
  <si>
    <t>587</t>
    <phoneticPr fontId="3"/>
  </si>
  <si>
    <t>588</t>
    <phoneticPr fontId="3"/>
  </si>
  <si>
    <t>[production run] stop to reboot Q5/Q6</t>
    <phoneticPr fontId="3"/>
  </si>
  <si>
    <t>591</t>
    <phoneticPr fontId="3"/>
  </si>
  <si>
    <t>K/pi</t>
    <phoneticPr fontId="3"/>
  </si>
  <si>
    <t>true K
/spill</t>
    <phoneticPr fontId="3"/>
  </si>
  <si>
    <t>true pi
/spill</t>
    <phoneticPr fontId="3"/>
  </si>
  <si>
    <t>[production run]</t>
    <phoneticPr fontId="3"/>
  </si>
  <si>
    <t>[production run] collector dead -&gt; stopped</t>
    <phoneticPr fontId="3"/>
  </si>
  <si>
    <t>593end</t>
    <phoneticPr fontId="3"/>
  </si>
  <si>
    <t>594end</t>
    <phoneticPr fontId="3"/>
  </si>
  <si>
    <t>595</t>
    <phoneticPr fontId="3"/>
  </si>
  <si>
    <t>596</t>
    <phoneticPr fontId="3"/>
  </si>
  <si>
    <t>[production run] no cosmic-ray data in 18:23~18:27</t>
    <phoneticPr fontId="3"/>
  </si>
  <si>
    <t>597</t>
    <phoneticPr fontId="3"/>
  </si>
  <si>
    <t>598</t>
    <phoneticPr fontId="3"/>
  </si>
  <si>
    <t>598end</t>
    <phoneticPr fontId="3"/>
  </si>
  <si>
    <t>[production run] added 2ns delay to K*CDH1 in K*CDH1*SKS</t>
    <phoneticPr fontId="3"/>
  </si>
  <si>
    <t>602end</t>
    <phoneticPr fontId="3"/>
  </si>
  <si>
    <t>603</t>
    <phoneticPr fontId="3"/>
  </si>
  <si>
    <t>603end</t>
    <phoneticPr fontId="3"/>
  </si>
  <si>
    <t>604</t>
    <phoneticPr fontId="3"/>
  </si>
  <si>
    <t>610</t>
    <phoneticPr fontId="3"/>
  </si>
  <si>
    <t>605</t>
    <phoneticPr fontId="3"/>
  </si>
  <si>
    <t>606</t>
    <phoneticPr fontId="3"/>
  </si>
  <si>
    <t>607</t>
    <phoneticPr fontId="3"/>
  </si>
  <si>
    <t>610end</t>
    <phoneticPr fontId="3"/>
  </si>
  <si>
    <t>609</t>
    <phoneticPr fontId="3"/>
  </si>
  <si>
    <t>611</t>
    <phoneticPr fontId="3"/>
  </si>
  <si>
    <t>612</t>
    <phoneticPr fontId="3"/>
  </si>
  <si>
    <t>612end</t>
    <phoneticPr fontId="3"/>
  </si>
  <si>
    <t>613</t>
    <phoneticPr fontId="3"/>
  </si>
  <si>
    <t>615</t>
    <phoneticPr fontId="3"/>
  </si>
  <si>
    <t>[production run] beam condition was unstable due to Q5/Q6(?) -&gt; reboot after this run</t>
    <phoneticPr fontId="3"/>
  </si>
  <si>
    <t>616</t>
    <phoneticPr fontId="3"/>
  </si>
  <si>
    <t>616end</t>
    <phoneticPr fontId="3"/>
  </si>
  <si>
    <t>617</t>
    <phoneticPr fontId="3"/>
  </si>
  <si>
    <t>617end</t>
    <phoneticPr fontId="3"/>
  </si>
  <si>
    <t>[production run] stopped due to spill-length tuning</t>
    <phoneticPr fontId="3"/>
  </si>
  <si>
    <t>junk</t>
    <phoneticPr fontId="3"/>
  </si>
  <si>
    <t>[D5 scan] -1866, collector dead -&gt; stop</t>
    <phoneticPr fontId="3"/>
  </si>
  <si>
    <t>beam/10</t>
    <phoneticPr fontId="3"/>
  </si>
  <si>
    <t>623</t>
    <phoneticPr fontId="3"/>
  </si>
  <si>
    <t>623end</t>
    <phoneticPr fontId="3"/>
  </si>
  <si>
    <t>624</t>
    <phoneticPr fontId="3"/>
  </si>
  <si>
    <t>624end</t>
    <phoneticPr fontId="3"/>
  </si>
  <si>
    <t>[production run] no cosmic-ray data in 17:45~17:48, stopped due to MPS</t>
    <phoneticPr fontId="3"/>
  </si>
  <si>
    <t>junk</t>
    <phoneticPr fontId="3"/>
  </si>
  <si>
    <t>626</t>
    <phoneticPr fontId="3"/>
  </si>
  <si>
    <t>627end</t>
    <phoneticPr fontId="3"/>
  </si>
  <si>
    <t>627</t>
    <phoneticPr fontId="3"/>
  </si>
  <si>
    <t>Main Log vol.43</t>
    <phoneticPr fontId="3"/>
  </si>
  <si>
    <t>50.4kW</t>
    <phoneticPr fontId="3"/>
  </si>
  <si>
    <t>junk</t>
    <phoneticPr fontId="3"/>
  </si>
  <si>
    <t>630</t>
    <phoneticPr fontId="3"/>
  </si>
  <si>
    <t>631</t>
    <phoneticPr fontId="3"/>
  </si>
  <si>
    <t>[production run] no cosmic-ray data in 17:46~18:01</t>
    <phoneticPr fontId="3"/>
  </si>
  <si>
    <t>631end</t>
    <phoneticPr fontId="3"/>
  </si>
  <si>
    <t>[production run] stopped due to MPS</t>
    <phoneticPr fontId="3"/>
  </si>
  <si>
    <t>632</t>
    <phoneticPr fontId="3"/>
  </si>
  <si>
    <t>633</t>
    <phoneticPr fontId="3"/>
  </si>
  <si>
    <t>634</t>
    <phoneticPr fontId="3"/>
  </si>
  <si>
    <t>645</t>
    <phoneticPr fontId="3"/>
  </si>
  <si>
    <t>635</t>
    <phoneticPr fontId="3"/>
  </si>
  <si>
    <t>635end</t>
    <phoneticPr fontId="3"/>
  </si>
  <si>
    <t>[production run] NC#4-up ADC was strange</t>
    <phoneticPr fontId="3"/>
  </si>
  <si>
    <t>636</t>
    <phoneticPr fontId="3"/>
  </si>
  <si>
    <t>646</t>
    <phoneticPr fontId="3"/>
  </si>
  <si>
    <t>637</t>
    <phoneticPr fontId="3"/>
  </si>
  <si>
    <t>639</t>
    <phoneticPr fontId="3"/>
  </si>
  <si>
    <t>640</t>
    <phoneticPr fontId="3"/>
  </si>
  <si>
    <t>640end/641start</t>
    <phoneticPr fontId="3"/>
  </si>
  <si>
    <t>641</t>
    <phoneticPr fontId="3"/>
  </si>
  <si>
    <t>644</t>
    <phoneticPr fontId="3"/>
  </si>
  <si>
    <t>649</t>
    <phoneticPr fontId="3"/>
  </si>
  <si>
    <t>651</t>
    <phoneticPr fontId="3"/>
  </si>
  <si>
    <t>653</t>
    <phoneticPr fontId="3"/>
  </si>
  <si>
    <t>689</t>
    <phoneticPr fontId="3"/>
  </si>
  <si>
    <t>675</t>
    <phoneticPr fontId="3"/>
  </si>
  <si>
    <t>676</t>
    <phoneticPr fontId="3"/>
  </si>
  <si>
    <t>[production run]</t>
    <phoneticPr fontId="3"/>
  </si>
  <si>
    <t>[production run] NC#4-up ADC was strange (fixed in the next run by replacing connector)</t>
    <phoneticPr fontId="3"/>
  </si>
  <si>
    <t>[production run] NC#4-up ADC was strange (fixed in the next run by swapping c7s16-s17)</t>
    <phoneticPr fontId="3"/>
  </si>
  <si>
    <t>[production run] no HVC2#1U ADC (fixed in the next run by changing ADC ch)</t>
    <phoneticPr fontId="3"/>
  </si>
  <si>
    <t>677</t>
    <phoneticPr fontId="3"/>
  </si>
  <si>
    <t>678</t>
    <phoneticPr fontId="3"/>
  </si>
  <si>
    <t>679</t>
    <phoneticPr fontId="3"/>
  </si>
  <si>
    <t>680</t>
    <phoneticPr fontId="3"/>
  </si>
  <si>
    <t>680end</t>
    <phoneticPr fontId="3"/>
  </si>
  <si>
    <t>681</t>
    <phoneticPr fontId="3"/>
  </si>
  <si>
    <t>682</t>
    <phoneticPr fontId="3"/>
  </si>
  <si>
    <t>690</t>
    <phoneticPr fontId="3"/>
  </si>
  <si>
    <t>684</t>
    <phoneticPr fontId="3"/>
  </si>
  <si>
    <t>687</t>
    <phoneticPr fontId="3"/>
  </si>
  <si>
    <t>K</t>
    <phoneticPr fontId="3"/>
  </si>
  <si>
    <t>beam/10</t>
    <phoneticPr fontId="3"/>
  </si>
  <si>
    <t>691</t>
    <phoneticPr fontId="3"/>
  </si>
  <si>
    <t>[D5 scan] -1866, run name is "065"</t>
    <phoneticPr fontId="3"/>
  </si>
  <si>
    <t>pi/10</t>
    <phoneticPr fontId="3"/>
  </si>
  <si>
    <t>[D5 scan] -1866, collector dead -&gt; stop</t>
    <phoneticPr fontId="3"/>
  </si>
  <si>
    <t>[USWK scan] -1900, collector dead -&gt; stop</t>
    <phoneticPr fontId="3"/>
  </si>
  <si>
    <t>[USWK scan] -600, no beam</t>
    <phoneticPr fontId="3"/>
  </si>
  <si>
    <t>692</t>
    <phoneticPr fontId="3"/>
  </si>
  <si>
    <t>693</t>
    <phoneticPr fontId="3"/>
  </si>
  <si>
    <t>694</t>
    <phoneticPr fontId="3"/>
  </si>
  <si>
    <t>694end</t>
    <phoneticPr fontId="3"/>
  </si>
  <si>
    <t>695</t>
    <phoneticPr fontId="3"/>
  </si>
  <si>
    <t>696</t>
    <phoneticPr fontId="3"/>
  </si>
  <si>
    <t>697</t>
    <phoneticPr fontId="3"/>
  </si>
  <si>
    <t>697</t>
    <phoneticPr fontId="3"/>
  </si>
  <si>
    <t>698</t>
    <phoneticPr fontId="3"/>
  </si>
  <si>
    <t>699</t>
    <phoneticPr fontId="3"/>
  </si>
  <si>
    <t>712</t>
    <phoneticPr fontId="3"/>
  </si>
  <si>
    <t>700</t>
    <phoneticPr fontId="3"/>
  </si>
  <si>
    <t>702</t>
    <phoneticPr fontId="3"/>
  </si>
  <si>
    <t>704</t>
    <phoneticPr fontId="3"/>
  </si>
  <si>
    <t>706</t>
    <phoneticPr fontId="3"/>
  </si>
  <si>
    <t>707</t>
    <phoneticPr fontId="3"/>
  </si>
  <si>
    <t>708</t>
    <phoneticPr fontId="3"/>
  </si>
  <si>
    <t>709</t>
    <phoneticPr fontId="3"/>
  </si>
  <si>
    <t>710</t>
    <phoneticPr fontId="3"/>
  </si>
  <si>
    <t>711</t>
    <phoneticPr fontId="3"/>
  </si>
  <si>
    <t>714</t>
    <phoneticPr fontId="3"/>
  </si>
  <si>
    <t>test production run</t>
    <phoneticPr fontId="3"/>
  </si>
  <si>
    <t>715end/716start</t>
    <phoneticPr fontId="3"/>
  </si>
  <si>
    <t>716</t>
    <phoneticPr fontId="3"/>
  </si>
  <si>
    <t>717</t>
    <phoneticPr fontId="3"/>
  </si>
  <si>
    <t>718</t>
    <phoneticPr fontId="3"/>
  </si>
  <si>
    <t>719</t>
    <phoneticPr fontId="3"/>
  </si>
  <si>
    <t>719start</t>
    <phoneticPr fontId="3"/>
  </si>
  <si>
    <t>720end</t>
    <phoneticPr fontId="3"/>
  </si>
  <si>
    <t>[production run] stopped due to spill-length tuning</t>
    <phoneticPr fontId="3"/>
  </si>
  <si>
    <t>junk</t>
    <phoneticPr fontId="3"/>
  </si>
  <si>
    <t>724</t>
    <phoneticPr fontId="3"/>
  </si>
  <si>
    <t>726</t>
    <phoneticPr fontId="3"/>
  </si>
  <si>
    <t>[production run]  BPD bias 74.0-&gt;74.1V</t>
    <phoneticPr fontId="3"/>
  </si>
  <si>
    <t>[production run] BPD bias 73.9-&gt;74.0V</t>
    <phoneticPr fontId="3"/>
  </si>
  <si>
    <t>728</t>
    <phoneticPr fontId="3"/>
  </si>
  <si>
    <t>729</t>
    <phoneticPr fontId="3"/>
  </si>
  <si>
    <t>740</t>
    <phoneticPr fontId="3"/>
  </si>
  <si>
    <t>730</t>
    <phoneticPr fontId="3"/>
  </si>
  <si>
    <t>731end</t>
    <phoneticPr fontId="3"/>
  </si>
  <si>
    <t>732</t>
    <phoneticPr fontId="3"/>
  </si>
  <si>
    <t>733end</t>
    <phoneticPr fontId="3"/>
  </si>
  <si>
    <t>734</t>
    <phoneticPr fontId="3"/>
  </si>
  <si>
    <t>735</t>
    <phoneticPr fontId="3"/>
  </si>
  <si>
    <t>Main Log vol.44</t>
    <phoneticPr fontId="3"/>
  </si>
  <si>
    <t>737</t>
    <phoneticPr fontId="3"/>
  </si>
  <si>
    <t>739</t>
    <phoneticPr fontId="3"/>
  </si>
  <si>
    <t>739end/740start</t>
    <phoneticPr fontId="3"/>
  </si>
  <si>
    <t>51.1kW</t>
    <phoneticPr fontId="3"/>
  </si>
  <si>
    <t>junk</t>
    <phoneticPr fontId="3"/>
  </si>
  <si>
    <t>[USWK scan w/ pbar] 2150, no beam -&gt; junk</t>
    <phoneticPr fontId="3"/>
  </si>
  <si>
    <t>756</t>
    <phoneticPr fontId="3"/>
  </si>
  <si>
    <t>757</t>
    <phoneticPr fontId="3"/>
  </si>
  <si>
    <t>758</t>
    <phoneticPr fontId="3"/>
  </si>
  <si>
    <t>K/15, beam/10</t>
    <phoneticPr fontId="3"/>
  </si>
  <si>
    <t>on</t>
    <phoneticPr fontId="3"/>
  </si>
  <si>
    <t>off</t>
    <phoneticPr fontId="3"/>
  </si>
  <si>
    <t>[beam record]</t>
    <phoneticPr fontId="3"/>
  </si>
  <si>
    <t>[D4 study] -1933(default) -&gt; -1928 -&gt; -1938 -&gt; -1943(new-default)</t>
    <phoneticPr fontId="3"/>
  </si>
  <si>
    <t>junk</t>
    <phoneticPr fontId="3"/>
  </si>
  <si>
    <t>766</t>
    <phoneticPr fontId="3"/>
  </si>
  <si>
    <t>762</t>
    <phoneticPr fontId="3"/>
  </si>
  <si>
    <t>762end</t>
    <phoneticPr fontId="3"/>
  </si>
  <si>
    <t>764</t>
    <phoneticPr fontId="3"/>
  </si>
  <si>
    <t>765</t>
    <phoneticPr fontId="3"/>
  </si>
  <si>
    <t>51.1kW</t>
  </si>
  <si>
    <t>51.1kW</t>
    <phoneticPr fontId="3"/>
  </si>
  <si>
    <t>K, beam/10</t>
    <phoneticPr fontId="3"/>
  </si>
  <si>
    <t>beam/10</t>
    <phoneticPr fontId="3"/>
  </si>
  <si>
    <t>767</t>
    <phoneticPr fontId="3"/>
  </si>
  <si>
    <t>768</t>
    <phoneticPr fontId="3"/>
  </si>
  <si>
    <t>[production run]  BPD bias 74.1-&gt;74.0V</t>
    <phoneticPr fontId="3"/>
  </si>
  <si>
    <t>769</t>
    <phoneticPr fontId="3"/>
  </si>
  <si>
    <t>770</t>
    <phoneticPr fontId="3"/>
  </si>
  <si>
    <t>772</t>
    <phoneticPr fontId="3"/>
  </si>
  <si>
    <t>772end/773start</t>
    <phoneticPr fontId="3"/>
  </si>
  <si>
    <t>789</t>
    <phoneticPr fontId="3"/>
  </si>
  <si>
    <t>774</t>
    <phoneticPr fontId="3"/>
  </si>
  <si>
    <t>775</t>
    <phoneticPr fontId="3"/>
  </si>
  <si>
    <t>776</t>
    <phoneticPr fontId="3"/>
  </si>
  <si>
    <t>777</t>
    <phoneticPr fontId="3"/>
  </si>
  <si>
    <t>778end</t>
    <phoneticPr fontId="3"/>
  </si>
  <si>
    <t>779</t>
    <phoneticPr fontId="3"/>
  </si>
  <si>
    <t>780</t>
    <phoneticPr fontId="3"/>
  </si>
  <si>
    <t>782</t>
    <phoneticPr fontId="3"/>
  </si>
  <si>
    <t>783</t>
    <phoneticPr fontId="3"/>
  </si>
  <si>
    <t>784</t>
    <phoneticPr fontId="3"/>
  </si>
  <si>
    <t>784end/785start</t>
    <phoneticPr fontId="3"/>
  </si>
  <si>
    <t>785</t>
    <phoneticPr fontId="3"/>
  </si>
  <si>
    <t>786</t>
    <phoneticPr fontId="3"/>
  </si>
  <si>
    <t>791</t>
    <phoneticPr fontId="3"/>
  </si>
  <si>
    <t>787</t>
    <phoneticPr fontId="3"/>
  </si>
  <si>
    <t>788</t>
    <phoneticPr fontId="3"/>
  </si>
  <si>
    <t>794</t>
    <phoneticPr fontId="3"/>
  </si>
  <si>
    <t>[production run] Q5/Q6 OFF-&gt;ON</t>
    <phoneticPr fontId="3"/>
  </si>
  <si>
    <t>[production run] Q5/Q6 OFF-&gt;ON, stopped due to MPS</t>
    <phoneticPr fontId="3"/>
  </si>
  <si>
    <t>[production run] CM1/2 348-&gt;351A, stopped due to MPS</t>
    <phoneticPr fontId="3"/>
  </si>
  <si>
    <t>795end/796start</t>
    <phoneticPr fontId="3"/>
  </si>
  <si>
    <t>796</t>
    <phoneticPr fontId="3"/>
  </si>
  <si>
    <t>798</t>
    <phoneticPr fontId="3"/>
  </si>
  <si>
    <t>801</t>
    <phoneticPr fontId="3"/>
  </si>
  <si>
    <t>802</t>
    <phoneticPr fontId="3"/>
  </si>
  <si>
    <t>803</t>
    <phoneticPr fontId="3"/>
  </si>
  <si>
    <t>804</t>
    <phoneticPr fontId="3"/>
  </si>
  <si>
    <t>805</t>
    <phoneticPr fontId="3"/>
  </si>
  <si>
    <t>806</t>
    <phoneticPr fontId="3"/>
  </si>
  <si>
    <t>807</t>
    <phoneticPr fontId="3"/>
  </si>
  <si>
    <t>808</t>
    <phoneticPr fontId="3"/>
  </si>
  <si>
    <t>810</t>
    <phoneticPr fontId="3"/>
  </si>
  <si>
    <t>811</t>
    <phoneticPr fontId="3"/>
  </si>
  <si>
    <t>811end/812start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</si>
</sst>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[$-F400]h:mm:ss\ AM/PM"/>
    <numFmt numFmtId="177" formatCode="[h]:mm;@"/>
    <numFmt numFmtId="178" formatCode="[h]:mm"/>
    <numFmt numFmtId="179" formatCode="yyyy/m/d\ h:mm;@"/>
    <numFmt numFmtId="180" formatCode="0.00_ "/>
    <numFmt numFmtId="181" formatCode="[&lt;1000000]0.0,&quot;K&quot;;[&lt;1000000000]0.0,,&quot;M&quot;;#,##0.0,,,&quot;G&quot;"/>
    <numFmt numFmtId="182" formatCode="0.000"/>
    <numFmt numFmtId="183" formatCode="0.00_);[Red]\(0.00\)"/>
    <numFmt numFmtId="184" formatCode="0.0_ "/>
  </numFmts>
  <fonts count="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30"/>
      <name val="ＭＳ Ｐゴシック"/>
      <family val="3"/>
      <charset val="128"/>
    </font>
    <font>
      <sz val="11"/>
      <color indexed="21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b/>
      <sz val="18"/>
      <color indexed="62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rgb="FFFA7D00"/>
      <name val="ＭＳ Ｐゴシック"/>
      <family val="3"/>
      <charset val="128"/>
      <scheme val="minor"/>
    </font>
    <font>
      <sz val="11"/>
      <color indexed="14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  <scheme val="minor"/>
    </font>
    <font>
      <b/>
      <sz val="11"/>
      <color indexed="62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16">
    <xf numFmtId="176" fontId="0" fillId="0" borderId="0">
      <alignment vertical="center"/>
    </xf>
    <xf numFmtId="176" fontId="5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8" fillId="9" borderId="0" applyNumberFormat="0" applyBorder="0" applyAlignment="0" applyProtection="0">
      <alignment vertical="center"/>
    </xf>
    <xf numFmtId="176" fontId="8" fillId="10" borderId="0" applyNumberFormat="0" applyBorder="0" applyAlignment="0" applyProtection="0">
      <alignment vertical="center"/>
    </xf>
    <xf numFmtId="176" fontId="8" fillId="10" borderId="0" applyNumberFormat="0" applyBorder="0" applyAlignment="0" applyProtection="0">
      <alignment vertical="center"/>
    </xf>
    <xf numFmtId="176" fontId="8" fillId="11" borderId="0" applyNumberFormat="0" applyBorder="0" applyAlignment="0" applyProtection="0">
      <alignment vertical="center"/>
    </xf>
    <xf numFmtId="176" fontId="8" fillId="7" borderId="0" applyNumberFormat="0" applyBorder="0" applyAlignment="0" applyProtection="0">
      <alignment vertical="center"/>
    </xf>
    <xf numFmtId="176" fontId="8" fillId="8" borderId="0" applyNumberFormat="0" applyBorder="0" applyAlignment="0" applyProtection="0">
      <alignment vertical="center"/>
    </xf>
    <xf numFmtId="176" fontId="9" fillId="0" borderId="0" applyNumberFormat="0" applyFill="0" applyBorder="0" applyAlignment="0" applyProtection="0">
      <alignment vertical="center"/>
    </xf>
    <xf numFmtId="176" fontId="10" fillId="5" borderId="5" applyNumberFormat="0" applyAlignment="0" applyProtection="0">
      <alignment vertical="center"/>
    </xf>
    <xf numFmtId="176" fontId="11" fillId="6" borderId="6" applyNumberFormat="0" applyFont="0" applyAlignment="0" applyProtection="0">
      <alignment vertical="center"/>
    </xf>
    <xf numFmtId="176" fontId="11" fillId="6" borderId="6" applyNumberFormat="0" applyFont="0" applyAlignment="0" applyProtection="0">
      <alignment vertical="center"/>
    </xf>
    <xf numFmtId="176" fontId="11" fillId="6" borderId="6" applyNumberFormat="0" applyFont="0" applyAlignment="0" applyProtection="0">
      <alignment vertical="center"/>
    </xf>
    <xf numFmtId="176" fontId="11" fillId="6" borderId="6" applyNumberFormat="0" applyFont="0" applyAlignment="0" applyProtection="0">
      <alignment vertical="center"/>
    </xf>
    <xf numFmtId="176" fontId="12" fillId="0" borderId="4" applyNumberFormat="0" applyFill="0" applyAlignment="0" applyProtection="0">
      <alignment vertical="center"/>
    </xf>
    <xf numFmtId="176" fontId="13" fillId="3" borderId="0" applyNumberFormat="0" applyBorder="0" applyAlignment="0" applyProtection="0">
      <alignment vertical="center"/>
    </xf>
    <xf numFmtId="176" fontId="14" fillId="12" borderId="2" applyNumberFormat="0" applyAlignment="0" applyProtection="0">
      <alignment vertical="center"/>
    </xf>
    <xf numFmtId="176" fontId="15" fillId="0" borderId="0" applyNumberFormat="0" applyFill="0" applyBorder="0" applyAlignment="0" applyProtection="0">
      <alignment vertical="center"/>
    </xf>
    <xf numFmtId="176" fontId="16" fillId="0" borderId="19" applyNumberFormat="0" applyFill="0" applyAlignment="0" applyProtection="0">
      <alignment vertical="center"/>
    </xf>
    <xf numFmtId="176" fontId="17" fillId="0" borderId="1" applyNumberFormat="0" applyFill="0" applyAlignment="0" applyProtection="0">
      <alignment vertical="center"/>
    </xf>
    <xf numFmtId="176" fontId="18" fillId="0" borderId="20" applyNumberFormat="0" applyFill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9" fillId="12" borderId="3" applyNumberFormat="0" applyAlignment="0" applyProtection="0">
      <alignment vertical="center"/>
    </xf>
    <xf numFmtId="176" fontId="20" fillId="0" borderId="0" applyNumberFormat="0" applyFill="0" applyBorder="0" applyAlignment="0" applyProtection="0">
      <alignment vertical="center"/>
    </xf>
    <xf numFmtId="176" fontId="21" fillId="4" borderId="2" applyNumberFormat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5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2" fillId="2" borderId="0" applyNumberFormat="0" applyBorder="0" applyAlignment="0" applyProtection="0">
      <alignment vertical="center"/>
    </xf>
  </cellStyleXfs>
  <cellXfs count="275">
    <xf numFmtId="176" fontId="0" fillId="0" borderId="0" xfId="0">
      <alignment vertical="center"/>
    </xf>
    <xf numFmtId="176" fontId="2" fillId="0" borderId="0" xfId="0" applyFon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/>
    </xf>
    <xf numFmtId="176" fontId="4" fillId="0" borderId="8" xfId="0" applyFont="1" applyBorder="1" applyAlignment="1">
      <alignment horizontal="center" vertical="center" wrapText="1"/>
    </xf>
    <xf numFmtId="176" fontId="4" fillId="0" borderId="8" xfId="0" applyFont="1" applyBorder="1" applyAlignment="1">
      <alignment horizontal="center" vertical="center"/>
    </xf>
    <xf numFmtId="176" fontId="4" fillId="0" borderId="10" xfId="0" applyFont="1" applyBorder="1" applyAlignment="1">
      <alignment horizontal="center" vertical="center" wrapText="1"/>
    </xf>
    <xf numFmtId="176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7" fontId="0" fillId="0" borderId="12" xfId="0" applyNumberFormat="1" applyFont="1" applyBorder="1">
      <alignment vertical="center"/>
    </xf>
    <xf numFmtId="176" fontId="0" fillId="0" borderId="0" xfId="0" applyAlignment="1">
      <alignment horizontal="right" vertical="center"/>
    </xf>
    <xf numFmtId="178" fontId="0" fillId="0" borderId="0" xfId="0" applyNumberFormat="1" applyFont="1" applyFill="1" applyBorder="1" applyAlignment="1">
      <alignment horizontal="right" vertical="center"/>
    </xf>
    <xf numFmtId="178" fontId="0" fillId="0" borderId="0" xfId="0" applyNumberFormat="1" applyFont="1" applyFill="1" applyBorder="1" applyAlignment="1">
      <alignment horizontal="left" vertical="center"/>
    </xf>
    <xf numFmtId="14" fontId="0" fillId="0" borderId="15" xfId="0" applyNumberFormat="1" applyBorder="1">
      <alignment vertical="center"/>
    </xf>
    <xf numFmtId="14" fontId="0" fillId="0" borderId="16" xfId="0" applyNumberFormat="1" applyBorder="1">
      <alignment vertical="center"/>
    </xf>
    <xf numFmtId="176" fontId="0" fillId="0" borderId="17" xfId="0" applyBorder="1">
      <alignment vertical="center"/>
    </xf>
    <xf numFmtId="176" fontId="0" fillId="0" borderId="16" xfId="0" applyBorder="1">
      <alignment vertical="center"/>
    </xf>
    <xf numFmtId="177" fontId="0" fillId="0" borderId="16" xfId="0" applyNumberFormat="1" applyBorder="1">
      <alignment vertical="center"/>
    </xf>
    <xf numFmtId="9" fontId="0" fillId="0" borderId="18" xfId="0" applyNumberFormat="1" applyBorder="1">
      <alignment vertical="center"/>
    </xf>
    <xf numFmtId="176" fontId="23" fillId="0" borderId="22" xfId="0" applyFont="1" applyFill="1" applyBorder="1" applyAlignment="1">
      <alignment horizontal="center" vertical="center" wrapText="1"/>
    </xf>
    <xf numFmtId="176" fontId="23" fillId="0" borderId="22" xfId="0" applyFont="1" applyFill="1" applyBorder="1" applyAlignment="1">
      <alignment vertical="center" wrapText="1"/>
    </xf>
    <xf numFmtId="179" fontId="23" fillId="0" borderId="23" xfId="0" applyNumberFormat="1" applyFont="1" applyFill="1" applyBorder="1" applyAlignment="1">
      <alignment horizontal="center" vertical="center" wrapText="1"/>
    </xf>
    <xf numFmtId="176" fontId="23" fillId="0" borderId="21" xfId="0" applyFont="1" applyFill="1" applyBorder="1" applyAlignment="1">
      <alignment horizontal="right" vertical="center" wrapText="1"/>
    </xf>
    <xf numFmtId="176" fontId="23" fillId="0" borderId="0" xfId="0" applyFont="1" applyFill="1" applyAlignment="1">
      <alignment vertical="center" wrapText="1"/>
    </xf>
    <xf numFmtId="179" fontId="0" fillId="0" borderId="0" xfId="0" applyNumberFormat="1" applyFont="1" applyFill="1" applyBorder="1">
      <alignment vertical="center"/>
    </xf>
    <xf numFmtId="176" fontId="0" fillId="0" borderId="31" xfId="0" applyFont="1" applyFill="1" applyBorder="1" applyAlignment="1">
      <alignment horizontal="right" vertical="center"/>
    </xf>
    <xf numFmtId="176" fontId="0" fillId="0" borderId="0" xfId="0" applyFont="1" applyFill="1">
      <alignment vertical="center"/>
    </xf>
    <xf numFmtId="179" fontId="0" fillId="0" borderId="0" xfId="0" applyNumberFormat="1" applyFont="1" applyFill="1">
      <alignment vertical="center"/>
    </xf>
    <xf numFmtId="14" fontId="0" fillId="0" borderId="37" xfId="0" applyNumberFormat="1" applyFont="1" applyBorder="1" applyAlignment="1">
      <alignment horizontal="center" vertical="center"/>
    </xf>
    <xf numFmtId="14" fontId="0" fillId="0" borderId="38" xfId="0" applyNumberFormat="1" applyFont="1" applyBorder="1" applyAlignment="1">
      <alignment horizontal="center" vertical="center"/>
    </xf>
    <xf numFmtId="49" fontId="0" fillId="0" borderId="38" xfId="0" applyNumberFormat="1" applyFont="1" applyBorder="1" applyAlignment="1">
      <alignment horizontal="center" vertical="center"/>
    </xf>
    <xf numFmtId="177" fontId="0" fillId="0" borderId="38" xfId="0" applyNumberFormat="1" applyFont="1" applyBorder="1">
      <alignment vertical="center"/>
    </xf>
    <xf numFmtId="9" fontId="0" fillId="0" borderId="39" xfId="0" applyNumberFormat="1" applyFont="1" applyBorder="1">
      <alignment vertical="center"/>
    </xf>
    <xf numFmtId="176" fontId="23" fillId="0" borderId="23" xfId="0" applyNumberFormat="1" applyFont="1" applyFill="1" applyBorder="1" applyAlignment="1">
      <alignment horizontal="right" vertical="center" wrapText="1"/>
    </xf>
    <xf numFmtId="176" fontId="0" fillId="0" borderId="0" xfId="0" applyNumberFormat="1" applyFont="1" applyFill="1" applyAlignment="1">
      <alignment horizontal="right" vertical="center"/>
    </xf>
    <xf numFmtId="14" fontId="0" fillId="0" borderId="11" xfId="0" applyNumberFormat="1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177" fontId="0" fillId="0" borderId="0" xfId="0" applyNumberFormat="1" applyFont="1" applyBorder="1">
      <alignment vertical="center"/>
    </xf>
    <xf numFmtId="9" fontId="0" fillId="0" borderId="13" xfId="0" applyNumberFormat="1" applyFont="1" applyBorder="1">
      <alignment vertical="center"/>
    </xf>
    <xf numFmtId="176" fontId="0" fillId="0" borderId="0" xfId="0" applyNumberFormat="1" applyFill="1">
      <alignment vertical="center"/>
    </xf>
    <xf numFmtId="179" fontId="0" fillId="0" borderId="31" xfId="0" applyNumberFormat="1" applyFont="1" applyFill="1" applyBorder="1">
      <alignment vertical="center"/>
    </xf>
    <xf numFmtId="176" fontId="0" fillId="0" borderId="0" xfId="0" applyNumberFormat="1" applyFont="1" applyFill="1" applyBorder="1" applyAlignment="1">
      <alignment horizontal="right" vertical="center"/>
    </xf>
    <xf numFmtId="176" fontId="0" fillId="0" borderId="0" xfId="0" applyNumberFormat="1" applyFont="1" applyFill="1">
      <alignment vertical="center"/>
    </xf>
    <xf numFmtId="181" fontId="0" fillId="0" borderId="34" xfId="0" applyNumberFormat="1" applyFont="1" applyFill="1" applyBorder="1" applyAlignment="1">
      <alignment vertical="center"/>
    </xf>
    <xf numFmtId="180" fontId="0" fillId="0" borderId="12" xfId="0" applyNumberFormat="1" applyFont="1" applyFill="1" applyBorder="1" applyAlignment="1">
      <alignment horizontal="right" vertical="center"/>
    </xf>
    <xf numFmtId="176" fontId="23" fillId="0" borderId="0" xfId="0" applyNumberFormat="1" applyFont="1" applyAlignment="1">
      <alignment horizontal="right" vertical="center"/>
    </xf>
    <xf numFmtId="176" fontId="23" fillId="0" borderId="0" xfId="0" applyFont="1" applyAlignment="1">
      <alignment horizontal="right" vertical="center"/>
    </xf>
    <xf numFmtId="21" fontId="0" fillId="0" borderId="0" xfId="0" applyNumberFormat="1" applyFill="1">
      <alignment vertical="center"/>
    </xf>
    <xf numFmtId="176" fontId="0" fillId="0" borderId="0" xfId="0" applyNumberFormat="1" applyFont="1" applyFill="1" applyBorder="1" applyAlignment="1">
      <alignment horizontal="right" vertical="center"/>
    </xf>
    <xf numFmtId="177" fontId="0" fillId="0" borderId="0" xfId="0" applyNumberFormat="1" applyBorder="1">
      <alignment vertical="center"/>
    </xf>
    <xf numFmtId="176" fontId="0" fillId="0" borderId="0" xfId="0" applyBorder="1">
      <alignment vertical="center"/>
    </xf>
    <xf numFmtId="9" fontId="0" fillId="0" borderId="0" xfId="0" applyNumberFormat="1" applyBorder="1">
      <alignment vertical="center"/>
    </xf>
    <xf numFmtId="176" fontId="23" fillId="0" borderId="13" xfId="0" applyFont="1" applyBorder="1" applyAlignment="1">
      <alignment vertical="center"/>
    </xf>
    <xf numFmtId="14" fontId="0" fillId="0" borderId="0" xfId="0" applyNumberFormat="1" applyFill="1">
      <alignment vertical="center"/>
    </xf>
    <xf numFmtId="21" fontId="5" fillId="0" borderId="0" xfId="1" applyNumberFormat="1" applyFill="1">
      <alignment vertical="center"/>
    </xf>
    <xf numFmtId="21" fontId="1" fillId="0" borderId="0" xfId="1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Fill="1" applyAlignment="1">
      <alignment horizontal="right" vertical="center"/>
    </xf>
    <xf numFmtId="21" fontId="0" fillId="0" borderId="0" xfId="0" applyNumberFormat="1" applyFill="1" applyAlignment="1">
      <alignment horizontal="right" vertical="center"/>
    </xf>
    <xf numFmtId="176" fontId="0" fillId="0" borderId="0" xfId="0" applyFill="1">
      <alignment vertical="center"/>
    </xf>
    <xf numFmtId="14" fontId="4" fillId="0" borderId="0" xfId="0" applyNumberFormat="1" applyFont="1" applyFill="1" applyAlignment="1">
      <alignment horizontal="center" vertical="center"/>
    </xf>
    <xf numFmtId="21" fontId="11" fillId="0" borderId="0" xfId="0" applyNumberFormat="1" applyFont="1" applyFill="1" applyAlignment="1">
      <alignment horizontal="right" vertical="center"/>
    </xf>
    <xf numFmtId="21" fontId="0" fillId="0" borderId="0" xfId="0" applyNumberFormat="1" applyFont="1" applyFill="1">
      <alignment vertical="center"/>
    </xf>
    <xf numFmtId="21" fontId="0" fillId="0" borderId="0" xfId="0" applyNumberFormat="1" applyFill="1" applyAlignment="1">
      <alignment vertical="center" wrapText="1"/>
    </xf>
    <xf numFmtId="21" fontId="24" fillId="0" borderId="0" xfId="1" applyNumberFormat="1" applyFont="1" applyFill="1">
      <alignment vertical="center"/>
    </xf>
    <xf numFmtId="21" fontId="0" fillId="0" borderId="0" xfId="1" applyNumberFormat="1" applyFont="1" applyFill="1">
      <alignment vertical="center"/>
    </xf>
    <xf numFmtId="21" fontId="7" fillId="0" borderId="0" xfId="1" applyNumberFormat="1" applyFont="1" applyFill="1">
      <alignment vertical="center"/>
    </xf>
    <xf numFmtId="176" fontId="7" fillId="0" borderId="0" xfId="0" applyNumberFormat="1" applyFont="1" applyFill="1">
      <alignment vertical="center"/>
    </xf>
    <xf numFmtId="21" fontId="6" fillId="0" borderId="0" xfId="1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21" fontId="7" fillId="0" borderId="0" xfId="0" applyNumberFormat="1" applyFont="1" applyFill="1">
      <alignment vertical="center"/>
    </xf>
    <xf numFmtId="20" fontId="0" fillId="0" borderId="0" xfId="0" applyNumberFormat="1" applyFont="1" applyFill="1">
      <alignment vertical="center"/>
    </xf>
    <xf numFmtId="14" fontId="0" fillId="0" borderId="40" xfId="0" applyNumberFormat="1" applyFont="1" applyBorder="1" applyAlignment="1">
      <alignment horizontal="center" vertical="center"/>
    </xf>
    <xf numFmtId="14" fontId="0" fillId="0" borderId="41" xfId="0" applyNumberFormat="1" applyFont="1" applyBorder="1" applyAlignment="1">
      <alignment horizontal="center" vertical="center"/>
    </xf>
    <xf numFmtId="49" fontId="0" fillId="0" borderId="41" xfId="0" applyNumberFormat="1" applyFont="1" applyBorder="1" applyAlignment="1">
      <alignment horizontal="center" vertical="center"/>
    </xf>
    <xf numFmtId="14" fontId="0" fillId="0" borderId="42" xfId="0" applyNumberFormat="1" applyFont="1" applyBorder="1" applyAlignment="1">
      <alignment horizontal="center" vertical="center"/>
    </xf>
    <xf numFmtId="177" fontId="0" fillId="0" borderId="41" xfId="0" applyNumberFormat="1" applyFont="1" applyBorder="1">
      <alignment vertical="center"/>
    </xf>
    <xf numFmtId="9" fontId="0" fillId="0" borderId="43" xfId="0" applyNumberFormat="1" applyFont="1" applyBorder="1">
      <alignment vertical="center"/>
    </xf>
    <xf numFmtId="20" fontId="0" fillId="0" borderId="12" xfId="0" applyNumberFormat="1" applyFont="1" applyBorder="1">
      <alignment vertical="center"/>
    </xf>
    <xf numFmtId="0" fontId="23" fillId="0" borderId="24" xfId="0" applyNumberFormat="1" applyFont="1" applyFill="1" applyBorder="1" applyAlignment="1">
      <alignment horizontal="right" vertical="center" wrapText="1"/>
    </xf>
    <xf numFmtId="0" fontId="0" fillId="0" borderId="34" xfId="0" applyNumberFormat="1" applyFont="1" applyFill="1" applyBorder="1" applyAlignment="1">
      <alignment horizontal="right" vertical="center"/>
    </xf>
    <xf numFmtId="0" fontId="23" fillId="0" borderId="21" xfId="0" applyNumberFormat="1" applyFont="1" applyFill="1" applyBorder="1" applyAlignment="1">
      <alignment horizontal="center" vertical="center" wrapText="1"/>
    </xf>
    <xf numFmtId="0" fontId="0" fillId="0" borderId="31" xfId="0" applyNumberFormat="1" applyFont="1" applyFill="1" applyBorder="1" applyAlignment="1">
      <alignment horizontal="center" vertical="center"/>
    </xf>
    <xf numFmtId="0" fontId="23" fillId="0" borderId="2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23" fillId="0" borderId="21" xfId="0" applyNumberFormat="1" applyFont="1" applyFill="1" applyBorder="1" applyAlignment="1">
      <alignment vertical="center" wrapText="1"/>
    </xf>
    <xf numFmtId="0" fontId="23" fillId="0" borderId="21" xfId="0" applyNumberFormat="1" applyFont="1" applyFill="1" applyBorder="1" applyAlignment="1">
      <alignment horizontal="right" vertical="center" wrapText="1"/>
    </xf>
    <xf numFmtId="0" fontId="23" fillId="0" borderId="25" xfId="0" applyNumberFormat="1" applyFont="1" applyFill="1" applyBorder="1" applyAlignment="1">
      <alignment horizontal="center" vertical="center" wrapText="1"/>
    </xf>
    <xf numFmtId="0" fontId="23" fillId="0" borderId="26" xfId="0" applyNumberFormat="1" applyFont="1" applyFill="1" applyBorder="1" applyAlignment="1">
      <alignment horizontal="center" vertical="center" wrapText="1"/>
    </xf>
    <xf numFmtId="0" fontId="23" fillId="0" borderId="27" xfId="0" applyNumberFormat="1" applyFont="1" applyFill="1" applyBorder="1" applyAlignment="1">
      <alignment horizontal="center" vertical="center" wrapText="1"/>
    </xf>
    <xf numFmtId="0" fontId="23" fillId="0" borderId="23" xfId="0" applyNumberFormat="1" applyFont="1" applyFill="1" applyBorder="1" applyAlignment="1">
      <alignment vertical="center" wrapText="1"/>
    </xf>
    <xf numFmtId="0" fontId="23" fillId="0" borderId="28" xfId="0" applyNumberFormat="1" applyFont="1" applyFill="1" applyBorder="1" applyAlignment="1">
      <alignment vertical="center" wrapText="1"/>
    </xf>
    <xf numFmtId="0" fontId="23" fillId="0" borderId="29" xfId="0" applyNumberFormat="1" applyFont="1" applyFill="1" applyBorder="1" applyAlignment="1">
      <alignment vertical="center" wrapText="1"/>
    </xf>
    <xf numFmtId="0" fontId="23" fillId="0" borderId="22" xfId="0" applyNumberFormat="1" applyFont="1" applyFill="1" applyBorder="1" applyAlignment="1">
      <alignment horizontal="right" vertical="center" wrapText="1"/>
    </xf>
    <xf numFmtId="0" fontId="23" fillId="0" borderId="30" xfId="0" applyNumberFormat="1" applyFont="1" applyFill="1" applyBorder="1" applyAlignment="1">
      <alignment horizontal="right" vertical="center" wrapText="1"/>
    </xf>
    <xf numFmtId="0" fontId="23" fillId="0" borderId="12" xfId="0" applyNumberFormat="1" applyFont="1" applyFill="1" applyBorder="1" applyAlignment="1">
      <alignment horizontal="right" vertical="center" wrapText="1"/>
    </xf>
    <xf numFmtId="0" fontId="23" fillId="0" borderId="31" xfId="0" applyNumberFormat="1" applyFont="1" applyFill="1" applyBorder="1" applyAlignment="1">
      <alignment horizontal="right" vertical="center" wrapText="1"/>
    </xf>
    <xf numFmtId="0" fontId="23" fillId="0" borderId="32" xfId="0" applyNumberFormat="1" applyFont="1" applyFill="1" applyBorder="1" applyAlignment="1">
      <alignment horizontal="right" vertical="center" wrapText="1"/>
    </xf>
    <xf numFmtId="0" fontId="23" fillId="0" borderId="0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Alignment="1">
      <alignment vertical="center" wrapText="1"/>
    </xf>
    <xf numFmtId="0" fontId="0" fillId="0" borderId="0" xfId="0" applyNumberFormat="1" applyFont="1" applyFill="1" applyBorder="1">
      <alignment vertical="center"/>
    </xf>
    <xf numFmtId="0" fontId="0" fillId="0" borderId="31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31" xfId="0" applyNumberFormat="1" applyFont="1" applyFill="1" applyBorder="1" applyAlignment="1">
      <alignment horizontal="right" vertical="center"/>
    </xf>
    <xf numFmtId="0" fontId="0" fillId="0" borderId="35" xfId="0" applyNumberFormat="1" applyFont="1" applyFill="1" applyBorder="1" applyAlignment="1">
      <alignment horizontal="right" vertical="center"/>
    </xf>
    <xf numFmtId="0" fontId="0" fillId="0" borderId="32" xfId="0" applyNumberFormat="1" applyFont="1" applyFill="1" applyBorder="1" applyAlignment="1">
      <alignment horizontal="right" vertical="center"/>
    </xf>
    <xf numFmtId="0" fontId="0" fillId="0" borderId="36" xfId="0" applyNumberFormat="1" applyFont="1" applyFill="1" applyBorder="1" applyAlignment="1">
      <alignment horizontal="right" vertical="center"/>
    </xf>
    <xf numFmtId="0" fontId="0" fillId="0" borderId="32" xfId="0" applyNumberFormat="1" applyFont="1" applyFill="1" applyBorder="1">
      <alignment vertical="center"/>
    </xf>
    <xf numFmtId="0" fontId="0" fillId="0" borderId="14" xfId="0" applyNumberFormat="1" applyFont="1" applyFill="1" applyBorder="1" applyAlignment="1">
      <alignment horizontal="right" vertical="center"/>
    </xf>
    <xf numFmtId="0" fontId="0" fillId="0" borderId="12" xfId="0" applyNumberFormat="1" applyFont="1" applyFill="1" applyBorder="1" applyAlignment="1">
      <alignment horizontal="right" vertical="center"/>
    </xf>
    <xf numFmtId="0" fontId="0" fillId="0" borderId="0" xfId="0" applyNumberFormat="1" applyFont="1" applyFill="1">
      <alignment vertical="center"/>
    </xf>
    <xf numFmtId="0" fontId="0" fillId="0" borderId="34" xfId="0" applyNumberFormat="1" applyFont="1" applyFill="1" applyBorder="1" applyAlignment="1">
      <alignment vertical="center"/>
    </xf>
    <xf numFmtId="0" fontId="0" fillId="0" borderId="31" xfId="48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0" xfId="100" applyNumberFormat="1" applyFont="1" applyFill="1" applyBorder="1">
      <alignment vertical="center"/>
    </xf>
    <xf numFmtId="0" fontId="23" fillId="0" borderId="32" xfId="0" applyNumberFormat="1" applyFont="1" applyFill="1" applyBorder="1" applyAlignment="1">
      <alignment horizontal="right" vertical="center"/>
    </xf>
    <xf numFmtId="0" fontId="23" fillId="0" borderId="12" xfId="0" applyNumberFormat="1" applyFont="1" applyFill="1" applyBorder="1" applyAlignment="1">
      <alignment horizontal="right" vertical="center"/>
    </xf>
    <xf numFmtId="0" fontId="23" fillId="0" borderId="23" xfId="0" applyNumberFormat="1" applyFont="1" applyFill="1" applyBorder="1" applyAlignment="1">
      <alignment horizontal="right" vertical="center" wrapText="1"/>
    </xf>
    <xf numFmtId="0" fontId="23" fillId="0" borderId="26" xfId="0" applyNumberFormat="1" applyFont="1" applyFill="1" applyBorder="1" applyAlignment="1">
      <alignment horizontal="right" vertical="center" wrapText="1"/>
    </xf>
    <xf numFmtId="0" fontId="23" fillId="0" borderId="0" xfId="0" applyNumberFormat="1" applyFont="1" applyFill="1" applyBorder="1" applyAlignment="1">
      <alignment vertical="center"/>
    </xf>
    <xf numFmtId="176" fontId="0" fillId="0" borderId="0" xfId="0" applyNumberFormat="1" applyFill="1" applyAlignment="1">
      <alignment vertical="center" wrapText="1"/>
    </xf>
    <xf numFmtId="0" fontId="25" fillId="13" borderId="14" xfId="0" applyNumberFormat="1" applyFont="1" applyFill="1" applyBorder="1">
      <alignment vertical="center"/>
    </xf>
    <xf numFmtId="14" fontId="25" fillId="13" borderId="14" xfId="0" applyNumberFormat="1" applyFont="1" applyFill="1" applyBorder="1">
      <alignment vertical="center"/>
    </xf>
    <xf numFmtId="20" fontId="25" fillId="13" borderId="14" xfId="0" applyNumberFormat="1" applyFont="1" applyFill="1" applyBorder="1">
      <alignment vertical="center"/>
    </xf>
    <xf numFmtId="176" fontId="25" fillId="13" borderId="14" xfId="0" applyFont="1" applyFill="1" applyBorder="1">
      <alignment vertical="center"/>
    </xf>
    <xf numFmtId="179" fontId="25" fillId="13" borderId="0" xfId="0" applyNumberFormat="1" applyFont="1" applyFill="1" applyBorder="1">
      <alignment vertical="center"/>
    </xf>
    <xf numFmtId="179" fontId="25" fillId="13" borderId="31" xfId="0" applyNumberFormat="1" applyFont="1" applyFill="1" applyBorder="1">
      <alignment vertical="center"/>
    </xf>
    <xf numFmtId="176" fontId="25" fillId="13" borderId="0" xfId="0" applyNumberFormat="1" applyFont="1" applyFill="1" applyBorder="1" applyAlignment="1">
      <alignment horizontal="right" vertical="center"/>
    </xf>
    <xf numFmtId="0" fontId="25" fillId="13" borderId="34" xfId="0" applyNumberFormat="1" applyFont="1" applyFill="1" applyBorder="1" applyAlignment="1">
      <alignment horizontal="right" vertical="center"/>
    </xf>
    <xf numFmtId="0" fontId="25" fillId="13" borderId="0" xfId="0" applyNumberFormat="1" applyFont="1" applyFill="1" applyBorder="1" applyAlignment="1">
      <alignment horizontal="right" vertical="center"/>
    </xf>
    <xf numFmtId="0" fontId="25" fillId="13" borderId="31" xfId="0" applyNumberFormat="1" applyFont="1" applyFill="1" applyBorder="1" applyAlignment="1">
      <alignment horizontal="center" vertical="center"/>
    </xf>
    <xf numFmtId="0" fontId="25" fillId="13" borderId="31" xfId="0" applyNumberFormat="1" applyFont="1" applyFill="1" applyBorder="1">
      <alignment vertical="center"/>
    </xf>
    <xf numFmtId="0" fontId="25" fillId="13" borderId="31" xfId="0" applyNumberFormat="1" applyFont="1" applyFill="1" applyBorder="1" applyAlignment="1">
      <alignment horizontal="right" vertical="center"/>
    </xf>
    <xf numFmtId="0" fontId="25" fillId="13" borderId="0" xfId="0" applyNumberFormat="1" applyFont="1" applyFill="1" applyBorder="1" applyAlignment="1">
      <alignment horizontal="center" vertical="center"/>
    </xf>
    <xf numFmtId="0" fontId="25" fillId="13" borderId="35" xfId="0" applyNumberFormat="1" applyFont="1" applyFill="1" applyBorder="1" applyAlignment="1">
      <alignment horizontal="right" vertical="center"/>
    </xf>
    <xf numFmtId="0" fontId="25" fillId="13" borderId="32" xfId="0" applyNumberFormat="1" applyFont="1" applyFill="1" applyBorder="1" applyAlignment="1">
      <alignment horizontal="right" vertical="center"/>
    </xf>
    <xf numFmtId="0" fontId="25" fillId="13" borderId="36" xfId="0" applyNumberFormat="1" applyFont="1" applyFill="1" applyBorder="1" applyAlignment="1">
      <alignment horizontal="right" vertical="center"/>
    </xf>
    <xf numFmtId="0" fontId="25" fillId="13" borderId="0" xfId="0" applyNumberFormat="1" applyFont="1" applyFill="1" applyBorder="1">
      <alignment vertical="center"/>
    </xf>
    <xf numFmtId="0" fontId="25" fillId="13" borderId="32" xfId="0" applyNumberFormat="1" applyFont="1" applyFill="1" applyBorder="1">
      <alignment vertical="center"/>
    </xf>
    <xf numFmtId="0" fontId="25" fillId="13" borderId="14" xfId="0" applyNumberFormat="1" applyFont="1" applyFill="1" applyBorder="1" applyAlignment="1">
      <alignment horizontal="right" vertical="center"/>
    </xf>
    <xf numFmtId="0" fontId="25" fillId="13" borderId="12" xfId="0" applyNumberFormat="1" applyFont="1" applyFill="1" applyBorder="1" applyAlignment="1">
      <alignment horizontal="right" vertical="center"/>
    </xf>
    <xf numFmtId="0" fontId="25" fillId="13" borderId="0" xfId="0" applyNumberFormat="1" applyFont="1" applyFill="1">
      <alignment vertical="center"/>
    </xf>
    <xf numFmtId="176" fontId="25" fillId="13" borderId="0" xfId="0" applyFont="1" applyFill="1">
      <alignment vertical="center"/>
    </xf>
    <xf numFmtId="0" fontId="25" fillId="13" borderId="33" xfId="0" applyNumberFormat="1" applyFont="1" applyFill="1" applyBorder="1">
      <alignment vertical="center"/>
    </xf>
    <xf numFmtId="0" fontId="25" fillId="13" borderId="34" xfId="0" applyNumberFormat="1" applyFont="1" applyFill="1" applyBorder="1" applyAlignment="1">
      <alignment vertical="center"/>
    </xf>
    <xf numFmtId="0" fontId="25" fillId="13" borderId="14" xfId="0" applyNumberFormat="1" applyFont="1" applyFill="1" applyBorder="1" applyAlignment="1">
      <alignment vertical="center"/>
    </xf>
    <xf numFmtId="0" fontId="26" fillId="13" borderId="0" xfId="0" applyNumberFormat="1" applyFont="1" applyFill="1">
      <alignment vertical="center"/>
    </xf>
    <xf numFmtId="176" fontId="26" fillId="13" borderId="0" xfId="0" applyFont="1" applyFill="1">
      <alignment vertical="center"/>
    </xf>
    <xf numFmtId="182" fontId="25" fillId="13" borderId="0" xfId="0" applyNumberFormat="1" applyFont="1" applyFill="1" applyBorder="1">
      <alignment vertical="center"/>
    </xf>
    <xf numFmtId="181" fontId="0" fillId="0" borderId="14" xfId="0" applyNumberFormat="1" applyFont="1" applyFill="1" applyBorder="1" applyAlignment="1">
      <alignment vertical="center"/>
    </xf>
    <xf numFmtId="0" fontId="0" fillId="0" borderId="36" xfId="0" applyNumberFormat="1" applyFont="1" applyFill="1" applyBorder="1">
      <alignment vertical="center"/>
    </xf>
    <xf numFmtId="0" fontId="26" fillId="13" borderId="0" xfId="0" applyNumberFormat="1" applyFont="1" applyFill="1" applyBorder="1" applyAlignment="1">
      <alignment horizontal="right" vertical="center"/>
    </xf>
    <xf numFmtId="0" fontId="23" fillId="0" borderId="0" xfId="0" applyNumberFormat="1" applyFont="1" applyFill="1" applyBorder="1" applyAlignment="1">
      <alignment horizontal="right" vertical="center"/>
    </xf>
    <xf numFmtId="0" fontId="26" fillId="13" borderId="0" xfId="0" applyNumberFormat="1" applyFont="1" applyFill="1" applyBorder="1" applyAlignment="1">
      <alignment vertical="center"/>
    </xf>
    <xf numFmtId="181" fontId="23" fillId="0" borderId="0" xfId="0" applyNumberFormat="1" applyFont="1" applyFill="1" applyBorder="1" applyAlignment="1">
      <alignment vertical="center"/>
    </xf>
    <xf numFmtId="0" fontId="26" fillId="13" borderId="12" xfId="0" applyNumberFormat="1" applyFont="1" applyFill="1" applyBorder="1" applyAlignment="1">
      <alignment horizontal="right" vertical="center"/>
    </xf>
    <xf numFmtId="178" fontId="23" fillId="0" borderId="12" xfId="0" applyNumberFormat="1" applyFont="1" applyFill="1" applyBorder="1" applyAlignment="1">
      <alignment horizontal="right" vertical="center"/>
    </xf>
    <xf numFmtId="0" fontId="26" fillId="13" borderId="32" xfId="0" applyNumberFormat="1" applyFont="1" applyFill="1" applyBorder="1" applyAlignment="1">
      <alignment horizontal="right" vertical="center"/>
    </xf>
    <xf numFmtId="180" fontId="23" fillId="0" borderId="32" xfId="0" applyNumberFormat="1" applyFont="1" applyFill="1" applyBorder="1" applyAlignment="1">
      <alignment horizontal="right" vertical="center"/>
    </xf>
    <xf numFmtId="0" fontId="0" fillId="14" borderId="14" xfId="0" applyNumberFormat="1" applyFont="1" applyFill="1" applyBorder="1">
      <alignment vertical="center"/>
    </xf>
    <xf numFmtId="14" fontId="0" fillId="14" borderId="14" xfId="0" applyNumberFormat="1" applyFont="1" applyFill="1" applyBorder="1">
      <alignment vertical="center"/>
    </xf>
    <xf numFmtId="20" fontId="0" fillId="14" borderId="14" xfId="0" applyNumberFormat="1" applyFont="1" applyFill="1" applyBorder="1">
      <alignment vertical="center"/>
    </xf>
    <xf numFmtId="176" fontId="0" fillId="14" borderId="14" xfId="0" applyFont="1" applyFill="1" applyBorder="1">
      <alignment vertical="center"/>
    </xf>
    <xf numFmtId="179" fontId="0" fillId="14" borderId="0" xfId="0" applyNumberFormat="1" applyFont="1" applyFill="1" applyBorder="1">
      <alignment vertical="center"/>
    </xf>
    <xf numFmtId="179" fontId="0" fillId="14" borderId="31" xfId="0" applyNumberFormat="1" applyFont="1" applyFill="1" applyBorder="1">
      <alignment vertical="center"/>
    </xf>
    <xf numFmtId="176" fontId="0" fillId="14" borderId="0" xfId="0" applyNumberFormat="1" applyFont="1" applyFill="1" applyBorder="1" applyAlignment="1">
      <alignment horizontal="right" vertical="center"/>
    </xf>
    <xf numFmtId="0" fontId="0" fillId="14" borderId="34" xfId="0" applyNumberFormat="1" applyFont="1" applyFill="1" applyBorder="1" applyAlignment="1">
      <alignment horizontal="right" vertical="center"/>
    </xf>
    <xf numFmtId="0" fontId="0" fillId="14" borderId="0" xfId="0" applyNumberFormat="1" applyFont="1" applyFill="1" applyBorder="1" applyAlignment="1">
      <alignment horizontal="right" vertical="center"/>
    </xf>
    <xf numFmtId="0" fontId="0" fillId="14" borderId="31" xfId="0" applyNumberFormat="1" applyFont="1" applyFill="1" applyBorder="1" applyAlignment="1">
      <alignment horizontal="center" vertical="center"/>
    </xf>
    <xf numFmtId="0" fontId="0" fillId="14" borderId="31" xfId="0" applyNumberFormat="1" applyFont="1" applyFill="1" applyBorder="1">
      <alignment vertical="center"/>
    </xf>
    <xf numFmtId="0" fontId="0" fillId="14" borderId="31" xfId="0" applyNumberFormat="1" applyFont="1" applyFill="1" applyBorder="1" applyAlignment="1">
      <alignment horizontal="right" vertical="center"/>
    </xf>
    <xf numFmtId="0" fontId="0" fillId="14" borderId="0" xfId="0" applyNumberFormat="1" applyFont="1" applyFill="1" applyBorder="1" applyAlignment="1">
      <alignment horizontal="center" vertical="center"/>
    </xf>
    <xf numFmtId="0" fontId="0" fillId="14" borderId="35" xfId="0" applyNumberFormat="1" applyFont="1" applyFill="1" applyBorder="1" applyAlignment="1">
      <alignment horizontal="right" vertical="center"/>
    </xf>
    <xf numFmtId="0" fontId="0" fillId="14" borderId="32" xfId="0" applyNumberFormat="1" applyFont="1" applyFill="1" applyBorder="1" applyAlignment="1">
      <alignment horizontal="right" vertical="center"/>
    </xf>
    <xf numFmtId="0" fontId="0" fillId="14" borderId="36" xfId="0" applyNumberFormat="1" applyFont="1" applyFill="1" applyBorder="1" applyAlignment="1">
      <alignment horizontal="right" vertical="center"/>
    </xf>
    <xf numFmtId="0" fontId="0" fillId="14" borderId="0" xfId="0" applyNumberFormat="1" applyFont="1" applyFill="1" applyBorder="1">
      <alignment vertical="center"/>
    </xf>
    <xf numFmtId="0" fontId="0" fillId="14" borderId="32" xfId="0" applyNumberFormat="1" applyFont="1" applyFill="1" applyBorder="1">
      <alignment vertical="center"/>
    </xf>
    <xf numFmtId="0" fontId="0" fillId="14" borderId="14" xfId="0" applyNumberFormat="1" applyFont="1" applyFill="1" applyBorder="1" applyAlignment="1">
      <alignment horizontal="right" vertical="center"/>
    </xf>
    <xf numFmtId="0" fontId="23" fillId="14" borderId="0" xfId="0" applyNumberFormat="1" applyFont="1" applyFill="1" applyBorder="1" applyAlignment="1">
      <alignment horizontal="right" vertical="center"/>
    </xf>
    <xf numFmtId="0" fontId="23" fillId="14" borderId="12" xfId="0" applyNumberFormat="1" applyFont="1" applyFill="1" applyBorder="1" applyAlignment="1">
      <alignment horizontal="right" vertical="center"/>
    </xf>
    <xf numFmtId="0" fontId="0" fillId="14" borderId="12" xfId="0" applyNumberFormat="1" applyFont="1" applyFill="1" applyBorder="1" applyAlignment="1">
      <alignment horizontal="right" vertical="center"/>
    </xf>
    <xf numFmtId="0" fontId="23" fillId="14" borderId="32" xfId="0" applyNumberFormat="1" applyFont="1" applyFill="1" applyBorder="1" applyAlignment="1">
      <alignment horizontal="right" vertical="center"/>
    </xf>
    <xf numFmtId="0" fontId="0" fillId="14" borderId="0" xfId="0" applyNumberFormat="1" applyFont="1" applyFill="1">
      <alignment vertical="center"/>
    </xf>
    <xf numFmtId="176" fontId="0" fillId="14" borderId="0" xfId="0" applyFont="1" applyFill="1">
      <alignment vertical="center"/>
    </xf>
    <xf numFmtId="0" fontId="0" fillId="14" borderId="34" xfId="0" applyNumberFormat="1" applyFont="1" applyFill="1" applyBorder="1" applyAlignment="1">
      <alignment vertical="center"/>
    </xf>
    <xf numFmtId="0" fontId="0" fillId="14" borderId="14" xfId="0" applyNumberFormat="1" applyFont="1" applyFill="1" applyBorder="1" applyAlignment="1">
      <alignment vertical="center"/>
    </xf>
    <xf numFmtId="0" fontId="23" fillId="14" borderId="0" xfId="0" applyNumberFormat="1" applyFont="1" applyFill="1" applyBorder="1" applyAlignment="1">
      <alignment vertical="center"/>
    </xf>
    <xf numFmtId="49" fontId="0" fillId="14" borderId="0" xfId="0" applyNumberFormat="1" applyFont="1" applyFill="1" applyBorder="1" applyAlignment="1">
      <alignment horizontal="center" vertical="center"/>
    </xf>
    <xf numFmtId="14" fontId="23" fillId="14" borderId="14" xfId="0" applyNumberFormat="1" applyFont="1" applyFill="1" applyBorder="1">
      <alignment vertical="center"/>
    </xf>
    <xf numFmtId="20" fontId="23" fillId="14" borderId="14" xfId="0" applyNumberFormat="1" applyFont="1" applyFill="1" applyBorder="1">
      <alignment vertical="center"/>
    </xf>
    <xf numFmtId="176" fontId="23" fillId="14" borderId="14" xfId="0" applyFont="1" applyFill="1" applyBorder="1">
      <alignment vertical="center"/>
    </xf>
    <xf numFmtId="0" fontId="23" fillId="14" borderId="31" xfId="0" applyNumberFormat="1" applyFont="1" applyFill="1" applyBorder="1" applyAlignment="1">
      <alignment horizontal="right" vertical="center"/>
    </xf>
    <xf numFmtId="0" fontId="23" fillId="14" borderId="31" xfId="0" applyNumberFormat="1" applyFont="1" applyFill="1" applyBorder="1" applyAlignment="1">
      <alignment horizontal="center" vertical="center"/>
    </xf>
    <xf numFmtId="0" fontId="23" fillId="14" borderId="35" xfId="0" applyNumberFormat="1" applyFont="1" applyFill="1" applyBorder="1" applyAlignment="1">
      <alignment horizontal="right" vertical="center"/>
    </xf>
    <xf numFmtId="0" fontId="23" fillId="14" borderId="32" xfId="0" applyNumberFormat="1" applyFont="1" applyFill="1" applyBorder="1">
      <alignment vertical="center"/>
    </xf>
    <xf numFmtId="0" fontId="23" fillId="14" borderId="0" xfId="0" applyNumberFormat="1" applyFont="1" applyFill="1" applyBorder="1">
      <alignment vertical="center"/>
    </xf>
    <xf numFmtId="0" fontId="23" fillId="14" borderId="34" xfId="0" applyNumberFormat="1" applyFont="1" applyFill="1" applyBorder="1" applyAlignment="1">
      <alignment vertical="center"/>
    </xf>
    <xf numFmtId="0" fontId="23" fillId="14" borderId="14" xfId="0" applyNumberFormat="1" applyFont="1" applyFill="1" applyBorder="1" applyAlignment="1">
      <alignment vertical="center"/>
    </xf>
    <xf numFmtId="0" fontId="23" fillId="14" borderId="0" xfId="0" applyNumberFormat="1" applyFont="1" applyFill="1">
      <alignment vertical="center"/>
    </xf>
    <xf numFmtId="176" fontId="23" fillId="14" borderId="0" xfId="0" applyFont="1" applyFill="1">
      <alignment vertical="center"/>
    </xf>
    <xf numFmtId="0" fontId="23" fillId="14" borderId="0" xfId="0" applyNumberFormat="1" applyFont="1" applyFill="1" applyBorder="1" applyAlignment="1">
      <alignment horizontal="center" vertical="center"/>
    </xf>
    <xf numFmtId="182" fontId="0" fillId="14" borderId="0" xfId="0" applyNumberFormat="1" applyFont="1" applyFill="1" applyBorder="1">
      <alignment vertical="center"/>
    </xf>
    <xf numFmtId="181" fontId="0" fillId="14" borderId="34" xfId="0" applyNumberFormat="1" applyFont="1" applyFill="1" applyBorder="1" applyAlignment="1">
      <alignment vertical="center"/>
    </xf>
    <xf numFmtId="181" fontId="23" fillId="14" borderId="0" xfId="0" applyNumberFormat="1" applyFont="1" applyFill="1" applyBorder="1" applyAlignment="1">
      <alignment vertical="center"/>
    </xf>
    <xf numFmtId="178" fontId="23" fillId="14" borderId="12" xfId="0" applyNumberFormat="1" applyFont="1" applyFill="1" applyBorder="1" applyAlignment="1">
      <alignment horizontal="right" vertical="center"/>
    </xf>
    <xf numFmtId="180" fontId="0" fillId="14" borderId="12" xfId="0" applyNumberFormat="1" applyFont="1" applyFill="1" applyBorder="1" applyAlignment="1">
      <alignment horizontal="right" vertical="center"/>
    </xf>
    <xf numFmtId="180" fontId="23" fillId="14" borderId="32" xfId="0" applyNumberFormat="1" applyFont="1" applyFill="1" applyBorder="1" applyAlignment="1">
      <alignment horizontal="right" vertical="center"/>
    </xf>
    <xf numFmtId="0" fontId="0" fillId="14" borderId="36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Fill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21" fontId="23" fillId="0" borderId="0" xfId="0" applyNumberFormat="1" applyFont="1" applyFill="1">
      <alignment vertical="center"/>
    </xf>
    <xf numFmtId="176" fontId="23" fillId="0" borderId="0" xfId="0" applyNumberFormat="1" applyFont="1" applyFill="1">
      <alignment vertical="center"/>
    </xf>
    <xf numFmtId="181" fontId="27" fillId="0" borderId="0" xfId="0" applyNumberFormat="1" applyFont="1" applyFill="1" applyBorder="1" applyAlignment="1">
      <alignment vertical="center"/>
    </xf>
    <xf numFmtId="178" fontId="27" fillId="0" borderId="12" xfId="0" applyNumberFormat="1" applyFont="1" applyFill="1" applyBorder="1" applyAlignment="1">
      <alignment horizontal="right" vertical="center"/>
    </xf>
    <xf numFmtId="180" fontId="27" fillId="0" borderId="32" xfId="0" applyNumberFormat="1" applyFont="1" applyFill="1" applyBorder="1" applyAlignment="1">
      <alignment horizontal="right" vertical="center"/>
    </xf>
    <xf numFmtId="176" fontId="0" fillId="14" borderId="32" xfId="0" applyNumberFormat="1" applyFont="1" applyFill="1" applyBorder="1" applyAlignment="1">
      <alignment horizontal="right" vertical="center"/>
    </xf>
    <xf numFmtId="20" fontId="0" fillId="0" borderId="12" xfId="0" applyNumberFormat="1" applyFont="1" applyBorder="1" applyAlignment="1">
      <alignment vertical="center" wrapText="1"/>
    </xf>
    <xf numFmtId="177" fontId="0" fillId="0" borderId="0" xfId="0" applyNumberFormat="1" applyFont="1" applyBorder="1" applyAlignment="1">
      <alignment vertical="center" wrapText="1"/>
    </xf>
    <xf numFmtId="0" fontId="0" fillId="14" borderId="31" xfId="48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1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9" fontId="0" fillId="0" borderId="0" xfId="0" applyNumberFormat="1">
      <alignment vertical="center"/>
    </xf>
    <xf numFmtId="0" fontId="25" fillId="13" borderId="31" xfId="48" applyNumberFormat="1" applyFont="1" applyFill="1" applyBorder="1" applyAlignment="1">
      <alignment horizontal="center" vertical="center"/>
    </xf>
    <xf numFmtId="49" fontId="0" fillId="0" borderId="0" xfId="2" applyNumberFormat="1" applyFont="1" applyFill="1">
      <alignment vertical="center"/>
    </xf>
    <xf numFmtId="49" fontId="0" fillId="0" borderId="0" xfId="3" applyNumberFormat="1" applyFont="1" applyFill="1">
      <alignment vertical="center"/>
    </xf>
    <xf numFmtId="181" fontId="25" fillId="13" borderId="34" xfId="0" applyNumberFormat="1" applyFont="1" applyFill="1" applyBorder="1" applyAlignment="1">
      <alignment vertical="center"/>
    </xf>
    <xf numFmtId="181" fontId="25" fillId="13" borderId="14" xfId="0" applyNumberFormat="1" applyFont="1" applyFill="1" applyBorder="1" applyAlignment="1">
      <alignment vertical="center"/>
    </xf>
    <xf numFmtId="181" fontId="26" fillId="13" borderId="0" xfId="0" applyNumberFormat="1" applyFont="1" applyFill="1" applyBorder="1" applyAlignment="1">
      <alignment vertical="center"/>
    </xf>
    <xf numFmtId="178" fontId="26" fillId="13" borderId="12" xfId="0" applyNumberFormat="1" applyFont="1" applyFill="1" applyBorder="1" applyAlignment="1">
      <alignment horizontal="right" vertical="center"/>
    </xf>
    <xf numFmtId="180" fontId="25" fillId="13" borderId="12" xfId="0" applyNumberFormat="1" applyFont="1" applyFill="1" applyBorder="1" applyAlignment="1">
      <alignment horizontal="right" vertical="center"/>
    </xf>
    <xf numFmtId="180" fontId="26" fillId="13" borderId="32" xfId="0" applyNumberFormat="1" applyFont="1" applyFill="1" applyBorder="1" applyAlignment="1">
      <alignment horizontal="right" vertical="center"/>
    </xf>
    <xf numFmtId="20" fontId="0" fillId="0" borderId="44" xfId="0" applyNumberFormat="1" applyFont="1" applyBorder="1">
      <alignment vertical="center"/>
    </xf>
    <xf numFmtId="176" fontId="25" fillId="13" borderId="0" xfId="0" applyNumberFormat="1" applyFont="1" applyFill="1" applyAlignment="1">
      <alignment horizontal="right" vertical="center"/>
    </xf>
    <xf numFmtId="0" fontId="25" fillId="13" borderId="0" xfId="91" applyNumberFormat="1" applyFont="1" applyFill="1" applyBorder="1">
      <alignment vertical="center"/>
    </xf>
    <xf numFmtId="176" fontId="0" fillId="14" borderId="0" xfId="0" applyNumberFormat="1" applyFont="1" applyFill="1" applyAlignment="1">
      <alignment horizontal="right" vertical="center"/>
    </xf>
    <xf numFmtId="181" fontId="0" fillId="14" borderId="14" xfId="0" applyNumberFormat="1" applyFont="1" applyFill="1" applyBorder="1" applyAlignment="1">
      <alignment vertical="center"/>
    </xf>
    <xf numFmtId="49" fontId="0" fillId="0" borderId="0" xfId="0" applyNumberFormat="1" applyFill="1" applyBorder="1">
      <alignment vertical="center"/>
    </xf>
    <xf numFmtId="176" fontId="0" fillId="0" borderId="0" xfId="0" applyAlignment="1">
      <alignment vertical="center" wrapText="1"/>
    </xf>
    <xf numFmtId="176" fontId="0" fillId="14" borderId="0" xfId="0" applyFont="1" applyFill="1" applyAlignment="1">
      <alignment horizontal="right" vertical="center"/>
    </xf>
    <xf numFmtId="183" fontId="0" fillId="0" borderId="0" xfId="0" applyNumberFormat="1">
      <alignment vertical="center"/>
    </xf>
    <xf numFmtId="176" fontId="25" fillId="13" borderId="0" xfId="0" applyFont="1" applyFill="1" applyAlignment="1">
      <alignment horizontal="right" vertical="center"/>
    </xf>
    <xf numFmtId="181" fontId="0" fillId="0" borderId="35" xfId="0" applyNumberFormat="1" applyFont="1" applyFill="1" applyBorder="1" applyAlignment="1">
      <alignment vertical="center"/>
    </xf>
    <xf numFmtId="181" fontId="0" fillId="0" borderId="31" xfId="0" applyNumberFormat="1" applyFont="1" applyFill="1" applyBorder="1" applyAlignment="1">
      <alignment vertical="center"/>
    </xf>
    <xf numFmtId="182" fontId="0" fillId="0" borderId="31" xfId="0" applyNumberFormat="1" applyFont="1" applyFill="1" applyBorder="1" applyAlignment="1">
      <alignment horizontal="right" vertical="center"/>
    </xf>
    <xf numFmtId="184" fontId="0" fillId="0" borderId="31" xfId="0" applyNumberFormat="1" applyFont="1" applyFill="1" applyBorder="1" applyAlignment="1">
      <alignment horizontal="right" vertical="center"/>
    </xf>
    <xf numFmtId="0" fontId="25" fillId="13" borderId="0" xfId="100" applyNumberFormat="1" applyFont="1" applyFill="1" applyBorder="1">
      <alignment vertical="center"/>
    </xf>
    <xf numFmtId="176" fontId="0" fillId="0" borderId="0" xfId="0" applyFill="1" applyAlignment="1">
      <alignment vertical="center" wrapText="1"/>
    </xf>
    <xf numFmtId="0" fontId="0" fillId="0" borderId="12" xfId="0" applyNumberFormat="1" applyFont="1" applyFill="1" applyBorder="1">
      <alignment vertical="center"/>
    </xf>
    <xf numFmtId="181" fontId="25" fillId="13" borderId="35" xfId="0" applyNumberFormat="1" applyFont="1" applyFill="1" applyBorder="1" applyAlignment="1">
      <alignment vertical="center"/>
    </xf>
    <xf numFmtId="181" fontId="25" fillId="13" borderId="31" xfId="0" applyNumberFormat="1" applyFont="1" applyFill="1" applyBorder="1" applyAlignment="1">
      <alignment vertical="center"/>
    </xf>
    <xf numFmtId="182" fontId="25" fillId="13" borderId="31" xfId="0" applyNumberFormat="1" applyFont="1" applyFill="1" applyBorder="1" applyAlignment="1">
      <alignment horizontal="right" vertical="center"/>
    </xf>
    <xf numFmtId="0" fontId="0" fillId="0" borderId="0" xfId="0" applyNumberFormat="1" applyFill="1" applyBorder="1">
      <alignment vertical="center"/>
    </xf>
    <xf numFmtId="14" fontId="0" fillId="0" borderId="45" xfId="0" applyNumberFormat="1" applyFont="1" applyBorder="1" applyAlignment="1">
      <alignment horizontal="center" vertical="center"/>
    </xf>
    <xf numFmtId="14" fontId="0" fillId="0" borderId="46" xfId="0" applyNumberFormat="1" applyFont="1" applyBorder="1" applyAlignment="1">
      <alignment horizontal="center" vertical="center"/>
    </xf>
    <xf numFmtId="49" fontId="0" fillId="0" borderId="46" xfId="0" applyNumberFormat="1" applyFont="1" applyBorder="1" applyAlignment="1">
      <alignment horizontal="center" vertical="center"/>
    </xf>
    <xf numFmtId="177" fontId="0" fillId="0" borderId="47" xfId="0" applyNumberFormat="1" applyFont="1" applyBorder="1">
      <alignment vertical="center"/>
    </xf>
    <xf numFmtId="177" fontId="0" fillId="0" borderId="46" xfId="0" applyNumberFormat="1" applyFont="1" applyBorder="1">
      <alignment vertical="center"/>
    </xf>
    <xf numFmtId="9" fontId="0" fillId="0" borderId="48" xfId="0" applyNumberFormat="1" applyFont="1" applyBorder="1">
      <alignment vertical="center"/>
    </xf>
    <xf numFmtId="181" fontId="0" fillId="14" borderId="35" xfId="0" applyNumberFormat="1" applyFont="1" applyFill="1" applyBorder="1" applyAlignment="1">
      <alignment vertical="center"/>
    </xf>
    <xf numFmtId="181" fontId="0" fillId="14" borderId="31" xfId="0" applyNumberFormat="1" applyFont="1" applyFill="1" applyBorder="1" applyAlignment="1">
      <alignment vertical="center"/>
    </xf>
    <xf numFmtId="182" fontId="0" fillId="14" borderId="31" xfId="0" applyNumberFormat="1" applyFont="1" applyFill="1" applyBorder="1" applyAlignment="1">
      <alignment horizontal="right" vertical="center"/>
    </xf>
    <xf numFmtId="176" fontId="0" fillId="0" borderId="0" xfId="0" applyAlignment="1">
      <alignment horizontal="center" vertical="center"/>
    </xf>
  </cellXfs>
  <cellStyles count="116">
    <cellStyle name="アクセント 1 2" xfId="4"/>
    <cellStyle name="アクセント 2 2" xfId="5"/>
    <cellStyle name="アクセント 3 2" xfId="6"/>
    <cellStyle name="アクセント 4 2" xfId="7"/>
    <cellStyle name="アクセント 5 2" xfId="8"/>
    <cellStyle name="アクセント 6 2" xfId="9"/>
    <cellStyle name="タイトル 2" xfId="10"/>
    <cellStyle name="チェック セル 2" xfId="11"/>
    <cellStyle name="メモ 2" xfId="12"/>
    <cellStyle name="メモ 2 2" xfId="13"/>
    <cellStyle name="メモ 3" xfId="14"/>
    <cellStyle name="メモ 3 2" xfId="15"/>
    <cellStyle name="リンク セル 2" xfId="16"/>
    <cellStyle name="悪い 2" xfId="17"/>
    <cellStyle name="計算 2" xfId="18"/>
    <cellStyle name="警告文 2" xfId="19"/>
    <cellStyle name="見出し 1 2" xfId="20"/>
    <cellStyle name="見出し 2 2" xfId="21"/>
    <cellStyle name="見出し 3 2" xfId="22"/>
    <cellStyle name="見出し 4 2" xfId="23"/>
    <cellStyle name="出力 2" xfId="24"/>
    <cellStyle name="説明文 2" xfId="25"/>
    <cellStyle name="入力 2" xfId="26"/>
    <cellStyle name="標準" xfId="0" builtinId="0"/>
    <cellStyle name="標準 10" xfId="27"/>
    <cellStyle name="標準 11" xfId="28"/>
    <cellStyle name="標準 12" xfId="29"/>
    <cellStyle name="標準 13" xfId="30"/>
    <cellStyle name="標準 14" xfId="31"/>
    <cellStyle name="標準 15" xfId="32"/>
    <cellStyle name="標準 16" xfId="33"/>
    <cellStyle name="標準 17" xfId="34"/>
    <cellStyle name="標準 18" xfId="35"/>
    <cellStyle name="標準 19" xfId="36"/>
    <cellStyle name="標準 2" xfId="37"/>
    <cellStyle name="標準 20" xfId="38"/>
    <cellStyle name="標準 21" xfId="39"/>
    <cellStyle name="標準 22" xfId="40"/>
    <cellStyle name="標準 23" xfId="41"/>
    <cellStyle name="標準 24" xfId="42"/>
    <cellStyle name="標準 25" xfId="43"/>
    <cellStyle name="標準 26" xfId="44"/>
    <cellStyle name="標準 27" xfId="45"/>
    <cellStyle name="標準 28" xfId="46"/>
    <cellStyle name="標準 29" xfId="47"/>
    <cellStyle name="標準 3" xfId="48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59"/>
    <cellStyle name="標準 40" xfId="60"/>
    <cellStyle name="標準 41" xfId="61"/>
    <cellStyle name="標準 42" xfId="62"/>
    <cellStyle name="標準 43" xfId="63"/>
    <cellStyle name="標準 44" xfId="2"/>
    <cellStyle name="標準 45" xfId="3"/>
    <cellStyle name="標準 46" xfId="1"/>
    <cellStyle name="標準 46 2" xfId="64"/>
    <cellStyle name="標準 47" xfId="65"/>
    <cellStyle name="標準 48" xfId="66"/>
    <cellStyle name="標準 49" xfId="67"/>
    <cellStyle name="標準 5" xfId="68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79"/>
    <cellStyle name="標準 60" xfId="80"/>
    <cellStyle name="標準 61" xfId="81"/>
    <cellStyle name="標準 62" xfId="82"/>
    <cellStyle name="標準 63" xfId="83"/>
    <cellStyle name="標準 64" xfId="84"/>
    <cellStyle name="標準 65" xfId="85"/>
    <cellStyle name="標準 66" xfId="86"/>
    <cellStyle name="標準 67" xfId="87"/>
    <cellStyle name="標準 68" xfId="88"/>
    <cellStyle name="標準 69" xfId="89"/>
    <cellStyle name="標準 7" xfId="90"/>
    <cellStyle name="標準 70" xfId="91"/>
    <cellStyle name="標準 71" xfId="92"/>
    <cellStyle name="標準 72" xfId="93"/>
    <cellStyle name="標準 73" xfId="94"/>
    <cellStyle name="標準 74" xfId="95"/>
    <cellStyle name="標準 75" xfId="96"/>
    <cellStyle name="標準 76" xfId="97"/>
    <cellStyle name="標準 77" xfId="98"/>
    <cellStyle name="標準 78" xfId="99"/>
    <cellStyle name="標準 79" xfId="100"/>
    <cellStyle name="標準 8" xfId="101"/>
    <cellStyle name="標準 80" xfId="102"/>
    <cellStyle name="標準 81" xfId="103"/>
    <cellStyle name="標準 82" xfId="104"/>
    <cellStyle name="標準 83" xfId="105"/>
    <cellStyle name="標準 84" xfId="106"/>
    <cellStyle name="標準 85" xfId="107"/>
    <cellStyle name="標準 86" xfId="108"/>
    <cellStyle name="標準 87" xfId="109"/>
    <cellStyle name="標準 88" xfId="110"/>
    <cellStyle name="標準 89" xfId="111"/>
    <cellStyle name="標準 9" xfId="112"/>
    <cellStyle name="標準 90" xfId="113"/>
    <cellStyle name="標準 91" xfId="114"/>
    <cellStyle name="良い 2" xfId="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4293305338138"/>
          <c:y val="4.3169912528588178E-2"/>
          <c:w val="0.77285367321138765"/>
          <c:h val="0.6961132321559238"/>
        </c:manualLayout>
      </c:layout>
      <c:scatterChart>
        <c:scatterStyle val="lineMarker"/>
        <c:varyColors val="0"/>
        <c:ser>
          <c:idx val="0"/>
          <c:order val="0"/>
          <c:tx>
            <c:v>achieved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</c:spPr>
          </c:marker>
          <c:xVal>
            <c:numRef>
              <c:f>summary!$F$105:$F$900</c:f>
              <c:numCache>
                <c:formatCode>yyyy/m/d\ h:mm;@</c:formatCode>
                <c:ptCount val="796"/>
                <c:pt idx="0">
                  <c:v>43119.882754629631</c:v>
                </c:pt>
                <c:pt idx="1">
                  <c:v>43119.92491898148</c:v>
                </c:pt>
                <c:pt idx="2">
                  <c:v>43119.96671296296</c:v>
                </c:pt>
                <c:pt idx="3">
                  <c:v>43120.011238425926</c:v>
                </c:pt>
                <c:pt idx="4">
                  <c:v>43120.012962962966</c:v>
                </c:pt>
                <c:pt idx="5">
                  <c:v>43120.014606481483</c:v>
                </c:pt>
                <c:pt idx="6">
                  <c:v>43120.016388888886</c:v>
                </c:pt>
                <c:pt idx="7">
                  <c:v>43120.017997685187</c:v>
                </c:pt>
                <c:pt idx="8">
                  <c:v>43120.019456018519</c:v>
                </c:pt>
                <c:pt idx="9">
                  <c:v>43120.021134259259</c:v>
                </c:pt>
                <c:pt idx="10">
                  <c:v>43120.022881944446</c:v>
                </c:pt>
                <c:pt idx="11">
                  <c:v>43120.024363425924</c:v>
                </c:pt>
                <c:pt idx="12">
                  <c:v>43120.02616898148</c:v>
                </c:pt>
                <c:pt idx="16">
                  <c:v>43120.030173611114</c:v>
                </c:pt>
                <c:pt idx="17">
                  <c:v>43120.043587962966</c:v>
                </c:pt>
                <c:pt idx="18">
                  <c:v>43120.061064814814</c:v>
                </c:pt>
                <c:pt idx="19">
                  <c:v>43120.064293981479</c:v>
                </c:pt>
                <c:pt idx="21">
                  <c:v>43120.070844907408</c:v>
                </c:pt>
                <c:pt idx="22">
                  <c:v>43120.083958333336</c:v>
                </c:pt>
                <c:pt idx="23">
                  <c:v>43120.125138888892</c:v>
                </c:pt>
                <c:pt idx="24">
                  <c:v>43120.166712962964</c:v>
                </c:pt>
                <c:pt idx="25">
                  <c:v>43120.171886574077</c:v>
                </c:pt>
                <c:pt idx="26">
                  <c:v>43120.212754629632</c:v>
                </c:pt>
                <c:pt idx="27">
                  <c:v>43120.251736111109</c:v>
                </c:pt>
                <c:pt idx="28">
                  <c:v>43120.290949074071</c:v>
                </c:pt>
                <c:pt idx="29">
                  <c:v>43120.330011574071</c:v>
                </c:pt>
                <c:pt idx="31">
                  <c:v>43125.995115740741</c:v>
                </c:pt>
                <c:pt idx="32">
                  <c:v>43125.998842592591</c:v>
                </c:pt>
                <c:pt idx="33">
                  <c:v>43126.001655092594</c:v>
                </c:pt>
                <c:pt idx="34">
                  <c:v>43126.010787037034</c:v>
                </c:pt>
                <c:pt idx="35">
                  <c:v>43126.01290509259</c:v>
                </c:pt>
                <c:pt idx="36">
                  <c:v>43126.014664351853</c:v>
                </c:pt>
                <c:pt idx="37">
                  <c:v>43126.016226851854</c:v>
                </c:pt>
                <c:pt idx="38">
                  <c:v>43126.018252314818</c:v>
                </c:pt>
                <c:pt idx="39">
                  <c:v>43126.019918981481</c:v>
                </c:pt>
                <c:pt idx="40">
                  <c:v>43126.022233796299</c:v>
                </c:pt>
                <c:pt idx="41">
                  <c:v>43126.024189814816</c:v>
                </c:pt>
                <c:pt idx="42">
                  <c:v>43126.025868055556</c:v>
                </c:pt>
                <c:pt idx="43">
                  <c:v>43126.027662037035</c:v>
                </c:pt>
                <c:pt idx="44">
                  <c:v>43126.029386574075</c:v>
                </c:pt>
                <c:pt idx="45">
                  <c:v>43126.032835648148</c:v>
                </c:pt>
                <c:pt idx="46">
                  <c:v>43126.074664351851</c:v>
                </c:pt>
                <c:pt idx="47">
                  <c:v>43126.090682870374</c:v>
                </c:pt>
                <c:pt idx="48">
                  <c:v>43126.109907407408</c:v>
                </c:pt>
                <c:pt idx="49">
                  <c:v>43126.12667824074</c:v>
                </c:pt>
                <c:pt idx="50">
                  <c:v>43126.167118055557</c:v>
                </c:pt>
                <c:pt idx="51">
                  <c:v>43126.181620370371</c:v>
                </c:pt>
                <c:pt idx="52">
                  <c:v>43126.222372685188</c:v>
                </c:pt>
                <c:pt idx="53">
                  <c:v>43126.264699074076</c:v>
                </c:pt>
                <c:pt idx="54">
                  <c:v>43126.306111111109</c:v>
                </c:pt>
                <c:pt idx="55">
                  <c:v>43126.353391203702</c:v>
                </c:pt>
                <c:pt idx="56">
                  <c:v>43126.39439814815</c:v>
                </c:pt>
                <c:pt idx="60">
                  <c:v>43126.806504629632</c:v>
                </c:pt>
                <c:pt idx="61">
                  <c:v>43126.856111111112</c:v>
                </c:pt>
                <c:pt idx="62">
                  <c:v>43126.861585648148</c:v>
                </c:pt>
                <c:pt idx="63">
                  <c:v>43126.98159722222</c:v>
                </c:pt>
                <c:pt idx="64">
                  <c:v>43126.983807870369</c:v>
                </c:pt>
                <c:pt idx="65">
                  <c:v>43127.004930555559</c:v>
                </c:pt>
                <c:pt idx="66">
                  <c:v>43127.008275462962</c:v>
                </c:pt>
                <c:pt idx="67">
                  <c:v>43127.009340277778</c:v>
                </c:pt>
                <c:pt idx="68">
                  <c:v>43127.010474537034</c:v>
                </c:pt>
                <c:pt idx="69">
                  <c:v>43127.011122685188</c:v>
                </c:pt>
                <c:pt idx="70">
                  <c:v>43127.011122685188</c:v>
                </c:pt>
                <c:pt idx="71">
                  <c:v>43127.011122685188</c:v>
                </c:pt>
                <c:pt idx="72">
                  <c:v>43127.015219907407</c:v>
                </c:pt>
                <c:pt idx="73">
                  <c:v>43127.015219907407</c:v>
                </c:pt>
                <c:pt idx="74">
                  <c:v>43127.015219907407</c:v>
                </c:pt>
                <c:pt idx="75">
                  <c:v>43127.015219907407</c:v>
                </c:pt>
                <c:pt idx="76">
                  <c:v>43127.015219907407</c:v>
                </c:pt>
                <c:pt idx="77">
                  <c:v>43127.015219907407</c:v>
                </c:pt>
                <c:pt idx="78">
                  <c:v>43127.015219907407</c:v>
                </c:pt>
                <c:pt idx="79">
                  <c:v>43127.015219907407</c:v>
                </c:pt>
                <c:pt idx="80">
                  <c:v>43127.015219907407</c:v>
                </c:pt>
                <c:pt idx="81">
                  <c:v>43127.015219907407</c:v>
                </c:pt>
                <c:pt idx="82">
                  <c:v>43127.015219907407</c:v>
                </c:pt>
                <c:pt idx="83">
                  <c:v>43127.015219907407</c:v>
                </c:pt>
                <c:pt idx="84">
                  <c:v>43127.027754629627</c:v>
                </c:pt>
                <c:pt idx="85">
                  <c:v>43127.032465277778</c:v>
                </c:pt>
                <c:pt idx="86">
                  <c:v>43127.039537037039</c:v>
                </c:pt>
                <c:pt idx="87">
                  <c:v>43127.080370370371</c:v>
                </c:pt>
                <c:pt idx="88">
                  <c:v>43127.126342592594</c:v>
                </c:pt>
                <c:pt idx="89">
                  <c:v>43127.158472222225</c:v>
                </c:pt>
                <c:pt idx="91">
                  <c:v>43127.191041666665</c:v>
                </c:pt>
                <c:pt idx="92">
                  <c:v>43127.199293981481</c:v>
                </c:pt>
                <c:pt idx="93">
                  <c:v>43127.207175925927</c:v>
                </c:pt>
                <c:pt idx="94">
                  <c:v>43127.213229166664</c:v>
                </c:pt>
                <c:pt idx="95">
                  <c:v>43127.24559027778</c:v>
                </c:pt>
                <c:pt idx="96">
                  <c:v>43127.264490740738</c:v>
                </c:pt>
                <c:pt idx="97">
                  <c:v>43127.307210648149</c:v>
                </c:pt>
                <c:pt idx="98">
                  <c:v>43127.35019675926</c:v>
                </c:pt>
                <c:pt idx="99">
                  <c:v>43127.438900462963</c:v>
                </c:pt>
                <c:pt idx="100">
                  <c:v>43128.004930555559</c:v>
                </c:pt>
                <c:pt idx="101">
                  <c:v>43128.007662037038</c:v>
                </c:pt>
                <c:pt idx="102">
                  <c:v>43128.01421296296</c:v>
                </c:pt>
                <c:pt idx="103">
                  <c:v>43128.015451388892</c:v>
                </c:pt>
                <c:pt idx="104">
                  <c:v>43128.016967592594</c:v>
                </c:pt>
                <c:pt idx="105">
                  <c:v>43128.01840277778</c:v>
                </c:pt>
                <c:pt idx="106">
                  <c:v>43128.019826388889</c:v>
                </c:pt>
                <c:pt idx="107">
                  <c:v>43128.021180555559</c:v>
                </c:pt>
                <c:pt idx="108">
                  <c:v>43128.022615740738</c:v>
                </c:pt>
                <c:pt idx="109">
                  <c:v>43128.024236111109</c:v>
                </c:pt>
                <c:pt idx="110">
                  <c:v>43128.025659722225</c:v>
                </c:pt>
                <c:pt idx="111">
                  <c:v>43128.027118055557</c:v>
                </c:pt>
                <c:pt idx="112">
                  <c:v>43128.028495370374</c:v>
                </c:pt>
                <c:pt idx="113">
                  <c:v>43128.030173611114</c:v>
                </c:pt>
                <c:pt idx="114">
                  <c:v>43128.034456018519</c:v>
                </c:pt>
                <c:pt idx="115">
                  <c:v>43128.092060185183</c:v>
                </c:pt>
                <c:pt idx="116">
                  <c:v>43128.133576388886</c:v>
                </c:pt>
                <c:pt idx="117">
                  <c:v>43128.175833333335</c:v>
                </c:pt>
                <c:pt idx="118">
                  <c:v>43128.217534722222</c:v>
                </c:pt>
                <c:pt idx="119">
                  <c:v>43128.259074074071</c:v>
                </c:pt>
                <c:pt idx="120">
                  <c:v>43128.324143518519</c:v>
                </c:pt>
                <c:pt idx="121">
                  <c:v>43128.366157407407</c:v>
                </c:pt>
                <c:pt idx="122">
                  <c:v>43128.407152777778</c:v>
                </c:pt>
                <c:pt idx="123">
                  <c:v>43128.452488425923</c:v>
                </c:pt>
                <c:pt idx="124">
                  <c:v>43128.492673611108</c:v>
                </c:pt>
                <c:pt idx="125">
                  <c:v>43128.534317129626</c:v>
                </c:pt>
                <c:pt idx="126">
                  <c:v>43128.577048611114</c:v>
                </c:pt>
                <c:pt idx="127">
                  <c:v>43128.618530092594</c:v>
                </c:pt>
                <c:pt idx="128">
                  <c:v>43128.660162037035</c:v>
                </c:pt>
                <c:pt idx="129">
                  <c:v>43128.702118055553</c:v>
                </c:pt>
                <c:pt idx="130">
                  <c:v>43128.744247685187</c:v>
                </c:pt>
                <c:pt idx="131">
                  <c:v>43128.78597222222</c:v>
                </c:pt>
                <c:pt idx="132">
                  <c:v>43128.828321759262</c:v>
                </c:pt>
                <c:pt idx="133">
                  <c:v>43128.869571759256</c:v>
                </c:pt>
                <c:pt idx="134">
                  <c:v>43128.912199074075</c:v>
                </c:pt>
                <c:pt idx="135">
                  <c:v>43128.954513888886</c:v>
                </c:pt>
                <c:pt idx="136">
                  <c:v>43128.996805555558</c:v>
                </c:pt>
                <c:pt idx="137">
                  <c:v>43129.037326388891</c:v>
                </c:pt>
                <c:pt idx="138">
                  <c:v>43129.0780787037</c:v>
                </c:pt>
                <c:pt idx="139">
                  <c:v>43129.125717592593</c:v>
                </c:pt>
                <c:pt idx="140">
                  <c:v>43129.170717592591</c:v>
                </c:pt>
                <c:pt idx="141">
                  <c:v>43129.23537037037</c:v>
                </c:pt>
                <c:pt idx="142">
                  <c:v>43129.276574074072</c:v>
                </c:pt>
                <c:pt idx="143">
                  <c:v>43129.317835648151</c:v>
                </c:pt>
                <c:pt idx="144">
                  <c:v>43129.3590625</c:v>
                </c:pt>
                <c:pt idx="145">
                  <c:v>43129.404432870368</c:v>
                </c:pt>
                <c:pt idx="146">
                  <c:v>43129.447094907409</c:v>
                </c:pt>
                <c:pt idx="147">
                  <c:v>43129.491863425923</c:v>
                </c:pt>
                <c:pt idx="148">
                  <c:v>43129.521145833336</c:v>
                </c:pt>
                <c:pt idx="149">
                  <c:v>43129.56354166667</c:v>
                </c:pt>
                <c:pt idx="150">
                  <c:v>43129.60491898148</c:v>
                </c:pt>
                <c:pt idx="151">
                  <c:v>43129.64707175926</c:v>
                </c:pt>
                <c:pt idx="152">
                  <c:v>43129.67765046296</c:v>
                </c:pt>
                <c:pt idx="153">
                  <c:v>43129.720289351855</c:v>
                </c:pt>
                <c:pt idx="154">
                  <c:v>43129.762800925928</c:v>
                </c:pt>
                <c:pt idx="155">
                  <c:v>43129.806493055556</c:v>
                </c:pt>
                <c:pt idx="156">
                  <c:v>43129.862638888888</c:v>
                </c:pt>
                <c:pt idx="157">
                  <c:v>43129.907534722224</c:v>
                </c:pt>
                <c:pt idx="158">
                  <c:v>43129.958379629628</c:v>
                </c:pt>
                <c:pt idx="159">
                  <c:v>43130.007673611108</c:v>
                </c:pt>
                <c:pt idx="160">
                  <c:v>43130.049560185187</c:v>
                </c:pt>
                <c:pt idx="161">
                  <c:v>43130.104386574072</c:v>
                </c:pt>
                <c:pt idx="162">
                  <c:v>43130.154953703706</c:v>
                </c:pt>
                <c:pt idx="163">
                  <c:v>43130.204270833332</c:v>
                </c:pt>
                <c:pt idx="164">
                  <c:v>43130.269837962966</c:v>
                </c:pt>
                <c:pt idx="165">
                  <c:v>43130.311122685183</c:v>
                </c:pt>
                <c:pt idx="166">
                  <c:v>43130.328344907408</c:v>
                </c:pt>
                <c:pt idx="167">
                  <c:v>43130.369502314818</c:v>
                </c:pt>
                <c:pt idx="168">
                  <c:v>43130.416990740741</c:v>
                </c:pt>
                <c:pt idx="169">
                  <c:v>43130.760405092595</c:v>
                </c:pt>
                <c:pt idx="170">
                  <c:v>43130.763958333337</c:v>
                </c:pt>
                <c:pt idx="172">
                  <c:v>43130.764606481483</c:v>
                </c:pt>
                <c:pt idx="173">
                  <c:v>43130.767800925925</c:v>
                </c:pt>
                <c:pt idx="174">
                  <c:v>43130.768900462965</c:v>
                </c:pt>
                <c:pt idx="175">
                  <c:v>43130.769062500003</c:v>
                </c:pt>
                <c:pt idx="176">
                  <c:v>43130.76971064815</c:v>
                </c:pt>
                <c:pt idx="177">
                  <c:v>43130.77140046296</c:v>
                </c:pt>
                <c:pt idx="178">
                  <c:v>43130.772233796299</c:v>
                </c:pt>
                <c:pt idx="179">
                  <c:v>43130.773726851854</c:v>
                </c:pt>
                <c:pt idx="180">
                  <c:v>43130.774652777778</c:v>
                </c:pt>
                <c:pt idx="181">
                  <c:v>43130.775277777779</c:v>
                </c:pt>
                <c:pt idx="182">
                  <c:v>43130.776076388887</c:v>
                </c:pt>
                <c:pt idx="183">
                  <c:v>43130.776782407411</c:v>
                </c:pt>
                <c:pt idx="184">
                  <c:v>43130.779340277775</c:v>
                </c:pt>
                <c:pt idx="185">
                  <c:v>43130.780150462961</c:v>
                </c:pt>
                <c:pt idx="186">
                  <c:v>43130.780891203707</c:v>
                </c:pt>
                <c:pt idx="187">
                  <c:v>43130.781608796293</c:v>
                </c:pt>
                <c:pt idx="188">
                  <c:v>43130.78230324074</c:v>
                </c:pt>
                <c:pt idx="189">
                  <c:v>43130.783321759256</c:v>
                </c:pt>
                <c:pt idx="190">
                  <c:v>43130.786030092589</c:v>
                </c:pt>
                <c:pt idx="191">
                  <c:v>43130.788854166669</c:v>
                </c:pt>
                <c:pt idx="192">
                  <c:v>43130.791631944441</c:v>
                </c:pt>
                <c:pt idx="193">
                  <c:v>43130.795694444445</c:v>
                </c:pt>
                <c:pt idx="194">
                  <c:v>43130.7971875</c:v>
                </c:pt>
                <c:pt idx="195">
                  <c:v>43130.798611111109</c:v>
                </c:pt>
                <c:pt idx="196">
                  <c:v>43130.800011574072</c:v>
                </c:pt>
                <c:pt idx="197">
                  <c:v>43130.801388888889</c:v>
                </c:pt>
                <c:pt idx="198">
                  <c:v>43130.802800925929</c:v>
                </c:pt>
                <c:pt idx="199">
                  <c:v>43130.804293981484</c:v>
                </c:pt>
                <c:pt idx="200">
                  <c:v>43130.805949074071</c:v>
                </c:pt>
                <c:pt idx="201">
                  <c:v>43130.807395833333</c:v>
                </c:pt>
                <c:pt idx="202">
                  <c:v>43130.808969907404</c:v>
                </c:pt>
                <c:pt idx="203">
                  <c:v>43130.810497685183</c:v>
                </c:pt>
                <c:pt idx="204">
                  <c:v>43130.812777777777</c:v>
                </c:pt>
                <c:pt idx="205">
                  <c:v>43130.907847222225</c:v>
                </c:pt>
                <c:pt idx="206">
                  <c:v>43130.951180555552</c:v>
                </c:pt>
                <c:pt idx="207">
                  <c:v>43131.007326388892</c:v>
                </c:pt>
                <c:pt idx="208">
                  <c:v>43131.056909722225</c:v>
                </c:pt>
                <c:pt idx="209">
                  <c:v>43131.09814814815</c:v>
                </c:pt>
                <c:pt idx="210">
                  <c:v>43131.139351851853</c:v>
                </c:pt>
                <c:pt idx="211">
                  <c:v>43131.191932870373</c:v>
                </c:pt>
                <c:pt idx="212">
                  <c:v>43131.232673611114</c:v>
                </c:pt>
                <c:pt idx="213">
                  <c:v>43131.281354166669</c:v>
                </c:pt>
                <c:pt idx="214">
                  <c:v>43131.326979166668</c:v>
                </c:pt>
                <c:pt idx="215">
                  <c:v>43132.666979166665</c:v>
                </c:pt>
                <c:pt idx="216">
                  <c:v>43132.670648148145</c:v>
                </c:pt>
                <c:pt idx="217">
                  <c:v>43132.673437500001</c:v>
                </c:pt>
                <c:pt idx="219">
                  <c:v>43132.715208333335</c:v>
                </c:pt>
                <c:pt idx="220">
                  <c:v>43132.716585648152</c:v>
                </c:pt>
                <c:pt idx="221">
                  <c:v>43132.718009259261</c:v>
                </c:pt>
                <c:pt idx="222">
                  <c:v>43132.71943287037</c:v>
                </c:pt>
                <c:pt idx="223">
                  <c:v>43132.720833333333</c:v>
                </c:pt>
                <c:pt idx="224">
                  <c:v>43132.722187500003</c:v>
                </c:pt>
                <c:pt idx="225">
                  <c:v>43132.723668981482</c:v>
                </c:pt>
                <c:pt idx="227">
                  <c:v>43132.736087962963</c:v>
                </c:pt>
                <c:pt idx="228">
                  <c:v>43132.737476851849</c:v>
                </c:pt>
                <c:pt idx="229">
                  <c:v>43132.738981481481</c:v>
                </c:pt>
                <c:pt idx="230">
                  <c:v>43132.740486111114</c:v>
                </c:pt>
                <c:pt idx="231">
                  <c:v>43132.744212962964</c:v>
                </c:pt>
                <c:pt idx="232">
                  <c:v>43132.788194444445</c:v>
                </c:pt>
                <c:pt idx="233">
                  <c:v>43132.830925925926</c:v>
                </c:pt>
                <c:pt idx="234">
                  <c:v>43132.873402777775</c:v>
                </c:pt>
                <c:pt idx="235">
                  <c:v>43132.9296412037</c:v>
                </c:pt>
                <c:pt idx="236">
                  <c:v>43132.972650462965</c:v>
                </c:pt>
                <c:pt idx="237">
                  <c:v>43133.018275462964</c:v>
                </c:pt>
                <c:pt idx="238">
                  <c:v>43133.066168981481</c:v>
                </c:pt>
                <c:pt idx="239">
                  <c:v>43133.107268518521</c:v>
                </c:pt>
                <c:pt idx="240">
                  <c:v>43133.148553240739</c:v>
                </c:pt>
                <c:pt idx="241">
                  <c:v>43133.165798611109</c:v>
                </c:pt>
                <c:pt idx="242">
                  <c:v>43133.206354166665</c:v>
                </c:pt>
                <c:pt idx="243">
                  <c:v>43133.247662037036</c:v>
                </c:pt>
                <c:pt idx="244">
                  <c:v>43133.289560185185</c:v>
                </c:pt>
                <c:pt idx="245">
                  <c:v>43133.330671296295</c:v>
                </c:pt>
                <c:pt idx="246">
                  <c:v>43133.372141203705</c:v>
                </c:pt>
                <c:pt idx="247">
                  <c:v>43133.423449074071</c:v>
                </c:pt>
                <c:pt idx="248">
                  <c:v>43133.445289351854</c:v>
                </c:pt>
                <c:pt idx="249">
                  <c:v>43133.482835648145</c:v>
                </c:pt>
                <c:pt idx="250">
                  <c:v>43133.524351851855</c:v>
                </c:pt>
                <c:pt idx="251">
                  <c:v>43133.566493055558</c:v>
                </c:pt>
                <c:pt idx="252">
                  <c:v>43133.617581018516</c:v>
                </c:pt>
                <c:pt idx="253">
                  <c:v>43133.656782407408</c:v>
                </c:pt>
                <c:pt idx="254">
                  <c:v>43133.677152777775</c:v>
                </c:pt>
                <c:pt idx="255">
                  <c:v>43133.729166666664</c:v>
                </c:pt>
                <c:pt idx="256">
                  <c:v>43133.772916666669</c:v>
                </c:pt>
                <c:pt idx="257">
                  <c:v>43133.830034722225</c:v>
                </c:pt>
                <c:pt idx="259">
                  <c:v>43133.877847222226</c:v>
                </c:pt>
                <c:pt idx="260">
                  <c:v>43133.921944444446</c:v>
                </c:pt>
                <c:pt idx="261">
                  <c:v>43133.964189814818</c:v>
                </c:pt>
                <c:pt idx="262">
                  <c:v>43134.006736111114</c:v>
                </c:pt>
                <c:pt idx="263">
                  <c:v>43134.052361111113</c:v>
                </c:pt>
                <c:pt idx="264">
                  <c:v>43134.093761574077</c:v>
                </c:pt>
                <c:pt idx="265">
                  <c:v>43134.139502314814</c:v>
                </c:pt>
                <c:pt idx="266">
                  <c:v>43134.181134259263</c:v>
                </c:pt>
                <c:pt idx="267">
                  <c:v>43134.236203703702</c:v>
                </c:pt>
                <c:pt idx="268">
                  <c:v>43134.277592592596</c:v>
                </c:pt>
                <c:pt idx="269">
                  <c:v>43134.302372685182</c:v>
                </c:pt>
                <c:pt idx="270">
                  <c:v>43134.344004629631</c:v>
                </c:pt>
                <c:pt idx="271">
                  <c:v>43134.385960648149</c:v>
                </c:pt>
                <c:pt idx="272">
                  <c:v>43134.427731481483</c:v>
                </c:pt>
                <c:pt idx="273">
                  <c:v>43134.468900462962</c:v>
                </c:pt>
                <c:pt idx="274">
                  <c:v>43134.510300925926</c:v>
                </c:pt>
                <c:pt idx="275">
                  <c:v>43134.551655092589</c:v>
                </c:pt>
                <c:pt idx="276">
                  <c:v>43134.593877314815</c:v>
                </c:pt>
                <c:pt idx="277">
                  <c:v>43134.635983796295</c:v>
                </c:pt>
                <c:pt idx="278">
                  <c:v>43134.648240740738</c:v>
                </c:pt>
                <c:pt idx="279">
                  <c:v>43134.650868055556</c:v>
                </c:pt>
                <c:pt idx="280">
                  <c:v>43134.654606481483</c:v>
                </c:pt>
                <c:pt idx="281">
                  <c:v>43134.697430555556</c:v>
                </c:pt>
                <c:pt idx="282">
                  <c:v>43134.741006944445</c:v>
                </c:pt>
                <c:pt idx="283">
                  <c:v>43134.78398148148</c:v>
                </c:pt>
                <c:pt idx="284">
                  <c:v>43134.82671296296</c:v>
                </c:pt>
                <c:pt idx="285">
                  <c:v>43134.869687500002</c:v>
                </c:pt>
                <c:pt idx="286">
                  <c:v>43134.911932870367</c:v>
                </c:pt>
                <c:pt idx="287">
                  <c:v>43134.955034722225</c:v>
                </c:pt>
                <c:pt idx="288">
                  <c:v>43134.997569444444</c:v>
                </c:pt>
                <c:pt idx="289">
                  <c:v>43135.040347222224</c:v>
                </c:pt>
                <c:pt idx="290">
                  <c:v>43135.081817129627</c:v>
                </c:pt>
                <c:pt idx="291">
                  <c:v>43135.123194444444</c:v>
                </c:pt>
                <c:pt idx="292">
                  <c:v>43135.128645833334</c:v>
                </c:pt>
                <c:pt idx="293">
                  <c:v>43135.160624999997</c:v>
                </c:pt>
                <c:pt idx="294">
                  <c:v>43135.20484953704</c:v>
                </c:pt>
                <c:pt idx="295">
                  <c:v>43135.249016203707</c:v>
                </c:pt>
                <c:pt idx="296">
                  <c:v>43135.29078703704</c:v>
                </c:pt>
                <c:pt idx="297">
                  <c:v>43135.332511574074</c:v>
                </c:pt>
                <c:pt idx="298">
                  <c:v>43135.373900462961</c:v>
                </c:pt>
                <c:pt idx="299">
                  <c:v>43135.415983796294</c:v>
                </c:pt>
                <c:pt idx="300">
                  <c:v>43135.458113425928</c:v>
                </c:pt>
                <c:pt idx="301">
                  <c:v>43135.499444444446</c:v>
                </c:pt>
                <c:pt idx="303">
                  <c:v>43135.556145833332</c:v>
                </c:pt>
                <c:pt idx="304">
                  <c:v>43135.600914351853</c:v>
                </c:pt>
                <c:pt idx="305">
                  <c:v>43135.64298611111</c:v>
                </c:pt>
                <c:pt idx="306">
                  <c:v>43135.663923611108</c:v>
                </c:pt>
                <c:pt idx="307">
                  <c:v>43135.708599537036</c:v>
                </c:pt>
                <c:pt idx="308">
                  <c:v>43135.751655092594</c:v>
                </c:pt>
                <c:pt idx="309">
                  <c:v>43135.794791666667</c:v>
                </c:pt>
                <c:pt idx="310">
                  <c:v>43135.83792824074</c:v>
                </c:pt>
                <c:pt idx="311">
                  <c:v>43135.881030092591</c:v>
                </c:pt>
                <c:pt idx="312">
                  <c:v>43135.923831018517</c:v>
                </c:pt>
                <c:pt idx="313">
                  <c:v>43135.966736111113</c:v>
                </c:pt>
                <c:pt idx="314">
                  <c:v>43136.009293981479</c:v>
                </c:pt>
                <c:pt idx="315">
                  <c:v>43136.050729166665</c:v>
                </c:pt>
                <c:pt idx="316">
                  <c:v>43136.09202546296</c:v>
                </c:pt>
                <c:pt idx="317">
                  <c:v>43136.148414351854</c:v>
                </c:pt>
                <c:pt idx="318">
                  <c:v>43136.189733796295</c:v>
                </c:pt>
                <c:pt idx="319">
                  <c:v>43136.231030092589</c:v>
                </c:pt>
                <c:pt idx="320">
                  <c:v>43136.272245370368</c:v>
                </c:pt>
                <c:pt idx="321">
                  <c:v>43136.31349537037</c:v>
                </c:pt>
                <c:pt idx="322">
                  <c:v>43136.354745370372</c:v>
                </c:pt>
                <c:pt idx="323">
                  <c:v>43136.396377314813</c:v>
                </c:pt>
                <c:pt idx="324">
                  <c:v>43136.437847222223</c:v>
                </c:pt>
                <c:pt idx="325">
                  <c:v>43136.461655092593</c:v>
                </c:pt>
                <c:pt idx="326">
                  <c:v>43136.502800925926</c:v>
                </c:pt>
                <c:pt idx="327">
                  <c:v>43136.545416666668</c:v>
                </c:pt>
                <c:pt idx="328">
                  <c:v>43136.586689814816</c:v>
                </c:pt>
                <c:pt idx="329">
                  <c:v>43136.636655092596</c:v>
                </c:pt>
                <c:pt idx="330">
                  <c:v>43136.684513888889</c:v>
                </c:pt>
                <c:pt idx="331">
                  <c:v>43136.727708333332</c:v>
                </c:pt>
                <c:pt idx="332">
                  <c:v>43136.731122685182</c:v>
                </c:pt>
                <c:pt idx="333">
                  <c:v>43136.732766203706</c:v>
                </c:pt>
                <c:pt idx="351">
                  <c:v>43136.759664351855</c:v>
                </c:pt>
                <c:pt idx="352">
                  <c:v>43136.803182870368</c:v>
                </c:pt>
                <c:pt idx="353">
                  <c:v>43136.846759259257</c:v>
                </c:pt>
                <c:pt idx="354">
                  <c:v>43136.890219907407</c:v>
                </c:pt>
                <c:pt idx="355">
                  <c:v>43136.932951388888</c:v>
                </c:pt>
                <c:pt idx="356">
                  <c:v>43136.977141203701</c:v>
                </c:pt>
                <c:pt idx="357">
                  <c:v>43137.019699074073</c:v>
                </c:pt>
                <c:pt idx="358">
                  <c:v>43137.039756944447</c:v>
                </c:pt>
                <c:pt idx="359">
                  <c:v>43137.081620370373</c:v>
                </c:pt>
                <c:pt idx="360">
                  <c:v>43137.218819444446</c:v>
                </c:pt>
                <c:pt idx="361">
                  <c:v>43137.260011574072</c:v>
                </c:pt>
                <c:pt idx="362">
                  <c:v>43137.303020833337</c:v>
                </c:pt>
                <c:pt idx="363">
                  <c:v>43137.348101851851</c:v>
                </c:pt>
                <c:pt idx="364">
                  <c:v>43137.389756944445</c:v>
                </c:pt>
                <c:pt idx="365">
                  <c:v>43137.431215277778</c:v>
                </c:pt>
                <c:pt idx="366">
                  <c:v>43137.46943287037</c:v>
                </c:pt>
                <c:pt idx="367">
                  <c:v>43137.510428240741</c:v>
                </c:pt>
                <c:pt idx="368">
                  <c:v>43137.551759259259</c:v>
                </c:pt>
                <c:pt idx="369">
                  <c:v>43137.593518518515</c:v>
                </c:pt>
                <c:pt idx="370">
                  <c:v>43137.636435185188</c:v>
                </c:pt>
                <c:pt idx="371">
                  <c:v>43137.678877314815</c:v>
                </c:pt>
                <c:pt idx="372">
                  <c:v>43137.721608796295</c:v>
                </c:pt>
                <c:pt idx="373">
                  <c:v>43137.764039351852</c:v>
                </c:pt>
                <c:pt idx="374">
                  <c:v>43137.872789351852</c:v>
                </c:pt>
                <c:pt idx="375">
                  <c:v>43137.915416666663</c:v>
                </c:pt>
                <c:pt idx="376">
                  <c:v>43137.958749999998</c:v>
                </c:pt>
                <c:pt idx="377">
                  <c:v>43137.974826388891</c:v>
                </c:pt>
                <c:pt idx="378">
                  <c:v>43138.016747685186</c:v>
                </c:pt>
                <c:pt idx="379">
                  <c:v>43138.058078703703</c:v>
                </c:pt>
                <c:pt idx="380">
                  <c:v>43138.126145833332</c:v>
                </c:pt>
                <c:pt idx="381">
                  <c:v>43138.167488425926</c:v>
                </c:pt>
                <c:pt idx="382">
                  <c:v>43138.209027777775</c:v>
                </c:pt>
                <c:pt idx="383">
                  <c:v>43138.260567129626</c:v>
                </c:pt>
                <c:pt idx="384">
                  <c:v>43138.301874999997</c:v>
                </c:pt>
                <c:pt idx="385">
                  <c:v>43138.347627314812</c:v>
                </c:pt>
                <c:pt idx="386">
                  <c:v>43138.369004629632</c:v>
                </c:pt>
                <c:pt idx="387">
                  <c:v>43138.373182870368</c:v>
                </c:pt>
                <c:pt idx="390">
                  <c:v>43139.388784722221</c:v>
                </c:pt>
                <c:pt idx="391">
                  <c:v>43139.391932870371</c:v>
                </c:pt>
                <c:pt idx="392">
                  <c:v>43139.395682870374</c:v>
                </c:pt>
                <c:pt idx="393">
                  <c:v>43139.398032407407</c:v>
                </c:pt>
                <c:pt idx="395">
                  <c:v>43139.41202546296</c:v>
                </c:pt>
                <c:pt idx="396">
                  <c:v>43139.413923611108</c:v>
                </c:pt>
                <c:pt idx="397">
                  <c:v>43139.415451388886</c:v>
                </c:pt>
                <c:pt idx="398">
                  <c:v>43139.416909722226</c:v>
                </c:pt>
                <c:pt idx="399">
                  <c:v>43139.418379629627</c:v>
                </c:pt>
                <c:pt idx="400">
                  <c:v>43139.41988425926</c:v>
                </c:pt>
                <c:pt idx="401">
                  <c:v>43139.421412037038</c:v>
                </c:pt>
                <c:pt idx="402">
                  <c:v>43139.423101851855</c:v>
                </c:pt>
                <c:pt idx="403">
                  <c:v>43139.424826388888</c:v>
                </c:pt>
                <c:pt idx="404">
                  <c:v>43139.426886574074</c:v>
                </c:pt>
                <c:pt idx="405">
                  <c:v>43139.428333333337</c:v>
                </c:pt>
                <c:pt idx="407">
                  <c:v>43139.433055555557</c:v>
                </c:pt>
                <c:pt idx="408">
                  <c:v>43139.436678240738</c:v>
                </c:pt>
                <c:pt idx="409">
                  <c:v>43139.43954861111</c:v>
                </c:pt>
                <c:pt idx="410">
                  <c:v>43139.441018518519</c:v>
                </c:pt>
                <c:pt idx="412">
                  <c:v>43139.444618055553</c:v>
                </c:pt>
                <c:pt idx="413">
                  <c:v>43139.485405092593</c:v>
                </c:pt>
                <c:pt idx="414">
                  <c:v>43139.514467592591</c:v>
                </c:pt>
                <c:pt idx="415">
                  <c:v>43139.531412037039</c:v>
                </c:pt>
                <c:pt idx="416">
                  <c:v>43139.545486111114</c:v>
                </c:pt>
                <c:pt idx="417">
                  <c:v>43139.586608796293</c:v>
                </c:pt>
                <c:pt idx="418">
                  <c:v>43139.628078703703</c:v>
                </c:pt>
                <c:pt idx="419">
                  <c:v>43139.672048611108</c:v>
                </c:pt>
                <c:pt idx="420">
                  <c:v>43139.714699074073</c:v>
                </c:pt>
                <c:pt idx="421">
                  <c:v>43139.758032407408</c:v>
                </c:pt>
                <c:pt idx="422">
                  <c:v>43139.800405092596</c:v>
                </c:pt>
                <c:pt idx="423">
                  <c:v>43139.843564814815</c:v>
                </c:pt>
                <c:pt idx="424">
                  <c:v>43139.886342592596</c:v>
                </c:pt>
                <c:pt idx="425">
                  <c:v>43139.929328703707</c:v>
                </c:pt>
                <c:pt idx="426">
                  <c:v>43139.98096064815</c:v>
                </c:pt>
                <c:pt idx="427">
                  <c:v>43140.02957175926</c:v>
                </c:pt>
                <c:pt idx="428">
                  <c:v>43140.070868055554</c:v>
                </c:pt>
                <c:pt idx="429">
                  <c:v>43140.108263888891</c:v>
                </c:pt>
                <c:pt idx="430">
                  <c:v>43140.149212962962</c:v>
                </c:pt>
                <c:pt idx="431">
                  <c:v>43140.190682870372</c:v>
                </c:pt>
                <c:pt idx="432">
                  <c:v>43140.247893518521</c:v>
                </c:pt>
                <c:pt idx="433">
                  <c:v>43140.289236111108</c:v>
                </c:pt>
                <c:pt idx="434">
                  <c:v>43140.330324074072</c:v>
                </c:pt>
                <c:pt idx="435">
                  <c:v>43140.371678240743</c:v>
                </c:pt>
                <c:pt idx="436">
                  <c:v>43140.413703703707</c:v>
                </c:pt>
                <c:pt idx="437">
                  <c:v>43140.455775462964</c:v>
                </c:pt>
                <c:pt idx="438">
                  <c:v>43140.497546296298</c:v>
                </c:pt>
                <c:pt idx="439">
                  <c:v>43140.538935185185</c:v>
                </c:pt>
                <c:pt idx="440">
                  <c:v>43140.581620370373</c:v>
                </c:pt>
                <c:pt idx="441">
                  <c:v>43140.624699074076</c:v>
                </c:pt>
                <c:pt idx="442">
                  <c:v>43140.644120370373</c:v>
                </c:pt>
                <c:pt idx="443">
                  <c:v>43140.684583333335</c:v>
                </c:pt>
                <c:pt idx="444">
                  <c:v>43140.750821759262</c:v>
                </c:pt>
                <c:pt idx="445">
                  <c:v>43140.804108796299</c:v>
                </c:pt>
                <c:pt idx="446">
                  <c:v>43140.846666666665</c:v>
                </c:pt>
                <c:pt idx="447">
                  <c:v>43140.889525462961</c:v>
                </c:pt>
                <c:pt idx="448">
                  <c:v>43140.931770833333</c:v>
                </c:pt>
                <c:pt idx="449">
                  <c:v>43140.978587962964</c:v>
                </c:pt>
                <c:pt idx="450">
                  <c:v>43141.020624999997</c:v>
                </c:pt>
                <c:pt idx="451">
                  <c:v>43141.062002314815</c:v>
                </c:pt>
                <c:pt idx="452">
                  <c:v>43141.103090277778</c:v>
                </c:pt>
                <c:pt idx="453">
                  <c:v>43141.172048611108</c:v>
                </c:pt>
                <c:pt idx="454">
                  <c:v>43141.213171296295</c:v>
                </c:pt>
                <c:pt idx="455">
                  <c:v>43141.25440972222</c:v>
                </c:pt>
                <c:pt idx="456">
                  <c:v>43141.295706018522</c:v>
                </c:pt>
                <c:pt idx="457">
                  <c:v>43141.337372685186</c:v>
                </c:pt>
                <c:pt idx="458">
                  <c:v>43141.368449074071</c:v>
                </c:pt>
                <c:pt idx="459">
                  <c:v>43141.371539351851</c:v>
                </c:pt>
                <c:pt idx="460">
                  <c:v>43146.020821759259</c:v>
                </c:pt>
                <c:pt idx="461">
                  <c:v>43146.023530092592</c:v>
                </c:pt>
                <c:pt idx="463">
                  <c:v>43146.026018518518</c:v>
                </c:pt>
                <c:pt idx="464">
                  <c:v>43146.033136574071</c:v>
                </c:pt>
                <c:pt idx="465">
                  <c:v>43146.034525462965</c:v>
                </c:pt>
                <c:pt idx="466">
                  <c:v>43146.028969907406</c:v>
                </c:pt>
                <c:pt idx="467">
                  <c:v>43146.037314814814</c:v>
                </c:pt>
                <c:pt idx="468">
                  <c:v>43146.038703703707</c:v>
                </c:pt>
                <c:pt idx="469">
                  <c:v>43146.040069444447</c:v>
                </c:pt>
                <c:pt idx="470">
                  <c:v>43146.041550925926</c:v>
                </c:pt>
                <c:pt idx="471">
                  <c:v>43146.043124999997</c:v>
                </c:pt>
                <c:pt idx="472">
                  <c:v>43146.044444444444</c:v>
                </c:pt>
                <c:pt idx="473">
                  <c:v>43146.052893518521</c:v>
                </c:pt>
                <c:pt idx="474">
                  <c:v>43146.055231481485</c:v>
                </c:pt>
                <c:pt idx="475">
                  <c:v>43146.057372685187</c:v>
                </c:pt>
                <c:pt idx="476">
                  <c:v>43146.098935185182</c:v>
                </c:pt>
                <c:pt idx="477">
                  <c:v>43146.120439814818</c:v>
                </c:pt>
                <c:pt idx="478">
                  <c:v>43146.163506944446</c:v>
                </c:pt>
                <c:pt idx="479">
                  <c:v>43146.197592592594</c:v>
                </c:pt>
                <c:pt idx="480">
                  <c:v>43146.243622685186</c:v>
                </c:pt>
                <c:pt idx="481">
                  <c:v>43146.283634259256</c:v>
                </c:pt>
                <c:pt idx="482">
                  <c:v>43146.330601851849</c:v>
                </c:pt>
                <c:pt idx="483">
                  <c:v>43146.370289351849</c:v>
                </c:pt>
                <c:pt idx="484">
                  <c:v>43146.411516203705</c:v>
                </c:pt>
                <c:pt idx="485">
                  <c:v>43146.449791666666</c:v>
                </c:pt>
                <c:pt idx="486">
                  <c:v>43146.491863425923</c:v>
                </c:pt>
                <c:pt idx="487">
                  <c:v>43146.533587962964</c:v>
                </c:pt>
                <c:pt idx="488">
                  <c:v>43146.565150462964</c:v>
                </c:pt>
                <c:pt idx="489">
                  <c:v>43146.59002314815</c:v>
                </c:pt>
                <c:pt idx="490">
                  <c:v>43146.632118055553</c:v>
                </c:pt>
                <c:pt idx="491">
                  <c:v>43146.669942129629</c:v>
                </c:pt>
                <c:pt idx="492">
                  <c:v>43146.706273148149</c:v>
                </c:pt>
                <c:pt idx="493">
                  <c:v>43146.748784722222</c:v>
                </c:pt>
                <c:pt idx="494">
                  <c:v>43146.797592592593</c:v>
                </c:pt>
                <c:pt idx="495">
                  <c:v>43146.840439814812</c:v>
                </c:pt>
                <c:pt idx="496">
                  <c:v>43146.879201388889</c:v>
                </c:pt>
                <c:pt idx="497">
                  <c:v>43146.922118055554</c:v>
                </c:pt>
                <c:pt idx="498">
                  <c:v>43146.964421296296</c:v>
                </c:pt>
                <c:pt idx="499">
                  <c:v>43147.006655092591</c:v>
                </c:pt>
                <c:pt idx="500">
                  <c:v>43147.049201388887</c:v>
                </c:pt>
                <c:pt idx="501">
                  <c:v>43147.088206018518</c:v>
                </c:pt>
                <c:pt idx="502">
                  <c:v>43147.128460648149</c:v>
                </c:pt>
                <c:pt idx="503">
                  <c:v>43147.168437499997</c:v>
                </c:pt>
                <c:pt idx="504">
                  <c:v>43147.210636574076</c:v>
                </c:pt>
                <c:pt idx="505">
                  <c:v>43147.252638888887</c:v>
                </c:pt>
                <c:pt idx="506">
                  <c:v>43147.295289351852</c:v>
                </c:pt>
                <c:pt idx="507">
                  <c:v>43147.337175925924</c:v>
                </c:pt>
                <c:pt idx="508">
                  <c:v>43147.379212962966</c:v>
                </c:pt>
                <c:pt idx="509">
                  <c:v>43147.418796296297</c:v>
                </c:pt>
                <c:pt idx="510">
                  <c:v>43147.462523148148</c:v>
                </c:pt>
                <c:pt idx="511">
                  <c:v>43147.505115740743</c:v>
                </c:pt>
                <c:pt idx="512">
                  <c:v>43147.54650462963</c:v>
                </c:pt>
                <c:pt idx="513">
                  <c:v>43147.589247685188</c:v>
                </c:pt>
                <c:pt idx="514">
                  <c:v>43147.629189814812</c:v>
                </c:pt>
                <c:pt idx="516">
                  <c:v>43147.679895833331</c:v>
                </c:pt>
                <c:pt idx="517">
                  <c:v>43147.680775462963</c:v>
                </c:pt>
                <c:pt idx="518">
                  <c:v>43147.681666666664</c:v>
                </c:pt>
                <c:pt idx="519">
                  <c:v>43147.684837962966</c:v>
                </c:pt>
                <c:pt idx="520">
                  <c:v>43147.688194444447</c:v>
                </c:pt>
                <c:pt idx="521">
                  <c:v>43147.733703703707</c:v>
                </c:pt>
                <c:pt idx="523">
                  <c:v>43147.98945601852</c:v>
                </c:pt>
                <c:pt idx="524">
                  <c:v>43148.034386574072</c:v>
                </c:pt>
                <c:pt idx="527">
                  <c:v>43148.730821759258</c:v>
                </c:pt>
                <c:pt idx="528">
                  <c:v>43148.790451388886</c:v>
                </c:pt>
                <c:pt idx="529">
                  <c:v>43148.838888888888</c:v>
                </c:pt>
                <c:pt idx="530">
                  <c:v>43148.901238425926</c:v>
                </c:pt>
                <c:pt idx="531">
                  <c:v>43148.943796296298</c:v>
                </c:pt>
                <c:pt idx="532">
                  <c:v>43148.987673611111</c:v>
                </c:pt>
                <c:pt idx="533">
                  <c:v>43149.030034722222</c:v>
                </c:pt>
                <c:pt idx="534">
                  <c:v>43149.042546296296</c:v>
                </c:pt>
                <c:pt idx="535">
                  <c:v>43149.092534722222</c:v>
                </c:pt>
                <c:pt idx="536">
                  <c:v>43149.133449074077</c:v>
                </c:pt>
                <c:pt idx="537">
                  <c:v>43149.174733796295</c:v>
                </c:pt>
                <c:pt idx="538">
                  <c:v>43149.209236111114</c:v>
                </c:pt>
                <c:pt idx="539">
                  <c:v>43149.251655092594</c:v>
                </c:pt>
                <c:pt idx="540">
                  <c:v>43149.2658912037</c:v>
                </c:pt>
                <c:pt idx="541">
                  <c:v>43149.278067129628</c:v>
                </c:pt>
                <c:pt idx="542">
                  <c:v>43149.320347222223</c:v>
                </c:pt>
                <c:pt idx="543">
                  <c:v>43149.362372685187</c:v>
                </c:pt>
                <c:pt idx="544">
                  <c:v>43149.403680555559</c:v>
                </c:pt>
                <c:pt idx="545">
                  <c:v>43149.422638888886</c:v>
                </c:pt>
                <c:pt idx="546">
                  <c:v>43149.463993055557</c:v>
                </c:pt>
                <c:pt idx="547">
                  <c:v>43149.506030092591</c:v>
                </c:pt>
                <c:pt idx="548">
                  <c:v>43149.548402777778</c:v>
                </c:pt>
                <c:pt idx="549">
                  <c:v>43149.589756944442</c:v>
                </c:pt>
                <c:pt idx="550">
                  <c:v>43149.631782407407</c:v>
                </c:pt>
                <c:pt idx="551">
                  <c:v>43149.67527777778</c:v>
                </c:pt>
                <c:pt idx="552">
                  <c:v>43149.677106481482</c:v>
                </c:pt>
                <c:pt idx="553">
                  <c:v>43149.679918981485</c:v>
                </c:pt>
                <c:pt idx="554">
                  <c:v>43149.683310185188</c:v>
                </c:pt>
                <c:pt idx="555">
                  <c:v>43149.684155092589</c:v>
                </c:pt>
                <c:pt idx="556">
                  <c:v>43149.68472222222</c:v>
                </c:pt>
                <c:pt idx="557">
                  <c:v>43149.685567129629</c:v>
                </c:pt>
                <c:pt idx="558">
                  <c:v>43149.686597222222</c:v>
                </c:pt>
                <c:pt idx="559">
                  <c:v>43149.688032407408</c:v>
                </c:pt>
                <c:pt idx="560">
                  <c:v>43149.688877314817</c:v>
                </c:pt>
                <c:pt idx="561">
                  <c:v>43149.690474537034</c:v>
                </c:pt>
                <c:pt idx="562">
                  <c:v>43149.691863425927</c:v>
                </c:pt>
                <c:pt idx="563">
                  <c:v>43149.693310185183</c:v>
                </c:pt>
                <c:pt idx="564">
                  <c:v>43149.698148148149</c:v>
                </c:pt>
                <c:pt idx="565">
                  <c:v>43149.699467592596</c:v>
                </c:pt>
                <c:pt idx="566">
                  <c:v>43149.701099537036</c:v>
                </c:pt>
                <c:pt idx="567">
                  <c:v>43149.702789351853</c:v>
                </c:pt>
                <c:pt idx="568">
                  <c:v>43149.704293981478</c:v>
                </c:pt>
                <c:pt idx="569">
                  <c:v>43149.705833333333</c:v>
                </c:pt>
                <c:pt idx="570">
                  <c:v>43149.707291666666</c:v>
                </c:pt>
                <c:pt idx="571">
                  <c:v>43149.709155092591</c:v>
                </c:pt>
                <c:pt idx="572">
                  <c:v>43149.718680555554</c:v>
                </c:pt>
                <c:pt idx="573">
                  <c:v>43149.76116898148</c:v>
                </c:pt>
                <c:pt idx="574">
                  <c:v>43149.803483796299</c:v>
                </c:pt>
                <c:pt idx="575">
                  <c:v>43149.84642361111</c:v>
                </c:pt>
                <c:pt idx="576">
                  <c:v>43149.889606481483</c:v>
                </c:pt>
                <c:pt idx="577">
                  <c:v>43149.932106481479</c:v>
                </c:pt>
                <c:pt idx="578">
                  <c:v>43149.980173611111</c:v>
                </c:pt>
                <c:pt idx="579">
                  <c:v>43150.022141203706</c:v>
                </c:pt>
                <c:pt idx="580">
                  <c:v>43150.064189814817</c:v>
                </c:pt>
                <c:pt idx="581">
                  <c:v>43150.105995370373</c:v>
                </c:pt>
                <c:pt idx="582">
                  <c:v>43150.148020833331</c:v>
                </c:pt>
                <c:pt idx="583">
                  <c:v>43150.18990740741</c:v>
                </c:pt>
                <c:pt idx="584">
                  <c:v>43150.231944444444</c:v>
                </c:pt>
                <c:pt idx="585">
                  <c:v>43150.273784722223</c:v>
                </c:pt>
                <c:pt idx="586">
                  <c:v>43150.315694444442</c:v>
                </c:pt>
                <c:pt idx="587">
                  <c:v>43150.357685185183</c:v>
                </c:pt>
                <c:pt idx="588">
                  <c:v>43150.399687500001</c:v>
                </c:pt>
                <c:pt idx="589">
                  <c:v>43150.441296296296</c:v>
                </c:pt>
                <c:pt idx="590">
                  <c:v>43150.478750000002</c:v>
                </c:pt>
                <c:pt idx="591">
                  <c:v>43150.521111111113</c:v>
                </c:pt>
                <c:pt idx="592">
                  <c:v>43150.571712962963</c:v>
                </c:pt>
                <c:pt idx="593">
                  <c:v>43150.613715277781</c:v>
                </c:pt>
                <c:pt idx="594">
                  <c:v>43150.655717592592</c:v>
                </c:pt>
                <c:pt idx="595">
                  <c:v>43150.698796296296</c:v>
                </c:pt>
                <c:pt idx="596">
                  <c:v>43150.741412037038</c:v>
                </c:pt>
                <c:pt idx="597">
                  <c:v>43150.784918981481</c:v>
                </c:pt>
                <c:pt idx="598">
                  <c:v>43150.828784722224</c:v>
                </c:pt>
                <c:pt idx="599">
                  <c:v>43150.870983796296</c:v>
                </c:pt>
                <c:pt idx="600">
                  <c:v>43150.913240740738</c:v>
                </c:pt>
                <c:pt idx="601">
                  <c:v>43150.955416666664</c:v>
                </c:pt>
                <c:pt idx="602">
                  <c:v>43150.998206018521</c:v>
                </c:pt>
                <c:pt idx="603">
                  <c:v>43151.039803240739</c:v>
                </c:pt>
                <c:pt idx="604">
                  <c:v>43151.086840277778</c:v>
                </c:pt>
                <c:pt idx="605">
                  <c:v>43151.128877314812</c:v>
                </c:pt>
                <c:pt idx="606">
                  <c:v>43151.170902777776</c:v>
                </c:pt>
                <c:pt idx="607">
                  <c:v>43151.22997685185</c:v>
                </c:pt>
                <c:pt idx="608">
                  <c:v>43151.271909722222</c:v>
                </c:pt>
                <c:pt idx="609">
                  <c:v>43151.313159722224</c:v>
                </c:pt>
                <c:pt idx="610">
                  <c:v>43151.354942129627</c:v>
                </c:pt>
                <c:pt idx="611">
                  <c:v>43151.396874999999</c:v>
                </c:pt>
                <c:pt idx="612">
                  <c:v>43151.43886574074</c:v>
                </c:pt>
                <c:pt idx="613">
                  <c:v>43151.483680555553</c:v>
                </c:pt>
                <c:pt idx="614">
                  <c:v>43151.525358796294</c:v>
                </c:pt>
                <c:pt idx="615">
                  <c:v>43151.567303240743</c:v>
                </c:pt>
                <c:pt idx="616">
                  <c:v>43151.609467592592</c:v>
                </c:pt>
                <c:pt idx="617">
                  <c:v>43151.651122685187</c:v>
                </c:pt>
                <c:pt idx="619">
                  <c:v>43151.678703703707</c:v>
                </c:pt>
                <c:pt idx="620">
                  <c:v>43151.685578703706</c:v>
                </c:pt>
                <c:pt idx="621">
                  <c:v>43151.688981481479</c:v>
                </c:pt>
                <c:pt idx="622">
                  <c:v>43151.731990740744</c:v>
                </c:pt>
                <c:pt idx="623">
                  <c:v>43151.774548611109</c:v>
                </c:pt>
                <c:pt idx="624">
                  <c:v>43151.81795138889</c:v>
                </c:pt>
                <c:pt idx="625">
                  <c:v>43151.860196759262</c:v>
                </c:pt>
                <c:pt idx="626">
                  <c:v>43151.903460648151</c:v>
                </c:pt>
                <c:pt idx="627">
                  <c:v>43151.946979166663</c:v>
                </c:pt>
                <c:pt idx="628">
                  <c:v>43151.990011574075</c:v>
                </c:pt>
                <c:pt idx="629">
                  <c:v>43152.030104166668</c:v>
                </c:pt>
                <c:pt idx="630">
                  <c:v>43152.071631944447</c:v>
                </c:pt>
                <c:pt idx="631">
                  <c:v>43152.115983796299</c:v>
                </c:pt>
                <c:pt idx="632">
                  <c:v>43152.158067129632</c:v>
                </c:pt>
                <c:pt idx="633">
                  <c:v>43152.200115740743</c:v>
                </c:pt>
                <c:pt idx="634">
                  <c:v>43152.211041666669</c:v>
                </c:pt>
                <c:pt idx="635">
                  <c:v>43152.252870370372</c:v>
                </c:pt>
                <c:pt idx="636">
                  <c:v>43152.294745370367</c:v>
                </c:pt>
                <c:pt idx="637">
                  <c:v>43152.333310185182</c:v>
                </c:pt>
                <c:pt idx="638">
                  <c:v>43154.982777777775</c:v>
                </c:pt>
                <c:pt idx="639">
                  <c:v>43154.984317129631</c:v>
                </c:pt>
                <c:pt idx="640">
                  <c:v>43154.987071759257</c:v>
                </c:pt>
                <c:pt idx="642">
                  <c:v>43154.991365740738</c:v>
                </c:pt>
                <c:pt idx="643">
                  <c:v>43154.993113425924</c:v>
                </c:pt>
                <c:pt idx="644">
                  <c:v>43154.994884259257</c:v>
                </c:pt>
                <c:pt idx="645">
                  <c:v>43154.996550925927</c:v>
                </c:pt>
                <c:pt idx="646">
                  <c:v>43154.99832175926</c:v>
                </c:pt>
                <c:pt idx="647">
                  <c:v>43154.999976851854</c:v>
                </c:pt>
                <c:pt idx="648">
                  <c:v>43155.001747685186</c:v>
                </c:pt>
                <c:pt idx="649">
                  <c:v>43155.003761574073</c:v>
                </c:pt>
                <c:pt idx="650">
                  <c:v>43155.005486111113</c:v>
                </c:pt>
                <c:pt idx="651">
                  <c:v>43155.007210648146</c:v>
                </c:pt>
                <c:pt idx="652">
                  <c:v>43155.008923611109</c:v>
                </c:pt>
                <c:pt idx="653">
                  <c:v>43154.013483796298</c:v>
                </c:pt>
                <c:pt idx="654">
                  <c:v>43154.05505787037</c:v>
                </c:pt>
                <c:pt idx="655">
                  <c:v>43154.097118055557</c:v>
                </c:pt>
                <c:pt idx="656">
                  <c:v>43154.140196759261</c:v>
                </c:pt>
                <c:pt idx="657">
                  <c:v>43154.150439814817</c:v>
                </c:pt>
                <c:pt idx="659">
                  <c:v>43154.156030092592</c:v>
                </c:pt>
                <c:pt idx="660">
                  <c:v>43154.196018518516</c:v>
                </c:pt>
                <c:pt idx="661">
                  <c:v>43154.238252314812</c:v>
                </c:pt>
                <c:pt idx="662">
                  <c:v>43154.280358796299</c:v>
                </c:pt>
                <c:pt idx="663">
                  <c:v>43154.322523148148</c:v>
                </c:pt>
                <c:pt idx="664">
                  <c:v>43154.36440972222</c:v>
                </c:pt>
                <c:pt idx="665">
                  <c:v>43154.407280092593</c:v>
                </c:pt>
                <c:pt idx="666">
                  <c:v>43154.449965277781</c:v>
                </c:pt>
                <c:pt idx="667">
                  <c:v>43154.493761574071</c:v>
                </c:pt>
                <c:pt idx="668">
                  <c:v>43154.538171296299</c:v>
                </c:pt>
                <c:pt idx="669">
                  <c:v>43154.578553240739</c:v>
                </c:pt>
                <c:pt idx="670">
                  <c:v>43154.623831018522</c:v>
                </c:pt>
                <c:pt idx="671">
                  <c:v>43154.665763888886</c:v>
                </c:pt>
                <c:pt idx="672">
                  <c:v>43154.70820601852</c:v>
                </c:pt>
                <c:pt idx="673">
                  <c:v>43154.751064814816</c:v>
                </c:pt>
                <c:pt idx="674">
                  <c:v>43154.793912037036</c:v>
                </c:pt>
                <c:pt idx="675">
                  <c:v>43154.837789351855</c:v>
                </c:pt>
                <c:pt idx="676">
                  <c:v>43154.873541666668</c:v>
                </c:pt>
                <c:pt idx="677">
                  <c:v>43154.916030092594</c:v>
                </c:pt>
                <c:pt idx="678">
                  <c:v>43154.959837962961</c:v>
                </c:pt>
                <c:pt idx="679">
                  <c:v>43155.001122685186</c:v>
                </c:pt>
                <c:pt idx="680">
                  <c:v>43155.043344907404</c:v>
                </c:pt>
                <c:pt idx="681">
                  <c:v>43155.08489583333</c:v>
                </c:pt>
                <c:pt idx="682">
                  <c:v>43155.128576388888</c:v>
                </c:pt>
                <c:pt idx="683">
                  <c:v>43155.168182870373</c:v>
                </c:pt>
                <c:pt idx="684">
                  <c:v>43155.216087962966</c:v>
                </c:pt>
                <c:pt idx="685">
                  <c:v>43155.256956018522</c:v>
                </c:pt>
                <c:pt idx="686">
                  <c:v>43155.298958333333</c:v>
                </c:pt>
                <c:pt idx="687">
                  <c:v>43155.34642361111</c:v>
                </c:pt>
                <c:pt idx="688">
                  <c:v>43155.389884259261</c:v>
                </c:pt>
                <c:pt idx="689">
                  <c:v>43155.432175925926</c:v>
                </c:pt>
                <c:pt idx="690">
                  <c:v>43155.474351851852</c:v>
                </c:pt>
                <c:pt idx="691">
                  <c:v>43155.516539351855</c:v>
                </c:pt>
                <c:pt idx="692">
                  <c:v>43155.563599537039</c:v>
                </c:pt>
                <c:pt idx="693">
                  <c:v>43155.608402777776</c:v>
                </c:pt>
                <c:pt idx="694">
                  <c:v>43155.650462962964</c:v>
                </c:pt>
                <c:pt idx="695">
                  <c:v>43155.692662037036</c:v>
                </c:pt>
                <c:pt idx="696">
                  <c:v>43155.735555555555</c:v>
                </c:pt>
                <c:pt idx="697">
                  <c:v>43155.738229166665</c:v>
                </c:pt>
                <c:pt idx="698">
                  <c:v>43155.742673611108</c:v>
                </c:pt>
                <c:pt idx="699">
                  <c:v>43155.785763888889</c:v>
                </c:pt>
                <c:pt idx="700">
                  <c:v>43155.828622685185</c:v>
                </c:pt>
                <c:pt idx="701">
                  <c:v>43155.871099537035</c:v>
                </c:pt>
                <c:pt idx="702">
                  <c:v>43155.913587962961</c:v>
                </c:pt>
                <c:pt idx="703">
                  <c:v>43155.956817129627</c:v>
                </c:pt>
                <c:pt idx="704">
                  <c:v>43155.999027777776</c:v>
                </c:pt>
                <c:pt idx="705">
                  <c:v>43156.041215277779</c:v>
                </c:pt>
                <c:pt idx="706">
                  <c:v>43156.083298611113</c:v>
                </c:pt>
                <c:pt idx="707">
                  <c:v>43156.125439814816</c:v>
                </c:pt>
                <c:pt idx="708">
                  <c:v>43156.166828703703</c:v>
                </c:pt>
                <c:pt idx="709">
                  <c:v>43156.216215277775</c:v>
                </c:pt>
              </c:numCache>
            </c:numRef>
          </c:xVal>
          <c:yVal>
            <c:numRef>
              <c:f>summary!$AQ$105:$AQ$900</c:f>
              <c:numCache>
                <c:formatCode>[&lt;1000000]0.0,"K";[&lt;1000000000]0.0,,"M";#,##0.0,,,"G"</c:formatCode>
                <c:ptCount val="796"/>
                <c:pt idx="0">
                  <c:v>63217755.024184778</c:v>
                </c:pt>
                <c:pt idx="1">
                  <c:v>128451550.18614131</c:v>
                </c:pt>
                <c:pt idx="2">
                  <c:v>190109364.60059786</c:v>
                </c:pt>
                <c:pt idx="21">
                  <c:v>191805706.09958336</c:v>
                </c:pt>
                <c:pt idx="22">
                  <c:v>253530580.93837684</c:v>
                </c:pt>
                <c:pt idx="23">
                  <c:v>312428439.22946382</c:v>
                </c:pt>
                <c:pt idx="24">
                  <c:v>319389513.31370294</c:v>
                </c:pt>
                <c:pt idx="25">
                  <c:v>382029147.07670295</c:v>
                </c:pt>
                <c:pt idx="26">
                  <c:v>440860244.38705623</c:v>
                </c:pt>
                <c:pt idx="27">
                  <c:v>499967617.0384711</c:v>
                </c:pt>
                <c:pt idx="28">
                  <c:v>558892679.98194933</c:v>
                </c:pt>
                <c:pt idx="29">
                  <c:v>621749778.12719393</c:v>
                </c:pt>
                <c:pt idx="45">
                  <c:v>685516321.8682555</c:v>
                </c:pt>
                <c:pt idx="46">
                  <c:v>691207549.69469786</c:v>
                </c:pt>
                <c:pt idx="47">
                  <c:v>721092516.1083132</c:v>
                </c:pt>
                <c:pt idx="48">
                  <c:v>746599343.24059784</c:v>
                </c:pt>
                <c:pt idx="49">
                  <c:v>810410571.41327477</c:v>
                </c:pt>
                <c:pt idx="50">
                  <c:v>810815839.0286901</c:v>
                </c:pt>
                <c:pt idx="51">
                  <c:v>852368135.46105552</c:v>
                </c:pt>
                <c:pt idx="52">
                  <c:v>913356151.57827091</c:v>
                </c:pt>
                <c:pt idx="53">
                  <c:v>980145805.88404012</c:v>
                </c:pt>
                <c:pt idx="54">
                  <c:v>1046297167.5073478</c:v>
                </c:pt>
                <c:pt idx="55">
                  <c:v>1111839515.7239056</c:v>
                </c:pt>
                <c:pt idx="56">
                  <c:v>1163824673.3399055</c:v>
                </c:pt>
                <c:pt idx="85">
                  <c:v>1177183185.5439584</c:v>
                </c:pt>
                <c:pt idx="86">
                  <c:v>1257787896.0807393</c:v>
                </c:pt>
                <c:pt idx="87">
                  <c:v>1326261845.6247392</c:v>
                </c:pt>
                <c:pt idx="88">
                  <c:v>1374485738.2001238</c:v>
                </c:pt>
                <c:pt idx="89">
                  <c:v>1439224138.6724315</c:v>
                </c:pt>
                <c:pt idx="91">
                  <c:v>1454107620.2937777</c:v>
                </c:pt>
                <c:pt idx="92">
                  <c:v>1468050329.3494699</c:v>
                </c:pt>
                <c:pt idx="93">
                  <c:v>1479687452.3985949</c:v>
                </c:pt>
                <c:pt idx="94">
                  <c:v>1524380336.0891333</c:v>
                </c:pt>
                <c:pt idx="95">
                  <c:v>1539889850.7021141</c:v>
                </c:pt>
                <c:pt idx="96">
                  <c:v>1628238259.4521141</c:v>
                </c:pt>
                <c:pt idx="97">
                  <c:v>1716565590.6258526</c:v>
                </c:pt>
                <c:pt idx="98">
                  <c:v>1834232228.6941218</c:v>
                </c:pt>
                <c:pt idx="99">
                  <c:v>1848428601.2890449</c:v>
                </c:pt>
                <c:pt idx="114">
                  <c:v>1865112100.5211487</c:v>
                </c:pt>
                <c:pt idx="115">
                  <c:v>1954413299.5394871</c:v>
                </c:pt>
                <c:pt idx="116">
                  <c:v>2043930657.9961026</c:v>
                </c:pt>
                <c:pt idx="117">
                  <c:v>2132216042.4582565</c:v>
                </c:pt>
                <c:pt idx="118">
                  <c:v>2220969304.1167083</c:v>
                </c:pt>
                <c:pt idx="119">
                  <c:v>2308966423.5331545</c:v>
                </c:pt>
                <c:pt idx="120">
                  <c:v>2370998338.2163544</c:v>
                </c:pt>
                <c:pt idx="121">
                  <c:v>2456312308.2695007</c:v>
                </c:pt>
                <c:pt idx="122">
                  <c:v>2501452389.175539</c:v>
                </c:pt>
                <c:pt idx="123">
                  <c:v>2571612094.2445159</c:v>
                </c:pt>
                <c:pt idx="124">
                  <c:v>2661175550.9231291</c:v>
                </c:pt>
                <c:pt idx="125">
                  <c:v>2714967689.7366676</c:v>
                </c:pt>
                <c:pt idx="126">
                  <c:v>2802684660.9464645</c:v>
                </c:pt>
                <c:pt idx="127">
                  <c:v>2891351446.2075801</c:v>
                </c:pt>
                <c:pt idx="128">
                  <c:v>2980937378.1792107</c:v>
                </c:pt>
                <c:pt idx="129">
                  <c:v>3067411556.493403</c:v>
                </c:pt>
                <c:pt idx="130">
                  <c:v>3154063365.9872489</c:v>
                </c:pt>
                <c:pt idx="131">
                  <c:v>3243649077.6568451</c:v>
                </c:pt>
                <c:pt idx="132">
                  <c:v>3327931304.9020376</c:v>
                </c:pt>
                <c:pt idx="133">
                  <c:v>3418366364.5843263</c:v>
                </c:pt>
                <c:pt idx="134">
                  <c:v>3506972855.6066761</c:v>
                </c:pt>
                <c:pt idx="135">
                  <c:v>3597268609.1996107</c:v>
                </c:pt>
                <c:pt idx="136">
                  <c:v>3680480286.5960913</c:v>
                </c:pt>
                <c:pt idx="137">
                  <c:v>3767254973.7056103</c:v>
                </c:pt>
                <c:pt idx="138">
                  <c:v>3843173276.0250449</c:v>
                </c:pt>
                <c:pt idx="139">
                  <c:v>3913641967.8819218</c:v>
                </c:pt>
                <c:pt idx="140">
                  <c:v>4003038986.3774562</c:v>
                </c:pt>
                <c:pt idx="141">
                  <c:v>4091362869.7277408</c:v>
                </c:pt>
                <c:pt idx="142">
                  <c:v>4177737926.3802409</c:v>
                </c:pt>
                <c:pt idx="143">
                  <c:v>4263919984.2464218</c:v>
                </c:pt>
                <c:pt idx="144">
                  <c:v>4360415973.5452213</c:v>
                </c:pt>
                <c:pt idx="145">
                  <c:v>4452117234.4237213</c:v>
                </c:pt>
                <c:pt idx="146">
                  <c:v>4547825686.531414</c:v>
                </c:pt>
                <c:pt idx="147">
                  <c:v>4595539222.0193758</c:v>
                </c:pt>
                <c:pt idx="148">
                  <c:v>4686951819.6807528</c:v>
                </c:pt>
                <c:pt idx="149">
                  <c:v>4774507271.964757</c:v>
                </c:pt>
                <c:pt idx="150">
                  <c:v>4865329146.0076571</c:v>
                </c:pt>
                <c:pt idx="151">
                  <c:v>4907866135.8080721</c:v>
                </c:pt>
                <c:pt idx="152">
                  <c:v>4997949102.0653801</c:v>
                </c:pt>
                <c:pt idx="153">
                  <c:v>5088529668.8203802</c:v>
                </c:pt>
                <c:pt idx="154">
                  <c:v>5179153380.5653801</c:v>
                </c:pt>
                <c:pt idx="155">
                  <c:v>5269438223.1892567</c:v>
                </c:pt>
                <c:pt idx="156">
                  <c:v>5342146241.2146101</c:v>
                </c:pt>
                <c:pt idx="157">
                  <c:v>5433027369.7243252</c:v>
                </c:pt>
                <c:pt idx="158">
                  <c:v>5520811655.2284632</c:v>
                </c:pt>
                <c:pt idx="159">
                  <c:v>5610025031.0992327</c:v>
                </c:pt>
                <c:pt idx="160">
                  <c:v>5696415199.2816248</c:v>
                </c:pt>
                <c:pt idx="161">
                  <c:v>5783751641.9339323</c:v>
                </c:pt>
                <c:pt idx="162">
                  <c:v>5870888335.2225475</c:v>
                </c:pt>
                <c:pt idx="163">
                  <c:v>5956944883.6720438</c:v>
                </c:pt>
                <c:pt idx="164">
                  <c:v>6042821827.7397518</c:v>
                </c:pt>
                <c:pt idx="165">
                  <c:v>6075638101.1854362</c:v>
                </c:pt>
                <c:pt idx="166">
                  <c:v>6163052349.6498785</c:v>
                </c:pt>
                <c:pt idx="167">
                  <c:v>6263878213.3192053</c:v>
                </c:pt>
                <c:pt idx="168">
                  <c:v>6285420481.2689362</c:v>
                </c:pt>
                <c:pt idx="204">
                  <c:v>6381310458.9595442</c:v>
                </c:pt>
                <c:pt idx="205">
                  <c:v>6478537838.2742367</c:v>
                </c:pt>
                <c:pt idx="206">
                  <c:v>6572887221.698391</c:v>
                </c:pt>
                <c:pt idx="207">
                  <c:v>6668134285.3782063</c:v>
                </c:pt>
                <c:pt idx="208">
                  <c:v>6761249809.704237</c:v>
                </c:pt>
                <c:pt idx="209">
                  <c:v>6852963772.6450253</c:v>
                </c:pt>
                <c:pt idx="210">
                  <c:v>6945895491.4158249</c:v>
                </c:pt>
                <c:pt idx="211">
                  <c:v>7041038634.1328783</c:v>
                </c:pt>
                <c:pt idx="212">
                  <c:v>7131029688.4222164</c:v>
                </c:pt>
                <c:pt idx="213">
                  <c:v>7216517158.6319666</c:v>
                </c:pt>
                <c:pt idx="214">
                  <c:v>7328701230.1725645</c:v>
                </c:pt>
                <c:pt idx="231">
                  <c:v>7425898775.6669149</c:v>
                </c:pt>
                <c:pt idx="232">
                  <c:v>7523099069.9069147</c:v>
                </c:pt>
                <c:pt idx="233">
                  <c:v>7620756456.4696112</c:v>
                </c:pt>
                <c:pt idx="234">
                  <c:v>7717006006.6462727</c:v>
                </c:pt>
                <c:pt idx="235">
                  <c:v>7813545360.5537186</c:v>
                </c:pt>
                <c:pt idx="236">
                  <c:v>7906886280.0598726</c:v>
                </c:pt>
                <c:pt idx="237">
                  <c:v>7994324522.5930958</c:v>
                </c:pt>
                <c:pt idx="238">
                  <c:v>8088215485.5684805</c:v>
                </c:pt>
                <c:pt idx="239">
                  <c:v>8180210061.216011</c:v>
                </c:pt>
                <c:pt idx="240">
                  <c:v>8216994066.2039185</c:v>
                </c:pt>
                <c:pt idx="241">
                  <c:v>8307444740.2979565</c:v>
                </c:pt>
                <c:pt idx="242">
                  <c:v>8397113350.3650331</c:v>
                </c:pt>
                <c:pt idx="243">
                  <c:v>8487506153.1568794</c:v>
                </c:pt>
                <c:pt idx="244">
                  <c:v>8577009795.7376795</c:v>
                </c:pt>
                <c:pt idx="245">
                  <c:v>8667709110.0002556</c:v>
                </c:pt>
                <c:pt idx="246">
                  <c:v>8757012432.7278099</c:v>
                </c:pt>
                <c:pt idx="247">
                  <c:v>8803855806.1497326</c:v>
                </c:pt>
                <c:pt idx="248">
                  <c:v>8857275788.1131172</c:v>
                </c:pt>
                <c:pt idx="249">
                  <c:v>8949794325.9692402</c:v>
                </c:pt>
                <c:pt idx="250">
                  <c:v>9043263887.6266727</c:v>
                </c:pt>
                <c:pt idx="251">
                  <c:v>9134562145.6239338</c:v>
                </c:pt>
                <c:pt idx="252">
                  <c:v>9222372368.5060806</c:v>
                </c:pt>
                <c:pt idx="253">
                  <c:v>9247494669.9191647</c:v>
                </c:pt>
                <c:pt idx="254">
                  <c:v>9344525734.76894</c:v>
                </c:pt>
                <c:pt idx="255">
                  <c:v>9439452342.0397282</c:v>
                </c:pt>
                <c:pt idx="256">
                  <c:v>9533808378.7273636</c:v>
                </c:pt>
                <c:pt idx="257">
                  <c:v>9633142389.3616409</c:v>
                </c:pt>
                <c:pt idx="259">
                  <c:v>9730992749.9717941</c:v>
                </c:pt>
                <c:pt idx="260">
                  <c:v>9825942460.0793991</c:v>
                </c:pt>
                <c:pt idx="261">
                  <c:v>9921301639.4500713</c:v>
                </c:pt>
                <c:pt idx="262">
                  <c:v>10013800824.970072</c:v>
                </c:pt>
                <c:pt idx="263">
                  <c:v>10104869915.87851</c:v>
                </c:pt>
                <c:pt idx="264">
                  <c:v>10198384892.924734</c:v>
                </c:pt>
                <c:pt idx="265">
                  <c:v>10292016019.921835</c:v>
                </c:pt>
                <c:pt idx="266">
                  <c:v>10385519293.804789</c:v>
                </c:pt>
                <c:pt idx="267">
                  <c:v>10477270688.674835</c:v>
                </c:pt>
                <c:pt idx="268">
                  <c:v>10532114542.482046</c:v>
                </c:pt>
                <c:pt idx="269">
                  <c:v>10624957727.88097</c:v>
                </c:pt>
                <c:pt idx="270">
                  <c:v>10719293215.01174</c:v>
                </c:pt>
                <c:pt idx="271">
                  <c:v>10813342770.373524</c:v>
                </c:pt>
                <c:pt idx="272">
                  <c:v>10904578485.714602</c:v>
                </c:pt>
                <c:pt idx="273">
                  <c:v>10997420026.494755</c:v>
                </c:pt>
                <c:pt idx="274">
                  <c:v>11088279814.025612</c:v>
                </c:pt>
                <c:pt idx="275">
                  <c:v>11181671301.02265</c:v>
                </c:pt>
                <c:pt idx="276">
                  <c:v>11273011368.337919</c:v>
                </c:pt>
                <c:pt idx="277">
                  <c:v>11274501055.563143</c:v>
                </c:pt>
                <c:pt idx="280">
                  <c:v>11371761605.603455</c:v>
                </c:pt>
                <c:pt idx="281">
                  <c:v>11469452946.119253</c:v>
                </c:pt>
                <c:pt idx="282">
                  <c:v>11567096972.157822</c:v>
                </c:pt>
                <c:pt idx="283">
                  <c:v>11665951364.097244</c:v>
                </c:pt>
                <c:pt idx="284">
                  <c:v>11763968467.947994</c:v>
                </c:pt>
                <c:pt idx="285">
                  <c:v>11861599706.825193</c:v>
                </c:pt>
                <c:pt idx="286">
                  <c:v>11960151955.367777</c:v>
                </c:pt>
                <c:pt idx="287">
                  <c:v>12057182066.416761</c:v>
                </c:pt>
                <c:pt idx="288">
                  <c:v>12154092812.645454</c:v>
                </c:pt>
                <c:pt idx="289">
                  <c:v>12248288791.126255</c:v>
                </c:pt>
                <c:pt idx="290">
                  <c:v>12343403360.263254</c:v>
                </c:pt>
                <c:pt idx="291">
                  <c:v>12355876983.111614</c:v>
                </c:pt>
                <c:pt idx="292">
                  <c:v>12390676007.363726</c:v>
                </c:pt>
                <c:pt idx="293">
                  <c:v>12440601038.843342</c:v>
                </c:pt>
                <c:pt idx="294">
                  <c:v>12535174413.354879</c:v>
                </c:pt>
                <c:pt idx="295">
                  <c:v>12631373427.491899</c:v>
                </c:pt>
                <c:pt idx="296">
                  <c:v>12725817738.650299</c:v>
                </c:pt>
                <c:pt idx="297">
                  <c:v>12819626873.123899</c:v>
                </c:pt>
                <c:pt idx="298">
                  <c:v>12914996872.671207</c:v>
                </c:pt>
                <c:pt idx="299">
                  <c:v>13010641377.259706</c:v>
                </c:pt>
                <c:pt idx="300">
                  <c:v>13104441702.339706</c:v>
                </c:pt>
                <c:pt idx="301">
                  <c:v>13182627317.903168</c:v>
                </c:pt>
                <c:pt idx="303">
                  <c:v>13277383761.797167</c:v>
                </c:pt>
                <c:pt idx="304">
                  <c:v>13373855241.956079</c:v>
                </c:pt>
                <c:pt idx="305">
                  <c:v>13421892353.11211</c:v>
                </c:pt>
                <c:pt idx="306">
                  <c:v>13524261691.42811</c:v>
                </c:pt>
                <c:pt idx="307">
                  <c:v>13623185879.28326</c:v>
                </c:pt>
                <c:pt idx="308">
                  <c:v>13721321058.95936</c:v>
                </c:pt>
                <c:pt idx="309">
                  <c:v>13819167833.087959</c:v>
                </c:pt>
                <c:pt idx="310">
                  <c:v>13918658589.703344</c:v>
                </c:pt>
                <c:pt idx="311">
                  <c:v>14017342243.669956</c:v>
                </c:pt>
                <c:pt idx="312">
                  <c:v>14116357643.246729</c:v>
                </c:pt>
                <c:pt idx="313">
                  <c:v>14212190158.065006</c:v>
                </c:pt>
                <c:pt idx="314">
                  <c:v>14307243207.500084</c:v>
                </c:pt>
                <c:pt idx="315">
                  <c:v>14405459550.345873</c:v>
                </c:pt>
                <c:pt idx="316">
                  <c:v>14501097517.644873</c:v>
                </c:pt>
                <c:pt idx="317">
                  <c:v>14597820922.33672</c:v>
                </c:pt>
                <c:pt idx="318">
                  <c:v>14691530913.759104</c:v>
                </c:pt>
                <c:pt idx="319">
                  <c:v>14787120122.374489</c:v>
                </c:pt>
                <c:pt idx="320">
                  <c:v>14883436005.497631</c:v>
                </c:pt>
                <c:pt idx="321">
                  <c:v>14979513771.616823</c:v>
                </c:pt>
                <c:pt idx="322">
                  <c:v>15075734430.720623</c:v>
                </c:pt>
                <c:pt idx="323">
                  <c:v>15171497607.319277</c:v>
                </c:pt>
                <c:pt idx="324">
                  <c:v>15204094512.919277</c:v>
                </c:pt>
                <c:pt idx="325">
                  <c:v>15300089015.789062</c:v>
                </c:pt>
                <c:pt idx="326">
                  <c:v>15395871007.966452</c:v>
                </c:pt>
                <c:pt idx="327">
                  <c:v>15492334284.603991</c:v>
                </c:pt>
                <c:pt idx="328">
                  <c:v>15565750990.539963</c:v>
                </c:pt>
                <c:pt idx="329">
                  <c:v>15664248793.402136</c:v>
                </c:pt>
                <c:pt idx="330">
                  <c:v>15762869112.529644</c:v>
                </c:pt>
                <c:pt idx="351">
                  <c:v>15862217690.124722</c:v>
                </c:pt>
                <c:pt idx="352">
                  <c:v>15960156774.794722</c:v>
                </c:pt>
                <c:pt idx="353">
                  <c:v>16061046177.820644</c:v>
                </c:pt>
                <c:pt idx="354">
                  <c:v>16159198865.676029</c:v>
                </c:pt>
                <c:pt idx="355">
                  <c:v>16260106698.96566</c:v>
                </c:pt>
                <c:pt idx="356">
                  <c:v>16357270540.838768</c:v>
                </c:pt>
                <c:pt idx="357">
                  <c:v>16402578283.107691</c:v>
                </c:pt>
                <c:pt idx="358">
                  <c:v>16499894345.268921</c:v>
                </c:pt>
                <c:pt idx="359">
                  <c:v>16590812863.317535</c:v>
                </c:pt>
                <c:pt idx="360">
                  <c:v>16685196998.474035</c:v>
                </c:pt>
                <c:pt idx="361">
                  <c:v>16779778170.558466</c:v>
                </c:pt>
                <c:pt idx="362">
                  <c:v>16876241352.768831</c:v>
                </c:pt>
                <c:pt idx="363">
                  <c:v>16972502621.841547</c:v>
                </c:pt>
                <c:pt idx="364">
                  <c:v>17068967379.927357</c:v>
                </c:pt>
                <c:pt idx="365">
                  <c:v>17129133411.602837</c:v>
                </c:pt>
                <c:pt idx="366">
                  <c:v>17224673710.404068</c:v>
                </c:pt>
                <c:pt idx="367">
                  <c:v>17320101550.147453</c:v>
                </c:pt>
                <c:pt idx="368">
                  <c:v>17415733256.210838</c:v>
                </c:pt>
                <c:pt idx="369">
                  <c:v>17491445169.146667</c:v>
                </c:pt>
                <c:pt idx="370">
                  <c:v>17590056344.186668</c:v>
                </c:pt>
                <c:pt idx="371">
                  <c:v>17688335408.313324</c:v>
                </c:pt>
                <c:pt idx="372">
                  <c:v>17786613305.143131</c:v>
                </c:pt>
                <c:pt idx="373">
                  <c:v>17886174141.611404</c:v>
                </c:pt>
                <c:pt idx="374">
                  <c:v>17987450456.515774</c:v>
                </c:pt>
                <c:pt idx="375">
                  <c:v>18089458443.382359</c:v>
                </c:pt>
                <c:pt idx="376">
                  <c:v>18118589736.247147</c:v>
                </c:pt>
                <c:pt idx="377">
                  <c:v>18218411226.470982</c:v>
                </c:pt>
                <c:pt idx="378">
                  <c:v>18316456713.920357</c:v>
                </c:pt>
                <c:pt idx="379">
                  <c:v>18416480225.967316</c:v>
                </c:pt>
                <c:pt idx="380">
                  <c:v>18516129968.917873</c:v>
                </c:pt>
                <c:pt idx="381">
                  <c:v>18613140851.45562</c:v>
                </c:pt>
                <c:pt idx="382">
                  <c:v>18710018159.646004</c:v>
                </c:pt>
                <c:pt idx="383">
                  <c:v>18807845332.824947</c:v>
                </c:pt>
                <c:pt idx="384">
                  <c:v>18896125715.374371</c:v>
                </c:pt>
                <c:pt idx="385">
                  <c:v>18944457022.628185</c:v>
                </c:pt>
                <c:pt idx="412">
                  <c:v>19040259493.097229</c:v>
                </c:pt>
                <c:pt idx="413">
                  <c:v>19097370070.652622</c:v>
                </c:pt>
                <c:pt idx="414">
                  <c:v>19134626500.10458</c:v>
                </c:pt>
                <c:pt idx="415">
                  <c:v>19149238952.117428</c:v>
                </c:pt>
                <c:pt idx="416">
                  <c:v>19246797963.750191</c:v>
                </c:pt>
                <c:pt idx="417">
                  <c:v>19344266870.824192</c:v>
                </c:pt>
                <c:pt idx="418">
                  <c:v>19441727214.901146</c:v>
                </c:pt>
                <c:pt idx="419">
                  <c:v>19539608818.24633</c:v>
                </c:pt>
                <c:pt idx="420">
                  <c:v>19642551768.485775</c:v>
                </c:pt>
                <c:pt idx="421">
                  <c:v>19743496970.455975</c:v>
                </c:pt>
                <c:pt idx="422">
                  <c:v>19843635179.880589</c:v>
                </c:pt>
                <c:pt idx="423">
                  <c:v>19943931648.562679</c:v>
                </c:pt>
                <c:pt idx="424">
                  <c:v>20044587706.552956</c:v>
                </c:pt>
                <c:pt idx="425">
                  <c:v>20142174930.987453</c:v>
                </c:pt>
                <c:pt idx="426">
                  <c:v>20233672948.050247</c:v>
                </c:pt>
                <c:pt idx="427">
                  <c:v>20330592937.869347</c:v>
                </c:pt>
                <c:pt idx="428">
                  <c:v>20395568759.839603</c:v>
                </c:pt>
                <c:pt idx="429">
                  <c:v>20490869977.285828</c:v>
                </c:pt>
                <c:pt idx="430">
                  <c:v>20588059622.402565</c:v>
                </c:pt>
                <c:pt idx="431">
                  <c:v>20682702655.373295</c:v>
                </c:pt>
                <c:pt idx="432">
                  <c:v>20776586614.575802</c:v>
                </c:pt>
                <c:pt idx="433">
                  <c:v>20871206989.342632</c:v>
                </c:pt>
                <c:pt idx="434">
                  <c:v>20965798041.830219</c:v>
                </c:pt>
                <c:pt idx="435">
                  <c:v>21062075180.601803</c:v>
                </c:pt>
                <c:pt idx="436">
                  <c:v>21157762188.65448</c:v>
                </c:pt>
                <c:pt idx="437">
                  <c:v>21254268920.955479</c:v>
                </c:pt>
                <c:pt idx="438">
                  <c:v>21349954646.361755</c:v>
                </c:pt>
                <c:pt idx="439">
                  <c:v>21441873560.160248</c:v>
                </c:pt>
                <c:pt idx="440">
                  <c:v>21529937576.703506</c:v>
                </c:pt>
                <c:pt idx="441">
                  <c:v>21572541282.087875</c:v>
                </c:pt>
                <c:pt idx="442">
                  <c:v>21664314924.787292</c:v>
                </c:pt>
                <c:pt idx="443">
                  <c:v>21771914061.230476</c:v>
                </c:pt>
                <c:pt idx="444">
                  <c:v>21868780992.297516</c:v>
                </c:pt>
                <c:pt idx="445">
                  <c:v>21967321833.927517</c:v>
                </c:pt>
                <c:pt idx="446">
                  <c:v>22066160430.999149</c:v>
                </c:pt>
                <c:pt idx="447">
                  <c:v>22164879952.139088</c:v>
                </c:pt>
                <c:pt idx="448">
                  <c:v>22242997942.729858</c:v>
                </c:pt>
                <c:pt idx="449">
                  <c:v>22341417049.5588</c:v>
                </c:pt>
                <c:pt idx="450">
                  <c:v>22436912027.20462</c:v>
                </c:pt>
                <c:pt idx="451">
                  <c:v>22532626535.168736</c:v>
                </c:pt>
                <c:pt idx="452">
                  <c:v>22626878950.732605</c:v>
                </c:pt>
                <c:pt idx="453">
                  <c:v>22722885269.622799</c:v>
                </c:pt>
                <c:pt idx="454">
                  <c:v>22818681619.227108</c:v>
                </c:pt>
                <c:pt idx="455">
                  <c:v>22912264184.227562</c:v>
                </c:pt>
                <c:pt idx="456">
                  <c:v>23008734025.65733</c:v>
                </c:pt>
                <c:pt idx="457">
                  <c:v>23078461963.325771</c:v>
                </c:pt>
                <c:pt idx="475">
                  <c:v>23166070151.134388</c:v>
                </c:pt>
                <c:pt idx="476">
                  <c:v>23197320615.638817</c:v>
                </c:pt>
                <c:pt idx="477">
                  <c:v>23272753285.598587</c:v>
                </c:pt>
                <c:pt idx="478">
                  <c:v>23338504772.716473</c:v>
                </c:pt>
                <c:pt idx="479">
                  <c:v>23424354350.068474</c:v>
                </c:pt>
                <c:pt idx="480">
                  <c:v>23509840781.003811</c:v>
                </c:pt>
                <c:pt idx="481">
                  <c:v>23594145739.859867</c:v>
                </c:pt>
                <c:pt idx="482">
                  <c:v>23678811514.365242</c:v>
                </c:pt>
                <c:pt idx="483">
                  <c:v>23766222378.730366</c:v>
                </c:pt>
                <c:pt idx="484">
                  <c:v>23843773251.980217</c:v>
                </c:pt>
                <c:pt idx="485">
                  <c:v>23932152428.587093</c:v>
                </c:pt>
                <c:pt idx="486">
                  <c:v>24020216683.669556</c:v>
                </c:pt>
                <c:pt idx="487">
                  <c:v>24082449427.364571</c:v>
                </c:pt>
                <c:pt idx="488">
                  <c:v>24115963272.483494</c:v>
                </c:pt>
                <c:pt idx="489">
                  <c:v>24213841581.87505</c:v>
                </c:pt>
                <c:pt idx="490">
                  <c:v>24294737220.140125</c:v>
                </c:pt>
                <c:pt idx="491">
                  <c:v>24374045796.496281</c:v>
                </c:pt>
                <c:pt idx="492">
                  <c:v>24471910653.470943</c:v>
                </c:pt>
                <c:pt idx="493">
                  <c:v>24572740878.962284</c:v>
                </c:pt>
                <c:pt idx="494">
                  <c:v>24670821829.565746</c:v>
                </c:pt>
                <c:pt idx="495">
                  <c:v>24752318096.691391</c:v>
                </c:pt>
                <c:pt idx="496">
                  <c:v>24850330280.011143</c:v>
                </c:pt>
                <c:pt idx="497">
                  <c:v>24948484044.792404</c:v>
                </c:pt>
                <c:pt idx="498">
                  <c:v>25043907458.871647</c:v>
                </c:pt>
                <c:pt idx="499">
                  <c:v>25126521590.678955</c:v>
                </c:pt>
                <c:pt idx="500">
                  <c:v>25198659387.083069</c:v>
                </c:pt>
                <c:pt idx="501">
                  <c:v>25269504198.764202</c:v>
                </c:pt>
                <c:pt idx="502">
                  <c:v>25361196735.42202</c:v>
                </c:pt>
                <c:pt idx="503">
                  <c:v>25457513379.740147</c:v>
                </c:pt>
                <c:pt idx="504">
                  <c:v>25552904414.515629</c:v>
                </c:pt>
                <c:pt idx="505">
                  <c:v>25652595126.275078</c:v>
                </c:pt>
                <c:pt idx="506">
                  <c:v>25748492099.881374</c:v>
                </c:pt>
                <c:pt idx="507">
                  <c:v>25845714218.59042</c:v>
                </c:pt>
                <c:pt idx="508">
                  <c:v>25926676740.02446</c:v>
                </c:pt>
                <c:pt idx="509">
                  <c:v>26017291323.613197</c:v>
                </c:pt>
                <c:pt idx="510">
                  <c:v>26115939414.127987</c:v>
                </c:pt>
                <c:pt idx="511">
                  <c:v>26212884577.965996</c:v>
                </c:pt>
                <c:pt idx="512">
                  <c:v>26309413125.756763</c:v>
                </c:pt>
                <c:pt idx="513">
                  <c:v>26394021346.911995</c:v>
                </c:pt>
                <c:pt idx="514">
                  <c:v>26480205311.424015</c:v>
                </c:pt>
                <c:pt idx="520">
                  <c:v>26576181967.195999</c:v>
                </c:pt>
                <c:pt idx="521">
                  <c:v>26587798002.583813</c:v>
                </c:pt>
                <c:pt idx="523">
                  <c:v>26684043089.381813</c:v>
                </c:pt>
                <c:pt idx="524">
                  <c:v>26768737166.942429</c:v>
                </c:pt>
                <c:pt idx="527">
                  <c:v>26868685041.234859</c:v>
                </c:pt>
                <c:pt idx="528">
                  <c:v>26958140613.010708</c:v>
                </c:pt>
                <c:pt idx="529">
                  <c:v>27054659200.444508</c:v>
                </c:pt>
                <c:pt idx="530">
                  <c:v>27151675638.928509</c:v>
                </c:pt>
                <c:pt idx="531">
                  <c:v>27251279248.372135</c:v>
                </c:pt>
                <c:pt idx="532">
                  <c:v>27334173997.896221</c:v>
                </c:pt>
                <c:pt idx="533">
                  <c:v>27355117948.63776</c:v>
                </c:pt>
                <c:pt idx="534">
                  <c:v>27458251699.1441</c:v>
                </c:pt>
                <c:pt idx="535">
                  <c:v>27551898724.100899</c:v>
                </c:pt>
                <c:pt idx="536">
                  <c:v>27644390788.053528</c:v>
                </c:pt>
                <c:pt idx="537">
                  <c:v>27699439441.917873</c:v>
                </c:pt>
                <c:pt idx="538">
                  <c:v>27796350105.610104</c:v>
                </c:pt>
                <c:pt idx="539">
                  <c:v>27827889412.037025</c:v>
                </c:pt>
                <c:pt idx="540">
                  <c:v>27837353849.462986</c:v>
                </c:pt>
                <c:pt idx="541">
                  <c:v>27917267768.309986</c:v>
                </c:pt>
                <c:pt idx="542">
                  <c:v>28012702752.11768</c:v>
                </c:pt>
                <c:pt idx="543">
                  <c:v>28099674314.07188</c:v>
                </c:pt>
                <c:pt idx="544">
                  <c:v>28141887437.04044</c:v>
                </c:pt>
                <c:pt idx="545">
                  <c:v>28236914013.866039</c:v>
                </c:pt>
                <c:pt idx="546">
                  <c:v>28332124298.99334</c:v>
                </c:pt>
                <c:pt idx="547">
                  <c:v>28430381157.197525</c:v>
                </c:pt>
                <c:pt idx="548">
                  <c:v>28525801329.624447</c:v>
                </c:pt>
                <c:pt idx="549">
                  <c:v>28624003832.505661</c:v>
                </c:pt>
                <c:pt idx="550">
                  <c:v>28721077618.557777</c:v>
                </c:pt>
                <c:pt idx="571">
                  <c:v>28742039614.463017</c:v>
                </c:pt>
                <c:pt idx="572">
                  <c:v>28840720725.288517</c:v>
                </c:pt>
                <c:pt idx="573">
                  <c:v>28937356563.616528</c:v>
                </c:pt>
                <c:pt idx="574">
                  <c:v>29036122883.79221</c:v>
                </c:pt>
                <c:pt idx="575">
                  <c:v>29134756484.34581</c:v>
                </c:pt>
                <c:pt idx="576">
                  <c:v>29232954378.893116</c:v>
                </c:pt>
                <c:pt idx="577">
                  <c:v>29330274154.015022</c:v>
                </c:pt>
                <c:pt idx="578">
                  <c:v>29425848363.238468</c:v>
                </c:pt>
                <c:pt idx="579">
                  <c:v>29522267435.333969</c:v>
                </c:pt>
                <c:pt idx="580">
                  <c:v>29619640234.181324</c:v>
                </c:pt>
                <c:pt idx="581">
                  <c:v>29716289557.866386</c:v>
                </c:pt>
                <c:pt idx="582">
                  <c:v>29813326030.48177</c:v>
                </c:pt>
                <c:pt idx="583">
                  <c:v>29910799659.983093</c:v>
                </c:pt>
                <c:pt idx="584">
                  <c:v>30006980100.530785</c:v>
                </c:pt>
                <c:pt idx="585">
                  <c:v>30104639805.540516</c:v>
                </c:pt>
                <c:pt idx="586">
                  <c:v>30200703452.427387</c:v>
                </c:pt>
                <c:pt idx="587">
                  <c:v>30297725428.107388</c:v>
                </c:pt>
                <c:pt idx="588">
                  <c:v>30390966588.570538</c:v>
                </c:pt>
                <c:pt idx="589">
                  <c:v>30474104926.262844</c:v>
                </c:pt>
                <c:pt idx="590">
                  <c:v>30566672249.030613</c:v>
                </c:pt>
                <c:pt idx="591">
                  <c:v>30648027811.147923</c:v>
                </c:pt>
                <c:pt idx="592">
                  <c:v>30746022341.413883</c:v>
                </c:pt>
                <c:pt idx="593">
                  <c:v>30843821766.454037</c:v>
                </c:pt>
                <c:pt idx="594">
                  <c:v>30941550481.433144</c:v>
                </c:pt>
                <c:pt idx="595">
                  <c:v>31033944475.564796</c:v>
                </c:pt>
                <c:pt idx="596">
                  <c:v>31133338783.064575</c:v>
                </c:pt>
                <c:pt idx="597">
                  <c:v>31234772850.999775</c:v>
                </c:pt>
                <c:pt idx="598">
                  <c:v>31334303378.31715</c:v>
                </c:pt>
                <c:pt idx="599">
                  <c:v>31430867333.564835</c:v>
                </c:pt>
                <c:pt idx="600">
                  <c:v>31529700707.403389</c:v>
                </c:pt>
                <c:pt idx="601">
                  <c:v>31628735284.730389</c:v>
                </c:pt>
                <c:pt idx="602">
                  <c:v>31726288807.191887</c:v>
                </c:pt>
                <c:pt idx="603">
                  <c:v>31822823503.163239</c:v>
                </c:pt>
                <c:pt idx="604">
                  <c:v>31919310846.372299</c:v>
                </c:pt>
                <c:pt idx="605">
                  <c:v>32016444165.725029</c:v>
                </c:pt>
                <c:pt idx="606">
                  <c:v>32113669033.658875</c:v>
                </c:pt>
                <c:pt idx="607">
                  <c:v>32211019879.229874</c:v>
                </c:pt>
                <c:pt idx="608">
                  <c:v>32306422065.341381</c:v>
                </c:pt>
                <c:pt idx="609">
                  <c:v>32404008763.155151</c:v>
                </c:pt>
                <c:pt idx="610">
                  <c:v>32501914716.737865</c:v>
                </c:pt>
                <c:pt idx="611">
                  <c:v>32590587376.141998</c:v>
                </c:pt>
                <c:pt idx="612">
                  <c:v>32668306989.242954</c:v>
                </c:pt>
                <c:pt idx="613">
                  <c:v>32764119739.806553</c:v>
                </c:pt>
                <c:pt idx="614">
                  <c:v>32860955418.521477</c:v>
                </c:pt>
                <c:pt idx="615">
                  <c:v>32958550980.101776</c:v>
                </c:pt>
                <c:pt idx="616">
                  <c:v>33055530635.558739</c:v>
                </c:pt>
                <c:pt idx="617">
                  <c:v>33093287755.898785</c:v>
                </c:pt>
                <c:pt idx="621">
                  <c:v>33190537850.249554</c:v>
                </c:pt>
                <c:pt idx="622">
                  <c:v>33287838261.185093</c:v>
                </c:pt>
                <c:pt idx="623">
                  <c:v>33386405639.624802</c:v>
                </c:pt>
                <c:pt idx="624">
                  <c:v>33483441940.474403</c:v>
                </c:pt>
                <c:pt idx="625">
                  <c:v>33581092007.061848</c:v>
                </c:pt>
                <c:pt idx="626">
                  <c:v>33678602541.756847</c:v>
                </c:pt>
                <c:pt idx="627">
                  <c:v>33775577370.280632</c:v>
                </c:pt>
                <c:pt idx="628">
                  <c:v>33858274832.075832</c:v>
                </c:pt>
                <c:pt idx="629">
                  <c:v>33952249250.070847</c:v>
                </c:pt>
                <c:pt idx="630">
                  <c:v>33972910248.133648</c:v>
                </c:pt>
                <c:pt idx="631">
                  <c:v>34068664731.651726</c:v>
                </c:pt>
                <c:pt idx="632">
                  <c:v>34167025087.22094</c:v>
                </c:pt>
                <c:pt idx="633">
                  <c:v>34191161731.072323</c:v>
                </c:pt>
                <c:pt idx="634">
                  <c:v>34286727452.458961</c:v>
                </c:pt>
                <c:pt idx="635">
                  <c:v>34383682280.278084</c:v>
                </c:pt>
                <c:pt idx="636">
                  <c:v>34420095048.342484</c:v>
                </c:pt>
                <c:pt idx="637">
                  <c:v>34508933524.404884</c:v>
                </c:pt>
                <c:pt idx="653">
                  <c:v>34600282220.315651</c:v>
                </c:pt>
                <c:pt idx="654">
                  <c:v>34693429323.592934</c:v>
                </c:pt>
                <c:pt idx="655">
                  <c:v>34786193647.244232</c:v>
                </c:pt>
                <c:pt idx="659">
                  <c:v>34870812163.459656</c:v>
                </c:pt>
                <c:pt idx="660">
                  <c:v>34966227042.504456</c:v>
                </c:pt>
                <c:pt idx="661">
                  <c:v>35057865635.82888</c:v>
                </c:pt>
                <c:pt idx="662">
                  <c:v>35147532572.483627</c:v>
                </c:pt>
                <c:pt idx="663">
                  <c:v>35240583528.232857</c:v>
                </c:pt>
                <c:pt idx="664">
                  <c:v>35332019343.046127</c:v>
                </c:pt>
                <c:pt idx="665">
                  <c:v>35422275255.764938</c:v>
                </c:pt>
                <c:pt idx="666">
                  <c:v>35466925695.340263</c:v>
                </c:pt>
                <c:pt idx="667">
                  <c:v>35559708729.726479</c:v>
                </c:pt>
                <c:pt idx="668">
                  <c:v>35652685952.177757</c:v>
                </c:pt>
                <c:pt idx="669">
                  <c:v>35745181765.157524</c:v>
                </c:pt>
                <c:pt idx="670">
                  <c:v>35841198353.312798</c:v>
                </c:pt>
                <c:pt idx="671">
                  <c:v>35931291056.420059</c:v>
                </c:pt>
                <c:pt idx="672">
                  <c:v>36027296897.113594</c:v>
                </c:pt>
                <c:pt idx="673">
                  <c:v>36123316583.831635</c:v>
                </c:pt>
                <c:pt idx="674">
                  <c:v>36221196038.986992</c:v>
                </c:pt>
                <c:pt idx="675">
                  <c:v>36284404522.268127</c:v>
                </c:pt>
                <c:pt idx="676">
                  <c:v>36381162845.261261</c:v>
                </c:pt>
                <c:pt idx="677">
                  <c:v>36478227545.80526</c:v>
                </c:pt>
                <c:pt idx="678">
                  <c:v>36572419219.053123</c:v>
                </c:pt>
                <c:pt idx="679">
                  <c:v>36667329565.873924</c:v>
                </c:pt>
                <c:pt idx="680">
                  <c:v>36761903274.725388</c:v>
                </c:pt>
                <c:pt idx="681">
                  <c:v>36780995047.268158</c:v>
                </c:pt>
                <c:pt idx="682">
                  <c:v>36868374592.59816</c:v>
                </c:pt>
                <c:pt idx="683">
                  <c:v>36961890646.768158</c:v>
                </c:pt>
                <c:pt idx="684">
                  <c:v>37053540822.101662</c:v>
                </c:pt>
                <c:pt idx="685">
                  <c:v>37143985291.601662</c:v>
                </c:pt>
                <c:pt idx="686">
                  <c:v>37234727195.772293</c:v>
                </c:pt>
                <c:pt idx="687">
                  <c:v>37336634795.84285</c:v>
                </c:pt>
                <c:pt idx="688">
                  <c:v>37432827137.759529</c:v>
                </c:pt>
                <c:pt idx="689">
                  <c:v>37531252036.336372</c:v>
                </c:pt>
                <c:pt idx="690">
                  <c:v>37628545262.107376</c:v>
                </c:pt>
                <c:pt idx="691">
                  <c:v>37733086495.310349</c:v>
                </c:pt>
                <c:pt idx="692">
                  <c:v>37775328108.960945</c:v>
                </c:pt>
                <c:pt idx="693">
                  <c:v>37874364943.829811</c:v>
                </c:pt>
                <c:pt idx="694">
                  <c:v>37975208701.636711</c:v>
                </c:pt>
                <c:pt idx="695">
                  <c:v>38073408096.91671</c:v>
                </c:pt>
                <c:pt idx="698">
                  <c:v>38172909283.856758</c:v>
                </c:pt>
                <c:pt idx="699">
                  <c:v>38272549572.928101</c:v>
                </c:pt>
                <c:pt idx="700">
                  <c:v>38372386020.245712</c:v>
                </c:pt>
                <c:pt idx="701">
                  <c:v>38472604884.94516</c:v>
                </c:pt>
                <c:pt idx="702">
                  <c:v>38572670105.70948</c:v>
                </c:pt>
                <c:pt idx="703">
                  <c:v>38669712072.30394</c:v>
                </c:pt>
                <c:pt idx="704">
                  <c:v>38767936168.559326</c:v>
                </c:pt>
                <c:pt idx="705">
                  <c:v>38866747956.944618</c:v>
                </c:pt>
                <c:pt idx="706">
                  <c:v>38966188608.836967</c:v>
                </c:pt>
                <c:pt idx="707">
                  <c:v>39062768355.31266</c:v>
                </c:pt>
                <c:pt idx="708">
                  <c:v>39156883815.392914</c:v>
                </c:pt>
                <c:pt idx="709">
                  <c:v>39179307676.704834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167360"/>
        <c:axId val="261177728"/>
      </c:scatterChart>
      <c:valAx>
        <c:axId val="261167360"/>
        <c:scaling>
          <c:orientation val="minMax"/>
          <c:max val="43159"/>
          <c:min val="43117"/>
        </c:scaling>
        <c:delete val="0"/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altLang="ja-JP" sz="2400"/>
                  <a:t>date</a:t>
                </a:r>
                <a:endParaRPr lang="ja-JP" altLang="en-US" sz="2400"/>
              </a:p>
            </c:rich>
          </c:tx>
          <c:layout>
            <c:manualLayout>
              <c:xMode val="edge"/>
              <c:yMode val="edge"/>
              <c:x val="0.51889364794889548"/>
              <c:y val="0.91354502818295247"/>
            </c:manualLayout>
          </c:layout>
          <c:overlay val="0"/>
        </c:title>
        <c:numFmt formatCode="m/d/yyyy" sourceLinked="0"/>
        <c:majorTickMark val="out"/>
        <c:minorTickMark val="none"/>
        <c:tickLblPos val="nextTo"/>
        <c:txPr>
          <a:bodyPr rot="540000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61177728"/>
        <c:crosses val="autoZero"/>
        <c:crossBetween val="midCat"/>
        <c:majorUnit val="7"/>
        <c:minorUnit val="1"/>
      </c:valAx>
      <c:valAx>
        <c:axId val="261177728"/>
        <c:scaling>
          <c:orientation val="minMax"/>
          <c:max val="45000000000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altLang="ja-JP" sz="2400"/>
                  <a:t>integrated</a:t>
                </a:r>
                <a:r>
                  <a:rPr lang="en-US" altLang="ja-JP" sz="2400" baseline="0"/>
                  <a:t> "K- on target"</a:t>
                </a:r>
                <a:endParaRPr lang="ja-JP" altLang="en-US" sz="2400"/>
              </a:p>
            </c:rich>
          </c:tx>
          <c:layout>
            <c:manualLayout>
              <c:xMode val="edge"/>
              <c:yMode val="edge"/>
              <c:x val="1.4990177801454235E-2"/>
              <c:y val="0.12881290592641187"/>
            </c:manualLayout>
          </c:layout>
          <c:overlay val="0"/>
        </c:title>
        <c:numFmt formatCode="[&lt;1000000]0,&quot;K&quot;;[&lt;1000000000]0,,&quot;M&quot;;#,##0,,,&quot;G&quot;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>
              <a:defRPr sz="1600"/>
            </a:pPr>
            <a:endParaRPr lang="ja-JP"/>
          </a:p>
        </c:txPr>
        <c:crossAx val="261167360"/>
        <c:crosses val="autoZero"/>
        <c:crossBetween val="midCat"/>
      </c:valAx>
      <c:spPr>
        <a:ln>
          <a:prstDash val="dash"/>
        </a:ln>
      </c:spPr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4293305338138"/>
          <c:y val="4.3169912528588178E-2"/>
          <c:w val="0.77285367321138765"/>
          <c:h val="0.6961132321559238"/>
        </c:manualLayout>
      </c:layout>
      <c:scatterChart>
        <c:scatterStyle val="lineMarker"/>
        <c:varyColors val="0"/>
        <c:ser>
          <c:idx val="0"/>
          <c:order val="0"/>
          <c:tx>
            <c:v>achieved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</c:spPr>
          </c:marker>
          <c:xVal>
            <c:numRef>
              <c:f>summary!$F$105:$F$900</c:f>
              <c:numCache>
                <c:formatCode>yyyy/m/d\ h:mm;@</c:formatCode>
                <c:ptCount val="796"/>
                <c:pt idx="0">
                  <c:v>43119.882754629631</c:v>
                </c:pt>
                <c:pt idx="1">
                  <c:v>43119.92491898148</c:v>
                </c:pt>
                <c:pt idx="2">
                  <c:v>43119.96671296296</c:v>
                </c:pt>
                <c:pt idx="3">
                  <c:v>43120.011238425926</c:v>
                </c:pt>
                <c:pt idx="4">
                  <c:v>43120.012962962966</c:v>
                </c:pt>
                <c:pt idx="5">
                  <c:v>43120.014606481483</c:v>
                </c:pt>
                <c:pt idx="6">
                  <c:v>43120.016388888886</c:v>
                </c:pt>
                <c:pt idx="7">
                  <c:v>43120.017997685187</c:v>
                </c:pt>
                <c:pt idx="8">
                  <c:v>43120.019456018519</c:v>
                </c:pt>
                <c:pt idx="9">
                  <c:v>43120.021134259259</c:v>
                </c:pt>
                <c:pt idx="10">
                  <c:v>43120.022881944446</c:v>
                </c:pt>
                <c:pt idx="11">
                  <c:v>43120.024363425924</c:v>
                </c:pt>
                <c:pt idx="12">
                  <c:v>43120.02616898148</c:v>
                </c:pt>
                <c:pt idx="16">
                  <c:v>43120.030173611114</c:v>
                </c:pt>
                <c:pt idx="17">
                  <c:v>43120.043587962966</c:v>
                </c:pt>
                <c:pt idx="18">
                  <c:v>43120.061064814814</c:v>
                </c:pt>
                <c:pt idx="19">
                  <c:v>43120.064293981479</c:v>
                </c:pt>
                <c:pt idx="21">
                  <c:v>43120.070844907408</c:v>
                </c:pt>
                <c:pt idx="22">
                  <c:v>43120.083958333336</c:v>
                </c:pt>
                <c:pt idx="23">
                  <c:v>43120.125138888892</c:v>
                </c:pt>
                <c:pt idx="24">
                  <c:v>43120.166712962964</c:v>
                </c:pt>
                <c:pt idx="25">
                  <c:v>43120.171886574077</c:v>
                </c:pt>
                <c:pt idx="26">
                  <c:v>43120.212754629632</c:v>
                </c:pt>
                <c:pt idx="27">
                  <c:v>43120.251736111109</c:v>
                </c:pt>
                <c:pt idx="28">
                  <c:v>43120.290949074071</c:v>
                </c:pt>
                <c:pt idx="29">
                  <c:v>43120.330011574071</c:v>
                </c:pt>
                <c:pt idx="31">
                  <c:v>43125.995115740741</c:v>
                </c:pt>
                <c:pt idx="32">
                  <c:v>43125.998842592591</c:v>
                </c:pt>
                <c:pt idx="33">
                  <c:v>43126.001655092594</c:v>
                </c:pt>
                <c:pt idx="34">
                  <c:v>43126.010787037034</c:v>
                </c:pt>
                <c:pt idx="35">
                  <c:v>43126.01290509259</c:v>
                </c:pt>
                <c:pt idx="36">
                  <c:v>43126.014664351853</c:v>
                </c:pt>
                <c:pt idx="37">
                  <c:v>43126.016226851854</c:v>
                </c:pt>
                <c:pt idx="38">
                  <c:v>43126.018252314818</c:v>
                </c:pt>
                <c:pt idx="39">
                  <c:v>43126.019918981481</c:v>
                </c:pt>
                <c:pt idx="40">
                  <c:v>43126.022233796299</c:v>
                </c:pt>
                <c:pt idx="41">
                  <c:v>43126.024189814816</c:v>
                </c:pt>
                <c:pt idx="42">
                  <c:v>43126.025868055556</c:v>
                </c:pt>
                <c:pt idx="43">
                  <c:v>43126.027662037035</c:v>
                </c:pt>
                <c:pt idx="44">
                  <c:v>43126.029386574075</c:v>
                </c:pt>
                <c:pt idx="45">
                  <c:v>43126.032835648148</c:v>
                </c:pt>
                <c:pt idx="46">
                  <c:v>43126.074664351851</c:v>
                </c:pt>
                <c:pt idx="47">
                  <c:v>43126.090682870374</c:v>
                </c:pt>
                <c:pt idx="48">
                  <c:v>43126.109907407408</c:v>
                </c:pt>
                <c:pt idx="49">
                  <c:v>43126.12667824074</c:v>
                </c:pt>
                <c:pt idx="50">
                  <c:v>43126.167118055557</c:v>
                </c:pt>
                <c:pt idx="51">
                  <c:v>43126.181620370371</c:v>
                </c:pt>
                <c:pt idx="52">
                  <c:v>43126.222372685188</c:v>
                </c:pt>
                <c:pt idx="53">
                  <c:v>43126.264699074076</c:v>
                </c:pt>
                <c:pt idx="54">
                  <c:v>43126.306111111109</c:v>
                </c:pt>
                <c:pt idx="55">
                  <c:v>43126.353391203702</c:v>
                </c:pt>
                <c:pt idx="56">
                  <c:v>43126.39439814815</c:v>
                </c:pt>
                <c:pt idx="60">
                  <c:v>43126.806504629632</c:v>
                </c:pt>
                <c:pt idx="61">
                  <c:v>43126.856111111112</c:v>
                </c:pt>
                <c:pt idx="62">
                  <c:v>43126.861585648148</c:v>
                </c:pt>
                <c:pt idx="63">
                  <c:v>43126.98159722222</c:v>
                </c:pt>
                <c:pt idx="64">
                  <c:v>43126.983807870369</c:v>
                </c:pt>
                <c:pt idx="65">
                  <c:v>43127.004930555559</c:v>
                </c:pt>
                <c:pt idx="66">
                  <c:v>43127.008275462962</c:v>
                </c:pt>
                <c:pt idx="67">
                  <c:v>43127.009340277778</c:v>
                </c:pt>
                <c:pt idx="68">
                  <c:v>43127.010474537034</c:v>
                </c:pt>
                <c:pt idx="69">
                  <c:v>43127.011122685188</c:v>
                </c:pt>
                <c:pt idx="70">
                  <c:v>43127.011122685188</c:v>
                </c:pt>
                <c:pt idx="71">
                  <c:v>43127.011122685188</c:v>
                </c:pt>
                <c:pt idx="72">
                  <c:v>43127.015219907407</c:v>
                </c:pt>
                <c:pt idx="73">
                  <c:v>43127.015219907407</c:v>
                </c:pt>
                <c:pt idx="74">
                  <c:v>43127.015219907407</c:v>
                </c:pt>
                <c:pt idx="75">
                  <c:v>43127.015219907407</c:v>
                </c:pt>
                <c:pt idx="76">
                  <c:v>43127.015219907407</c:v>
                </c:pt>
                <c:pt idx="77">
                  <c:v>43127.015219907407</c:v>
                </c:pt>
                <c:pt idx="78">
                  <c:v>43127.015219907407</c:v>
                </c:pt>
                <c:pt idx="79">
                  <c:v>43127.015219907407</c:v>
                </c:pt>
                <c:pt idx="80">
                  <c:v>43127.015219907407</c:v>
                </c:pt>
                <c:pt idx="81">
                  <c:v>43127.015219907407</c:v>
                </c:pt>
                <c:pt idx="82">
                  <c:v>43127.015219907407</c:v>
                </c:pt>
                <c:pt idx="83">
                  <c:v>43127.015219907407</c:v>
                </c:pt>
                <c:pt idx="84">
                  <c:v>43127.027754629627</c:v>
                </c:pt>
                <c:pt idx="85">
                  <c:v>43127.032465277778</c:v>
                </c:pt>
                <c:pt idx="86">
                  <c:v>43127.039537037039</c:v>
                </c:pt>
                <c:pt idx="87">
                  <c:v>43127.080370370371</c:v>
                </c:pt>
                <c:pt idx="88">
                  <c:v>43127.126342592594</c:v>
                </c:pt>
                <c:pt idx="89">
                  <c:v>43127.158472222225</c:v>
                </c:pt>
                <c:pt idx="91">
                  <c:v>43127.191041666665</c:v>
                </c:pt>
                <c:pt idx="92">
                  <c:v>43127.199293981481</c:v>
                </c:pt>
                <c:pt idx="93">
                  <c:v>43127.207175925927</c:v>
                </c:pt>
                <c:pt idx="94">
                  <c:v>43127.213229166664</c:v>
                </c:pt>
                <c:pt idx="95">
                  <c:v>43127.24559027778</c:v>
                </c:pt>
                <c:pt idx="96">
                  <c:v>43127.264490740738</c:v>
                </c:pt>
                <c:pt idx="97">
                  <c:v>43127.307210648149</c:v>
                </c:pt>
                <c:pt idx="98">
                  <c:v>43127.35019675926</c:v>
                </c:pt>
                <c:pt idx="99">
                  <c:v>43127.438900462963</c:v>
                </c:pt>
                <c:pt idx="100">
                  <c:v>43128.004930555559</c:v>
                </c:pt>
                <c:pt idx="101">
                  <c:v>43128.007662037038</c:v>
                </c:pt>
                <c:pt idx="102">
                  <c:v>43128.01421296296</c:v>
                </c:pt>
                <c:pt idx="103">
                  <c:v>43128.015451388892</c:v>
                </c:pt>
                <c:pt idx="104">
                  <c:v>43128.016967592594</c:v>
                </c:pt>
                <c:pt idx="105">
                  <c:v>43128.01840277778</c:v>
                </c:pt>
                <c:pt idx="106">
                  <c:v>43128.019826388889</c:v>
                </c:pt>
                <c:pt idx="107">
                  <c:v>43128.021180555559</c:v>
                </c:pt>
                <c:pt idx="108">
                  <c:v>43128.022615740738</c:v>
                </c:pt>
                <c:pt idx="109">
                  <c:v>43128.024236111109</c:v>
                </c:pt>
                <c:pt idx="110">
                  <c:v>43128.025659722225</c:v>
                </c:pt>
                <c:pt idx="111">
                  <c:v>43128.027118055557</c:v>
                </c:pt>
                <c:pt idx="112">
                  <c:v>43128.028495370374</c:v>
                </c:pt>
                <c:pt idx="113">
                  <c:v>43128.030173611114</c:v>
                </c:pt>
                <c:pt idx="114">
                  <c:v>43128.034456018519</c:v>
                </c:pt>
                <c:pt idx="115">
                  <c:v>43128.092060185183</c:v>
                </c:pt>
                <c:pt idx="116">
                  <c:v>43128.133576388886</c:v>
                </c:pt>
                <c:pt idx="117">
                  <c:v>43128.175833333335</c:v>
                </c:pt>
                <c:pt idx="118">
                  <c:v>43128.217534722222</c:v>
                </c:pt>
                <c:pt idx="119">
                  <c:v>43128.259074074071</c:v>
                </c:pt>
                <c:pt idx="120">
                  <c:v>43128.324143518519</c:v>
                </c:pt>
                <c:pt idx="121">
                  <c:v>43128.366157407407</c:v>
                </c:pt>
                <c:pt idx="122">
                  <c:v>43128.407152777778</c:v>
                </c:pt>
                <c:pt idx="123">
                  <c:v>43128.452488425923</c:v>
                </c:pt>
                <c:pt idx="124">
                  <c:v>43128.492673611108</c:v>
                </c:pt>
                <c:pt idx="125">
                  <c:v>43128.534317129626</c:v>
                </c:pt>
                <c:pt idx="126">
                  <c:v>43128.577048611114</c:v>
                </c:pt>
                <c:pt idx="127">
                  <c:v>43128.618530092594</c:v>
                </c:pt>
                <c:pt idx="128">
                  <c:v>43128.660162037035</c:v>
                </c:pt>
                <c:pt idx="129">
                  <c:v>43128.702118055553</c:v>
                </c:pt>
                <c:pt idx="130">
                  <c:v>43128.744247685187</c:v>
                </c:pt>
                <c:pt idx="131">
                  <c:v>43128.78597222222</c:v>
                </c:pt>
                <c:pt idx="132">
                  <c:v>43128.828321759262</c:v>
                </c:pt>
                <c:pt idx="133">
                  <c:v>43128.869571759256</c:v>
                </c:pt>
                <c:pt idx="134">
                  <c:v>43128.912199074075</c:v>
                </c:pt>
                <c:pt idx="135">
                  <c:v>43128.954513888886</c:v>
                </c:pt>
                <c:pt idx="136">
                  <c:v>43128.996805555558</c:v>
                </c:pt>
                <c:pt idx="137">
                  <c:v>43129.037326388891</c:v>
                </c:pt>
                <c:pt idx="138">
                  <c:v>43129.0780787037</c:v>
                </c:pt>
                <c:pt idx="139">
                  <c:v>43129.125717592593</c:v>
                </c:pt>
                <c:pt idx="140">
                  <c:v>43129.170717592591</c:v>
                </c:pt>
                <c:pt idx="141">
                  <c:v>43129.23537037037</c:v>
                </c:pt>
                <c:pt idx="142">
                  <c:v>43129.276574074072</c:v>
                </c:pt>
                <c:pt idx="143">
                  <c:v>43129.317835648151</c:v>
                </c:pt>
                <c:pt idx="144">
                  <c:v>43129.3590625</c:v>
                </c:pt>
                <c:pt idx="145">
                  <c:v>43129.404432870368</c:v>
                </c:pt>
                <c:pt idx="146">
                  <c:v>43129.447094907409</c:v>
                </c:pt>
                <c:pt idx="147">
                  <c:v>43129.491863425923</c:v>
                </c:pt>
                <c:pt idx="148">
                  <c:v>43129.521145833336</c:v>
                </c:pt>
                <c:pt idx="149">
                  <c:v>43129.56354166667</c:v>
                </c:pt>
                <c:pt idx="150">
                  <c:v>43129.60491898148</c:v>
                </c:pt>
                <c:pt idx="151">
                  <c:v>43129.64707175926</c:v>
                </c:pt>
                <c:pt idx="152">
                  <c:v>43129.67765046296</c:v>
                </c:pt>
                <c:pt idx="153">
                  <c:v>43129.720289351855</c:v>
                </c:pt>
                <c:pt idx="154">
                  <c:v>43129.762800925928</c:v>
                </c:pt>
                <c:pt idx="155">
                  <c:v>43129.806493055556</c:v>
                </c:pt>
                <c:pt idx="156">
                  <c:v>43129.862638888888</c:v>
                </c:pt>
                <c:pt idx="157">
                  <c:v>43129.907534722224</c:v>
                </c:pt>
                <c:pt idx="158">
                  <c:v>43129.958379629628</c:v>
                </c:pt>
                <c:pt idx="159">
                  <c:v>43130.007673611108</c:v>
                </c:pt>
                <c:pt idx="160">
                  <c:v>43130.049560185187</c:v>
                </c:pt>
                <c:pt idx="161">
                  <c:v>43130.104386574072</c:v>
                </c:pt>
                <c:pt idx="162">
                  <c:v>43130.154953703706</c:v>
                </c:pt>
                <c:pt idx="163">
                  <c:v>43130.204270833332</c:v>
                </c:pt>
                <c:pt idx="164">
                  <c:v>43130.269837962966</c:v>
                </c:pt>
                <c:pt idx="165">
                  <c:v>43130.311122685183</c:v>
                </c:pt>
                <c:pt idx="166">
                  <c:v>43130.328344907408</c:v>
                </c:pt>
                <c:pt idx="167">
                  <c:v>43130.369502314818</c:v>
                </c:pt>
                <c:pt idx="168">
                  <c:v>43130.416990740741</c:v>
                </c:pt>
                <c:pt idx="169">
                  <c:v>43130.760405092595</c:v>
                </c:pt>
                <c:pt idx="170">
                  <c:v>43130.763958333337</c:v>
                </c:pt>
                <c:pt idx="172">
                  <c:v>43130.764606481483</c:v>
                </c:pt>
                <c:pt idx="173">
                  <c:v>43130.767800925925</c:v>
                </c:pt>
                <c:pt idx="174">
                  <c:v>43130.768900462965</c:v>
                </c:pt>
                <c:pt idx="175">
                  <c:v>43130.769062500003</c:v>
                </c:pt>
                <c:pt idx="176">
                  <c:v>43130.76971064815</c:v>
                </c:pt>
                <c:pt idx="177">
                  <c:v>43130.77140046296</c:v>
                </c:pt>
                <c:pt idx="178">
                  <c:v>43130.772233796299</c:v>
                </c:pt>
                <c:pt idx="179">
                  <c:v>43130.773726851854</c:v>
                </c:pt>
                <c:pt idx="180">
                  <c:v>43130.774652777778</c:v>
                </c:pt>
                <c:pt idx="181">
                  <c:v>43130.775277777779</c:v>
                </c:pt>
                <c:pt idx="182">
                  <c:v>43130.776076388887</c:v>
                </c:pt>
                <c:pt idx="183">
                  <c:v>43130.776782407411</c:v>
                </c:pt>
                <c:pt idx="184">
                  <c:v>43130.779340277775</c:v>
                </c:pt>
                <c:pt idx="185">
                  <c:v>43130.780150462961</c:v>
                </c:pt>
                <c:pt idx="186">
                  <c:v>43130.780891203707</c:v>
                </c:pt>
                <c:pt idx="187">
                  <c:v>43130.781608796293</c:v>
                </c:pt>
                <c:pt idx="188">
                  <c:v>43130.78230324074</c:v>
                </c:pt>
                <c:pt idx="189">
                  <c:v>43130.783321759256</c:v>
                </c:pt>
                <c:pt idx="190">
                  <c:v>43130.786030092589</c:v>
                </c:pt>
                <c:pt idx="191">
                  <c:v>43130.788854166669</c:v>
                </c:pt>
                <c:pt idx="192">
                  <c:v>43130.791631944441</c:v>
                </c:pt>
                <c:pt idx="193">
                  <c:v>43130.795694444445</c:v>
                </c:pt>
                <c:pt idx="194">
                  <c:v>43130.7971875</c:v>
                </c:pt>
                <c:pt idx="195">
                  <c:v>43130.798611111109</c:v>
                </c:pt>
                <c:pt idx="196">
                  <c:v>43130.800011574072</c:v>
                </c:pt>
                <c:pt idx="197">
                  <c:v>43130.801388888889</c:v>
                </c:pt>
                <c:pt idx="198">
                  <c:v>43130.802800925929</c:v>
                </c:pt>
                <c:pt idx="199">
                  <c:v>43130.804293981484</c:v>
                </c:pt>
                <c:pt idx="200">
                  <c:v>43130.805949074071</c:v>
                </c:pt>
                <c:pt idx="201">
                  <c:v>43130.807395833333</c:v>
                </c:pt>
                <c:pt idx="202">
                  <c:v>43130.808969907404</c:v>
                </c:pt>
                <c:pt idx="203">
                  <c:v>43130.810497685183</c:v>
                </c:pt>
                <c:pt idx="204">
                  <c:v>43130.812777777777</c:v>
                </c:pt>
                <c:pt idx="205">
                  <c:v>43130.907847222225</c:v>
                </c:pt>
                <c:pt idx="206">
                  <c:v>43130.951180555552</c:v>
                </c:pt>
                <c:pt idx="207">
                  <c:v>43131.007326388892</c:v>
                </c:pt>
                <c:pt idx="208">
                  <c:v>43131.056909722225</c:v>
                </c:pt>
                <c:pt idx="209">
                  <c:v>43131.09814814815</c:v>
                </c:pt>
                <c:pt idx="210">
                  <c:v>43131.139351851853</c:v>
                </c:pt>
                <c:pt idx="211">
                  <c:v>43131.191932870373</c:v>
                </c:pt>
                <c:pt idx="212">
                  <c:v>43131.232673611114</c:v>
                </c:pt>
                <c:pt idx="213">
                  <c:v>43131.281354166669</c:v>
                </c:pt>
                <c:pt idx="214">
                  <c:v>43131.326979166668</c:v>
                </c:pt>
                <c:pt idx="215">
                  <c:v>43132.666979166665</c:v>
                </c:pt>
                <c:pt idx="216">
                  <c:v>43132.670648148145</c:v>
                </c:pt>
                <c:pt idx="217">
                  <c:v>43132.673437500001</c:v>
                </c:pt>
                <c:pt idx="219">
                  <c:v>43132.715208333335</c:v>
                </c:pt>
                <c:pt idx="220">
                  <c:v>43132.716585648152</c:v>
                </c:pt>
                <c:pt idx="221">
                  <c:v>43132.718009259261</c:v>
                </c:pt>
                <c:pt idx="222">
                  <c:v>43132.71943287037</c:v>
                </c:pt>
                <c:pt idx="223">
                  <c:v>43132.720833333333</c:v>
                </c:pt>
                <c:pt idx="224">
                  <c:v>43132.722187500003</c:v>
                </c:pt>
                <c:pt idx="225">
                  <c:v>43132.723668981482</c:v>
                </c:pt>
                <c:pt idx="227">
                  <c:v>43132.736087962963</c:v>
                </c:pt>
                <c:pt idx="228">
                  <c:v>43132.737476851849</c:v>
                </c:pt>
                <c:pt idx="229">
                  <c:v>43132.738981481481</c:v>
                </c:pt>
                <c:pt idx="230">
                  <c:v>43132.740486111114</c:v>
                </c:pt>
                <c:pt idx="231">
                  <c:v>43132.744212962964</c:v>
                </c:pt>
                <c:pt idx="232">
                  <c:v>43132.788194444445</c:v>
                </c:pt>
                <c:pt idx="233">
                  <c:v>43132.830925925926</c:v>
                </c:pt>
                <c:pt idx="234">
                  <c:v>43132.873402777775</c:v>
                </c:pt>
                <c:pt idx="235">
                  <c:v>43132.9296412037</c:v>
                </c:pt>
                <c:pt idx="236">
                  <c:v>43132.972650462965</c:v>
                </c:pt>
                <c:pt idx="237">
                  <c:v>43133.018275462964</c:v>
                </c:pt>
                <c:pt idx="238">
                  <c:v>43133.066168981481</c:v>
                </c:pt>
                <c:pt idx="239">
                  <c:v>43133.107268518521</c:v>
                </c:pt>
                <c:pt idx="240">
                  <c:v>43133.148553240739</c:v>
                </c:pt>
                <c:pt idx="241">
                  <c:v>43133.165798611109</c:v>
                </c:pt>
                <c:pt idx="242">
                  <c:v>43133.206354166665</c:v>
                </c:pt>
                <c:pt idx="243">
                  <c:v>43133.247662037036</c:v>
                </c:pt>
                <c:pt idx="244">
                  <c:v>43133.289560185185</c:v>
                </c:pt>
                <c:pt idx="245">
                  <c:v>43133.330671296295</c:v>
                </c:pt>
                <c:pt idx="246">
                  <c:v>43133.372141203705</c:v>
                </c:pt>
                <c:pt idx="247">
                  <c:v>43133.423449074071</c:v>
                </c:pt>
                <c:pt idx="248">
                  <c:v>43133.445289351854</c:v>
                </c:pt>
                <c:pt idx="249">
                  <c:v>43133.482835648145</c:v>
                </c:pt>
                <c:pt idx="250">
                  <c:v>43133.524351851855</c:v>
                </c:pt>
                <c:pt idx="251">
                  <c:v>43133.566493055558</c:v>
                </c:pt>
                <c:pt idx="252">
                  <c:v>43133.617581018516</c:v>
                </c:pt>
                <c:pt idx="253">
                  <c:v>43133.656782407408</c:v>
                </c:pt>
                <c:pt idx="254">
                  <c:v>43133.677152777775</c:v>
                </c:pt>
                <c:pt idx="255">
                  <c:v>43133.729166666664</c:v>
                </c:pt>
                <c:pt idx="256">
                  <c:v>43133.772916666669</c:v>
                </c:pt>
                <c:pt idx="257">
                  <c:v>43133.830034722225</c:v>
                </c:pt>
                <c:pt idx="259">
                  <c:v>43133.877847222226</c:v>
                </c:pt>
                <c:pt idx="260">
                  <c:v>43133.921944444446</c:v>
                </c:pt>
                <c:pt idx="261">
                  <c:v>43133.964189814818</c:v>
                </c:pt>
                <c:pt idx="262">
                  <c:v>43134.006736111114</c:v>
                </c:pt>
                <c:pt idx="263">
                  <c:v>43134.052361111113</c:v>
                </c:pt>
                <c:pt idx="264">
                  <c:v>43134.093761574077</c:v>
                </c:pt>
                <c:pt idx="265">
                  <c:v>43134.139502314814</c:v>
                </c:pt>
                <c:pt idx="266">
                  <c:v>43134.181134259263</c:v>
                </c:pt>
                <c:pt idx="267">
                  <c:v>43134.236203703702</c:v>
                </c:pt>
                <c:pt idx="268">
                  <c:v>43134.277592592596</c:v>
                </c:pt>
                <c:pt idx="269">
                  <c:v>43134.302372685182</c:v>
                </c:pt>
                <c:pt idx="270">
                  <c:v>43134.344004629631</c:v>
                </c:pt>
                <c:pt idx="271">
                  <c:v>43134.385960648149</c:v>
                </c:pt>
                <c:pt idx="272">
                  <c:v>43134.427731481483</c:v>
                </c:pt>
                <c:pt idx="273">
                  <c:v>43134.468900462962</c:v>
                </c:pt>
                <c:pt idx="274">
                  <c:v>43134.510300925926</c:v>
                </c:pt>
                <c:pt idx="275">
                  <c:v>43134.551655092589</c:v>
                </c:pt>
                <c:pt idx="276">
                  <c:v>43134.593877314815</c:v>
                </c:pt>
                <c:pt idx="277">
                  <c:v>43134.635983796295</c:v>
                </c:pt>
                <c:pt idx="278">
                  <c:v>43134.648240740738</c:v>
                </c:pt>
                <c:pt idx="279">
                  <c:v>43134.650868055556</c:v>
                </c:pt>
                <c:pt idx="280">
                  <c:v>43134.654606481483</c:v>
                </c:pt>
                <c:pt idx="281">
                  <c:v>43134.697430555556</c:v>
                </c:pt>
                <c:pt idx="282">
                  <c:v>43134.741006944445</c:v>
                </c:pt>
                <c:pt idx="283">
                  <c:v>43134.78398148148</c:v>
                </c:pt>
                <c:pt idx="284">
                  <c:v>43134.82671296296</c:v>
                </c:pt>
                <c:pt idx="285">
                  <c:v>43134.869687500002</c:v>
                </c:pt>
                <c:pt idx="286">
                  <c:v>43134.911932870367</c:v>
                </c:pt>
                <c:pt idx="287">
                  <c:v>43134.955034722225</c:v>
                </c:pt>
                <c:pt idx="288">
                  <c:v>43134.997569444444</c:v>
                </c:pt>
                <c:pt idx="289">
                  <c:v>43135.040347222224</c:v>
                </c:pt>
                <c:pt idx="290">
                  <c:v>43135.081817129627</c:v>
                </c:pt>
                <c:pt idx="291">
                  <c:v>43135.123194444444</c:v>
                </c:pt>
                <c:pt idx="292">
                  <c:v>43135.128645833334</c:v>
                </c:pt>
                <c:pt idx="293">
                  <c:v>43135.160624999997</c:v>
                </c:pt>
                <c:pt idx="294">
                  <c:v>43135.20484953704</c:v>
                </c:pt>
                <c:pt idx="295">
                  <c:v>43135.249016203707</c:v>
                </c:pt>
                <c:pt idx="296">
                  <c:v>43135.29078703704</c:v>
                </c:pt>
                <c:pt idx="297">
                  <c:v>43135.332511574074</c:v>
                </c:pt>
                <c:pt idx="298">
                  <c:v>43135.373900462961</c:v>
                </c:pt>
                <c:pt idx="299">
                  <c:v>43135.415983796294</c:v>
                </c:pt>
                <c:pt idx="300">
                  <c:v>43135.458113425928</c:v>
                </c:pt>
                <c:pt idx="301">
                  <c:v>43135.499444444446</c:v>
                </c:pt>
                <c:pt idx="303">
                  <c:v>43135.556145833332</c:v>
                </c:pt>
                <c:pt idx="304">
                  <c:v>43135.600914351853</c:v>
                </c:pt>
                <c:pt idx="305">
                  <c:v>43135.64298611111</c:v>
                </c:pt>
                <c:pt idx="306">
                  <c:v>43135.663923611108</c:v>
                </c:pt>
                <c:pt idx="307">
                  <c:v>43135.708599537036</c:v>
                </c:pt>
                <c:pt idx="308">
                  <c:v>43135.751655092594</c:v>
                </c:pt>
                <c:pt idx="309">
                  <c:v>43135.794791666667</c:v>
                </c:pt>
                <c:pt idx="310">
                  <c:v>43135.83792824074</c:v>
                </c:pt>
                <c:pt idx="311">
                  <c:v>43135.881030092591</c:v>
                </c:pt>
                <c:pt idx="312">
                  <c:v>43135.923831018517</c:v>
                </c:pt>
                <c:pt idx="313">
                  <c:v>43135.966736111113</c:v>
                </c:pt>
                <c:pt idx="314">
                  <c:v>43136.009293981479</c:v>
                </c:pt>
                <c:pt idx="315">
                  <c:v>43136.050729166665</c:v>
                </c:pt>
                <c:pt idx="316">
                  <c:v>43136.09202546296</c:v>
                </c:pt>
                <c:pt idx="317">
                  <c:v>43136.148414351854</c:v>
                </c:pt>
                <c:pt idx="318">
                  <c:v>43136.189733796295</c:v>
                </c:pt>
                <c:pt idx="319">
                  <c:v>43136.231030092589</c:v>
                </c:pt>
                <c:pt idx="320">
                  <c:v>43136.272245370368</c:v>
                </c:pt>
                <c:pt idx="321">
                  <c:v>43136.31349537037</c:v>
                </c:pt>
                <c:pt idx="322">
                  <c:v>43136.354745370372</c:v>
                </c:pt>
                <c:pt idx="323">
                  <c:v>43136.396377314813</c:v>
                </c:pt>
                <c:pt idx="324">
                  <c:v>43136.437847222223</c:v>
                </c:pt>
                <c:pt idx="325">
                  <c:v>43136.461655092593</c:v>
                </c:pt>
                <c:pt idx="326">
                  <c:v>43136.502800925926</c:v>
                </c:pt>
                <c:pt idx="327">
                  <c:v>43136.545416666668</c:v>
                </c:pt>
                <c:pt idx="328">
                  <c:v>43136.586689814816</c:v>
                </c:pt>
                <c:pt idx="329">
                  <c:v>43136.636655092596</c:v>
                </c:pt>
                <c:pt idx="330">
                  <c:v>43136.684513888889</c:v>
                </c:pt>
                <c:pt idx="331">
                  <c:v>43136.727708333332</c:v>
                </c:pt>
                <c:pt idx="332">
                  <c:v>43136.731122685182</c:v>
                </c:pt>
                <c:pt idx="333">
                  <c:v>43136.732766203706</c:v>
                </c:pt>
                <c:pt idx="351">
                  <c:v>43136.759664351855</c:v>
                </c:pt>
                <c:pt idx="352">
                  <c:v>43136.803182870368</c:v>
                </c:pt>
                <c:pt idx="353">
                  <c:v>43136.846759259257</c:v>
                </c:pt>
                <c:pt idx="354">
                  <c:v>43136.890219907407</c:v>
                </c:pt>
                <c:pt idx="355">
                  <c:v>43136.932951388888</c:v>
                </c:pt>
                <c:pt idx="356">
                  <c:v>43136.977141203701</c:v>
                </c:pt>
                <c:pt idx="357">
                  <c:v>43137.019699074073</c:v>
                </c:pt>
                <c:pt idx="358">
                  <c:v>43137.039756944447</c:v>
                </c:pt>
                <c:pt idx="359">
                  <c:v>43137.081620370373</c:v>
                </c:pt>
                <c:pt idx="360">
                  <c:v>43137.218819444446</c:v>
                </c:pt>
                <c:pt idx="361">
                  <c:v>43137.260011574072</c:v>
                </c:pt>
                <c:pt idx="362">
                  <c:v>43137.303020833337</c:v>
                </c:pt>
                <c:pt idx="363">
                  <c:v>43137.348101851851</c:v>
                </c:pt>
                <c:pt idx="364">
                  <c:v>43137.389756944445</c:v>
                </c:pt>
                <c:pt idx="365">
                  <c:v>43137.431215277778</c:v>
                </c:pt>
                <c:pt idx="366">
                  <c:v>43137.46943287037</c:v>
                </c:pt>
                <c:pt idx="367">
                  <c:v>43137.510428240741</c:v>
                </c:pt>
                <c:pt idx="368">
                  <c:v>43137.551759259259</c:v>
                </c:pt>
                <c:pt idx="369">
                  <c:v>43137.593518518515</c:v>
                </c:pt>
                <c:pt idx="370">
                  <c:v>43137.636435185188</c:v>
                </c:pt>
                <c:pt idx="371">
                  <c:v>43137.678877314815</c:v>
                </c:pt>
                <c:pt idx="372">
                  <c:v>43137.721608796295</c:v>
                </c:pt>
                <c:pt idx="373">
                  <c:v>43137.764039351852</c:v>
                </c:pt>
                <c:pt idx="374">
                  <c:v>43137.872789351852</c:v>
                </c:pt>
                <c:pt idx="375">
                  <c:v>43137.915416666663</c:v>
                </c:pt>
                <c:pt idx="376">
                  <c:v>43137.958749999998</c:v>
                </c:pt>
                <c:pt idx="377">
                  <c:v>43137.974826388891</c:v>
                </c:pt>
                <c:pt idx="378">
                  <c:v>43138.016747685186</c:v>
                </c:pt>
                <c:pt idx="379">
                  <c:v>43138.058078703703</c:v>
                </c:pt>
                <c:pt idx="380">
                  <c:v>43138.126145833332</c:v>
                </c:pt>
                <c:pt idx="381">
                  <c:v>43138.167488425926</c:v>
                </c:pt>
                <c:pt idx="382">
                  <c:v>43138.209027777775</c:v>
                </c:pt>
                <c:pt idx="383">
                  <c:v>43138.260567129626</c:v>
                </c:pt>
                <c:pt idx="384">
                  <c:v>43138.301874999997</c:v>
                </c:pt>
                <c:pt idx="385">
                  <c:v>43138.347627314812</c:v>
                </c:pt>
                <c:pt idx="386">
                  <c:v>43138.369004629632</c:v>
                </c:pt>
                <c:pt idx="387">
                  <c:v>43138.373182870368</c:v>
                </c:pt>
                <c:pt idx="390">
                  <c:v>43139.388784722221</c:v>
                </c:pt>
                <c:pt idx="391">
                  <c:v>43139.391932870371</c:v>
                </c:pt>
                <c:pt idx="392">
                  <c:v>43139.395682870374</c:v>
                </c:pt>
                <c:pt idx="393">
                  <c:v>43139.398032407407</c:v>
                </c:pt>
                <c:pt idx="395">
                  <c:v>43139.41202546296</c:v>
                </c:pt>
                <c:pt idx="396">
                  <c:v>43139.413923611108</c:v>
                </c:pt>
                <c:pt idx="397">
                  <c:v>43139.415451388886</c:v>
                </c:pt>
                <c:pt idx="398">
                  <c:v>43139.416909722226</c:v>
                </c:pt>
                <c:pt idx="399">
                  <c:v>43139.418379629627</c:v>
                </c:pt>
                <c:pt idx="400">
                  <c:v>43139.41988425926</c:v>
                </c:pt>
                <c:pt idx="401">
                  <c:v>43139.421412037038</c:v>
                </c:pt>
                <c:pt idx="402">
                  <c:v>43139.423101851855</c:v>
                </c:pt>
                <c:pt idx="403">
                  <c:v>43139.424826388888</c:v>
                </c:pt>
                <c:pt idx="404">
                  <c:v>43139.426886574074</c:v>
                </c:pt>
                <c:pt idx="405">
                  <c:v>43139.428333333337</c:v>
                </c:pt>
                <c:pt idx="407">
                  <c:v>43139.433055555557</c:v>
                </c:pt>
                <c:pt idx="408">
                  <c:v>43139.436678240738</c:v>
                </c:pt>
                <c:pt idx="409">
                  <c:v>43139.43954861111</c:v>
                </c:pt>
                <c:pt idx="410">
                  <c:v>43139.441018518519</c:v>
                </c:pt>
                <c:pt idx="412">
                  <c:v>43139.444618055553</c:v>
                </c:pt>
                <c:pt idx="413">
                  <c:v>43139.485405092593</c:v>
                </c:pt>
                <c:pt idx="414">
                  <c:v>43139.514467592591</c:v>
                </c:pt>
                <c:pt idx="415">
                  <c:v>43139.531412037039</c:v>
                </c:pt>
                <c:pt idx="416">
                  <c:v>43139.545486111114</c:v>
                </c:pt>
                <c:pt idx="417">
                  <c:v>43139.586608796293</c:v>
                </c:pt>
                <c:pt idx="418">
                  <c:v>43139.628078703703</c:v>
                </c:pt>
                <c:pt idx="419">
                  <c:v>43139.672048611108</c:v>
                </c:pt>
                <c:pt idx="420">
                  <c:v>43139.714699074073</c:v>
                </c:pt>
                <c:pt idx="421">
                  <c:v>43139.758032407408</c:v>
                </c:pt>
                <c:pt idx="422">
                  <c:v>43139.800405092596</c:v>
                </c:pt>
                <c:pt idx="423">
                  <c:v>43139.843564814815</c:v>
                </c:pt>
                <c:pt idx="424">
                  <c:v>43139.886342592596</c:v>
                </c:pt>
                <c:pt idx="425">
                  <c:v>43139.929328703707</c:v>
                </c:pt>
                <c:pt idx="426">
                  <c:v>43139.98096064815</c:v>
                </c:pt>
                <c:pt idx="427">
                  <c:v>43140.02957175926</c:v>
                </c:pt>
                <c:pt idx="428">
                  <c:v>43140.070868055554</c:v>
                </c:pt>
                <c:pt idx="429">
                  <c:v>43140.108263888891</c:v>
                </c:pt>
                <c:pt idx="430">
                  <c:v>43140.149212962962</c:v>
                </c:pt>
                <c:pt idx="431">
                  <c:v>43140.190682870372</c:v>
                </c:pt>
                <c:pt idx="432">
                  <c:v>43140.247893518521</c:v>
                </c:pt>
                <c:pt idx="433">
                  <c:v>43140.289236111108</c:v>
                </c:pt>
                <c:pt idx="434">
                  <c:v>43140.330324074072</c:v>
                </c:pt>
                <c:pt idx="435">
                  <c:v>43140.371678240743</c:v>
                </c:pt>
                <c:pt idx="436">
                  <c:v>43140.413703703707</c:v>
                </c:pt>
                <c:pt idx="437">
                  <c:v>43140.455775462964</c:v>
                </c:pt>
                <c:pt idx="438">
                  <c:v>43140.497546296298</c:v>
                </c:pt>
                <c:pt idx="439">
                  <c:v>43140.538935185185</c:v>
                </c:pt>
                <c:pt idx="440">
                  <c:v>43140.581620370373</c:v>
                </c:pt>
                <c:pt idx="441">
                  <c:v>43140.624699074076</c:v>
                </c:pt>
                <c:pt idx="442">
                  <c:v>43140.644120370373</c:v>
                </c:pt>
                <c:pt idx="443">
                  <c:v>43140.684583333335</c:v>
                </c:pt>
                <c:pt idx="444">
                  <c:v>43140.750821759262</c:v>
                </c:pt>
                <c:pt idx="445">
                  <c:v>43140.804108796299</c:v>
                </c:pt>
                <c:pt idx="446">
                  <c:v>43140.846666666665</c:v>
                </c:pt>
                <c:pt idx="447">
                  <c:v>43140.889525462961</c:v>
                </c:pt>
                <c:pt idx="448">
                  <c:v>43140.931770833333</c:v>
                </c:pt>
                <c:pt idx="449">
                  <c:v>43140.978587962964</c:v>
                </c:pt>
                <c:pt idx="450">
                  <c:v>43141.020624999997</c:v>
                </c:pt>
                <c:pt idx="451">
                  <c:v>43141.062002314815</c:v>
                </c:pt>
                <c:pt idx="452">
                  <c:v>43141.103090277778</c:v>
                </c:pt>
                <c:pt idx="453">
                  <c:v>43141.172048611108</c:v>
                </c:pt>
                <c:pt idx="454">
                  <c:v>43141.213171296295</c:v>
                </c:pt>
                <c:pt idx="455">
                  <c:v>43141.25440972222</c:v>
                </c:pt>
                <c:pt idx="456">
                  <c:v>43141.295706018522</c:v>
                </c:pt>
                <c:pt idx="457">
                  <c:v>43141.337372685186</c:v>
                </c:pt>
                <c:pt idx="458">
                  <c:v>43141.368449074071</c:v>
                </c:pt>
                <c:pt idx="459">
                  <c:v>43141.371539351851</c:v>
                </c:pt>
                <c:pt idx="460">
                  <c:v>43146.020821759259</c:v>
                </c:pt>
                <c:pt idx="461">
                  <c:v>43146.023530092592</c:v>
                </c:pt>
                <c:pt idx="463">
                  <c:v>43146.026018518518</c:v>
                </c:pt>
                <c:pt idx="464">
                  <c:v>43146.033136574071</c:v>
                </c:pt>
                <c:pt idx="465">
                  <c:v>43146.034525462965</c:v>
                </c:pt>
                <c:pt idx="466">
                  <c:v>43146.028969907406</c:v>
                </c:pt>
                <c:pt idx="467">
                  <c:v>43146.037314814814</c:v>
                </c:pt>
                <c:pt idx="468">
                  <c:v>43146.038703703707</c:v>
                </c:pt>
                <c:pt idx="469">
                  <c:v>43146.040069444447</c:v>
                </c:pt>
                <c:pt idx="470">
                  <c:v>43146.041550925926</c:v>
                </c:pt>
                <c:pt idx="471">
                  <c:v>43146.043124999997</c:v>
                </c:pt>
                <c:pt idx="472">
                  <c:v>43146.044444444444</c:v>
                </c:pt>
                <c:pt idx="473">
                  <c:v>43146.052893518521</c:v>
                </c:pt>
                <c:pt idx="474">
                  <c:v>43146.055231481485</c:v>
                </c:pt>
                <c:pt idx="475">
                  <c:v>43146.057372685187</c:v>
                </c:pt>
                <c:pt idx="476">
                  <c:v>43146.098935185182</c:v>
                </c:pt>
                <c:pt idx="477">
                  <c:v>43146.120439814818</c:v>
                </c:pt>
                <c:pt idx="478">
                  <c:v>43146.163506944446</c:v>
                </c:pt>
                <c:pt idx="479">
                  <c:v>43146.197592592594</c:v>
                </c:pt>
                <c:pt idx="480">
                  <c:v>43146.243622685186</c:v>
                </c:pt>
                <c:pt idx="481">
                  <c:v>43146.283634259256</c:v>
                </c:pt>
                <c:pt idx="482">
                  <c:v>43146.330601851849</c:v>
                </c:pt>
                <c:pt idx="483">
                  <c:v>43146.370289351849</c:v>
                </c:pt>
                <c:pt idx="484">
                  <c:v>43146.411516203705</c:v>
                </c:pt>
                <c:pt idx="485">
                  <c:v>43146.449791666666</c:v>
                </c:pt>
                <c:pt idx="486">
                  <c:v>43146.491863425923</c:v>
                </c:pt>
                <c:pt idx="487">
                  <c:v>43146.533587962964</c:v>
                </c:pt>
                <c:pt idx="488">
                  <c:v>43146.565150462964</c:v>
                </c:pt>
                <c:pt idx="489">
                  <c:v>43146.59002314815</c:v>
                </c:pt>
                <c:pt idx="490">
                  <c:v>43146.632118055553</c:v>
                </c:pt>
                <c:pt idx="491">
                  <c:v>43146.669942129629</c:v>
                </c:pt>
                <c:pt idx="492">
                  <c:v>43146.706273148149</c:v>
                </c:pt>
                <c:pt idx="493">
                  <c:v>43146.748784722222</c:v>
                </c:pt>
                <c:pt idx="494">
                  <c:v>43146.797592592593</c:v>
                </c:pt>
                <c:pt idx="495">
                  <c:v>43146.840439814812</c:v>
                </c:pt>
                <c:pt idx="496">
                  <c:v>43146.879201388889</c:v>
                </c:pt>
                <c:pt idx="497">
                  <c:v>43146.922118055554</c:v>
                </c:pt>
                <c:pt idx="498">
                  <c:v>43146.964421296296</c:v>
                </c:pt>
                <c:pt idx="499">
                  <c:v>43147.006655092591</c:v>
                </c:pt>
                <c:pt idx="500">
                  <c:v>43147.049201388887</c:v>
                </c:pt>
                <c:pt idx="501">
                  <c:v>43147.088206018518</c:v>
                </c:pt>
                <c:pt idx="502">
                  <c:v>43147.128460648149</c:v>
                </c:pt>
                <c:pt idx="503">
                  <c:v>43147.168437499997</c:v>
                </c:pt>
                <c:pt idx="504">
                  <c:v>43147.210636574076</c:v>
                </c:pt>
                <c:pt idx="505">
                  <c:v>43147.252638888887</c:v>
                </c:pt>
                <c:pt idx="506">
                  <c:v>43147.295289351852</c:v>
                </c:pt>
                <c:pt idx="507">
                  <c:v>43147.337175925924</c:v>
                </c:pt>
                <c:pt idx="508">
                  <c:v>43147.379212962966</c:v>
                </c:pt>
                <c:pt idx="509">
                  <c:v>43147.418796296297</c:v>
                </c:pt>
                <c:pt idx="510">
                  <c:v>43147.462523148148</c:v>
                </c:pt>
                <c:pt idx="511">
                  <c:v>43147.505115740743</c:v>
                </c:pt>
                <c:pt idx="512">
                  <c:v>43147.54650462963</c:v>
                </c:pt>
                <c:pt idx="513">
                  <c:v>43147.589247685188</c:v>
                </c:pt>
                <c:pt idx="514">
                  <c:v>43147.629189814812</c:v>
                </c:pt>
                <c:pt idx="516">
                  <c:v>43147.679895833331</c:v>
                </c:pt>
                <c:pt idx="517">
                  <c:v>43147.680775462963</c:v>
                </c:pt>
                <c:pt idx="518">
                  <c:v>43147.681666666664</c:v>
                </c:pt>
                <c:pt idx="519">
                  <c:v>43147.684837962966</c:v>
                </c:pt>
                <c:pt idx="520">
                  <c:v>43147.688194444447</c:v>
                </c:pt>
                <c:pt idx="521">
                  <c:v>43147.733703703707</c:v>
                </c:pt>
                <c:pt idx="523">
                  <c:v>43147.98945601852</c:v>
                </c:pt>
                <c:pt idx="524">
                  <c:v>43148.034386574072</c:v>
                </c:pt>
                <c:pt idx="527">
                  <c:v>43148.730821759258</c:v>
                </c:pt>
                <c:pt idx="528">
                  <c:v>43148.790451388886</c:v>
                </c:pt>
                <c:pt idx="529">
                  <c:v>43148.838888888888</c:v>
                </c:pt>
                <c:pt idx="530">
                  <c:v>43148.901238425926</c:v>
                </c:pt>
                <c:pt idx="531">
                  <c:v>43148.943796296298</c:v>
                </c:pt>
                <c:pt idx="532">
                  <c:v>43148.987673611111</c:v>
                </c:pt>
                <c:pt idx="533">
                  <c:v>43149.030034722222</c:v>
                </c:pt>
                <c:pt idx="534">
                  <c:v>43149.042546296296</c:v>
                </c:pt>
                <c:pt idx="535">
                  <c:v>43149.092534722222</c:v>
                </c:pt>
                <c:pt idx="536">
                  <c:v>43149.133449074077</c:v>
                </c:pt>
                <c:pt idx="537">
                  <c:v>43149.174733796295</c:v>
                </c:pt>
                <c:pt idx="538">
                  <c:v>43149.209236111114</c:v>
                </c:pt>
                <c:pt idx="539">
                  <c:v>43149.251655092594</c:v>
                </c:pt>
                <c:pt idx="540">
                  <c:v>43149.2658912037</c:v>
                </c:pt>
                <c:pt idx="541">
                  <c:v>43149.278067129628</c:v>
                </c:pt>
                <c:pt idx="542">
                  <c:v>43149.320347222223</c:v>
                </c:pt>
                <c:pt idx="543">
                  <c:v>43149.362372685187</c:v>
                </c:pt>
                <c:pt idx="544">
                  <c:v>43149.403680555559</c:v>
                </c:pt>
                <c:pt idx="545">
                  <c:v>43149.422638888886</c:v>
                </c:pt>
                <c:pt idx="546">
                  <c:v>43149.463993055557</c:v>
                </c:pt>
                <c:pt idx="547">
                  <c:v>43149.506030092591</c:v>
                </c:pt>
                <c:pt idx="548">
                  <c:v>43149.548402777778</c:v>
                </c:pt>
                <c:pt idx="549">
                  <c:v>43149.589756944442</c:v>
                </c:pt>
                <c:pt idx="550">
                  <c:v>43149.631782407407</c:v>
                </c:pt>
                <c:pt idx="551">
                  <c:v>43149.67527777778</c:v>
                </c:pt>
                <c:pt idx="552">
                  <c:v>43149.677106481482</c:v>
                </c:pt>
                <c:pt idx="553">
                  <c:v>43149.679918981485</c:v>
                </c:pt>
                <c:pt idx="554">
                  <c:v>43149.683310185188</c:v>
                </c:pt>
                <c:pt idx="555">
                  <c:v>43149.684155092589</c:v>
                </c:pt>
                <c:pt idx="556">
                  <c:v>43149.68472222222</c:v>
                </c:pt>
                <c:pt idx="557">
                  <c:v>43149.685567129629</c:v>
                </c:pt>
                <c:pt idx="558">
                  <c:v>43149.686597222222</c:v>
                </c:pt>
                <c:pt idx="559">
                  <c:v>43149.688032407408</c:v>
                </c:pt>
                <c:pt idx="560">
                  <c:v>43149.688877314817</c:v>
                </c:pt>
                <c:pt idx="561">
                  <c:v>43149.690474537034</c:v>
                </c:pt>
                <c:pt idx="562">
                  <c:v>43149.691863425927</c:v>
                </c:pt>
                <c:pt idx="563">
                  <c:v>43149.693310185183</c:v>
                </c:pt>
                <c:pt idx="564">
                  <c:v>43149.698148148149</c:v>
                </c:pt>
                <c:pt idx="565">
                  <c:v>43149.699467592596</c:v>
                </c:pt>
                <c:pt idx="566">
                  <c:v>43149.701099537036</c:v>
                </c:pt>
                <c:pt idx="567">
                  <c:v>43149.702789351853</c:v>
                </c:pt>
                <c:pt idx="568">
                  <c:v>43149.704293981478</c:v>
                </c:pt>
                <c:pt idx="569">
                  <c:v>43149.705833333333</c:v>
                </c:pt>
                <c:pt idx="570">
                  <c:v>43149.707291666666</c:v>
                </c:pt>
                <c:pt idx="571">
                  <c:v>43149.709155092591</c:v>
                </c:pt>
                <c:pt idx="572">
                  <c:v>43149.718680555554</c:v>
                </c:pt>
                <c:pt idx="573">
                  <c:v>43149.76116898148</c:v>
                </c:pt>
                <c:pt idx="574">
                  <c:v>43149.803483796299</c:v>
                </c:pt>
                <c:pt idx="575">
                  <c:v>43149.84642361111</c:v>
                </c:pt>
                <c:pt idx="576">
                  <c:v>43149.889606481483</c:v>
                </c:pt>
                <c:pt idx="577">
                  <c:v>43149.932106481479</c:v>
                </c:pt>
                <c:pt idx="578">
                  <c:v>43149.980173611111</c:v>
                </c:pt>
                <c:pt idx="579">
                  <c:v>43150.022141203706</c:v>
                </c:pt>
                <c:pt idx="580">
                  <c:v>43150.064189814817</c:v>
                </c:pt>
                <c:pt idx="581">
                  <c:v>43150.105995370373</c:v>
                </c:pt>
                <c:pt idx="582">
                  <c:v>43150.148020833331</c:v>
                </c:pt>
                <c:pt idx="583">
                  <c:v>43150.18990740741</c:v>
                </c:pt>
                <c:pt idx="584">
                  <c:v>43150.231944444444</c:v>
                </c:pt>
                <c:pt idx="585">
                  <c:v>43150.273784722223</c:v>
                </c:pt>
                <c:pt idx="586">
                  <c:v>43150.315694444442</c:v>
                </c:pt>
                <c:pt idx="587">
                  <c:v>43150.357685185183</c:v>
                </c:pt>
                <c:pt idx="588">
                  <c:v>43150.399687500001</c:v>
                </c:pt>
                <c:pt idx="589">
                  <c:v>43150.441296296296</c:v>
                </c:pt>
                <c:pt idx="590">
                  <c:v>43150.478750000002</c:v>
                </c:pt>
                <c:pt idx="591">
                  <c:v>43150.521111111113</c:v>
                </c:pt>
                <c:pt idx="592">
                  <c:v>43150.571712962963</c:v>
                </c:pt>
                <c:pt idx="593">
                  <c:v>43150.613715277781</c:v>
                </c:pt>
                <c:pt idx="594">
                  <c:v>43150.655717592592</c:v>
                </c:pt>
                <c:pt idx="595">
                  <c:v>43150.698796296296</c:v>
                </c:pt>
                <c:pt idx="596">
                  <c:v>43150.741412037038</c:v>
                </c:pt>
                <c:pt idx="597">
                  <c:v>43150.784918981481</c:v>
                </c:pt>
                <c:pt idx="598">
                  <c:v>43150.828784722224</c:v>
                </c:pt>
                <c:pt idx="599">
                  <c:v>43150.870983796296</c:v>
                </c:pt>
                <c:pt idx="600">
                  <c:v>43150.913240740738</c:v>
                </c:pt>
                <c:pt idx="601">
                  <c:v>43150.955416666664</c:v>
                </c:pt>
                <c:pt idx="602">
                  <c:v>43150.998206018521</c:v>
                </c:pt>
                <c:pt idx="603">
                  <c:v>43151.039803240739</c:v>
                </c:pt>
                <c:pt idx="604">
                  <c:v>43151.086840277778</c:v>
                </c:pt>
                <c:pt idx="605">
                  <c:v>43151.128877314812</c:v>
                </c:pt>
                <c:pt idx="606">
                  <c:v>43151.170902777776</c:v>
                </c:pt>
                <c:pt idx="607">
                  <c:v>43151.22997685185</c:v>
                </c:pt>
                <c:pt idx="608">
                  <c:v>43151.271909722222</c:v>
                </c:pt>
                <c:pt idx="609">
                  <c:v>43151.313159722224</c:v>
                </c:pt>
                <c:pt idx="610">
                  <c:v>43151.354942129627</c:v>
                </c:pt>
                <c:pt idx="611">
                  <c:v>43151.396874999999</c:v>
                </c:pt>
                <c:pt idx="612">
                  <c:v>43151.43886574074</c:v>
                </c:pt>
                <c:pt idx="613">
                  <c:v>43151.483680555553</c:v>
                </c:pt>
                <c:pt idx="614">
                  <c:v>43151.525358796294</c:v>
                </c:pt>
                <c:pt idx="615">
                  <c:v>43151.567303240743</c:v>
                </c:pt>
                <c:pt idx="616">
                  <c:v>43151.609467592592</c:v>
                </c:pt>
                <c:pt idx="617">
                  <c:v>43151.651122685187</c:v>
                </c:pt>
                <c:pt idx="619">
                  <c:v>43151.678703703707</c:v>
                </c:pt>
                <c:pt idx="620">
                  <c:v>43151.685578703706</c:v>
                </c:pt>
                <c:pt idx="621">
                  <c:v>43151.688981481479</c:v>
                </c:pt>
                <c:pt idx="622">
                  <c:v>43151.731990740744</c:v>
                </c:pt>
                <c:pt idx="623">
                  <c:v>43151.774548611109</c:v>
                </c:pt>
                <c:pt idx="624">
                  <c:v>43151.81795138889</c:v>
                </c:pt>
                <c:pt idx="625">
                  <c:v>43151.860196759262</c:v>
                </c:pt>
                <c:pt idx="626">
                  <c:v>43151.903460648151</c:v>
                </c:pt>
                <c:pt idx="627">
                  <c:v>43151.946979166663</c:v>
                </c:pt>
                <c:pt idx="628">
                  <c:v>43151.990011574075</c:v>
                </c:pt>
                <c:pt idx="629">
                  <c:v>43152.030104166668</c:v>
                </c:pt>
                <c:pt idx="630">
                  <c:v>43152.071631944447</c:v>
                </c:pt>
                <c:pt idx="631">
                  <c:v>43152.115983796299</c:v>
                </c:pt>
                <c:pt idx="632">
                  <c:v>43152.158067129632</c:v>
                </c:pt>
                <c:pt idx="633">
                  <c:v>43152.200115740743</c:v>
                </c:pt>
                <c:pt idx="634">
                  <c:v>43152.211041666669</c:v>
                </c:pt>
                <c:pt idx="635">
                  <c:v>43152.252870370372</c:v>
                </c:pt>
                <c:pt idx="636">
                  <c:v>43152.294745370367</c:v>
                </c:pt>
                <c:pt idx="637">
                  <c:v>43152.333310185182</c:v>
                </c:pt>
                <c:pt idx="638">
                  <c:v>43154.982777777775</c:v>
                </c:pt>
                <c:pt idx="639">
                  <c:v>43154.984317129631</c:v>
                </c:pt>
                <c:pt idx="640">
                  <c:v>43154.987071759257</c:v>
                </c:pt>
                <c:pt idx="642">
                  <c:v>43154.991365740738</c:v>
                </c:pt>
                <c:pt idx="643">
                  <c:v>43154.993113425924</c:v>
                </c:pt>
                <c:pt idx="644">
                  <c:v>43154.994884259257</c:v>
                </c:pt>
                <c:pt idx="645">
                  <c:v>43154.996550925927</c:v>
                </c:pt>
                <c:pt idx="646">
                  <c:v>43154.99832175926</c:v>
                </c:pt>
                <c:pt idx="647">
                  <c:v>43154.999976851854</c:v>
                </c:pt>
                <c:pt idx="648">
                  <c:v>43155.001747685186</c:v>
                </c:pt>
                <c:pt idx="649">
                  <c:v>43155.003761574073</c:v>
                </c:pt>
                <c:pt idx="650">
                  <c:v>43155.005486111113</c:v>
                </c:pt>
                <c:pt idx="651">
                  <c:v>43155.007210648146</c:v>
                </c:pt>
                <c:pt idx="652">
                  <c:v>43155.008923611109</c:v>
                </c:pt>
                <c:pt idx="653">
                  <c:v>43154.013483796298</c:v>
                </c:pt>
                <c:pt idx="654">
                  <c:v>43154.05505787037</c:v>
                </c:pt>
                <c:pt idx="655">
                  <c:v>43154.097118055557</c:v>
                </c:pt>
                <c:pt idx="656">
                  <c:v>43154.140196759261</c:v>
                </c:pt>
                <c:pt idx="657">
                  <c:v>43154.150439814817</c:v>
                </c:pt>
                <c:pt idx="659">
                  <c:v>43154.156030092592</c:v>
                </c:pt>
                <c:pt idx="660">
                  <c:v>43154.196018518516</c:v>
                </c:pt>
                <c:pt idx="661">
                  <c:v>43154.238252314812</c:v>
                </c:pt>
                <c:pt idx="662">
                  <c:v>43154.280358796299</c:v>
                </c:pt>
                <c:pt idx="663">
                  <c:v>43154.322523148148</c:v>
                </c:pt>
                <c:pt idx="664">
                  <c:v>43154.36440972222</c:v>
                </c:pt>
                <c:pt idx="665">
                  <c:v>43154.407280092593</c:v>
                </c:pt>
                <c:pt idx="666">
                  <c:v>43154.449965277781</c:v>
                </c:pt>
                <c:pt idx="667">
                  <c:v>43154.493761574071</c:v>
                </c:pt>
                <c:pt idx="668">
                  <c:v>43154.538171296299</c:v>
                </c:pt>
                <c:pt idx="669">
                  <c:v>43154.578553240739</c:v>
                </c:pt>
                <c:pt idx="670">
                  <c:v>43154.623831018522</c:v>
                </c:pt>
                <c:pt idx="671">
                  <c:v>43154.665763888886</c:v>
                </c:pt>
                <c:pt idx="672">
                  <c:v>43154.70820601852</c:v>
                </c:pt>
                <c:pt idx="673">
                  <c:v>43154.751064814816</c:v>
                </c:pt>
                <c:pt idx="674">
                  <c:v>43154.793912037036</c:v>
                </c:pt>
                <c:pt idx="675">
                  <c:v>43154.837789351855</c:v>
                </c:pt>
                <c:pt idx="676">
                  <c:v>43154.873541666668</c:v>
                </c:pt>
                <c:pt idx="677">
                  <c:v>43154.916030092594</c:v>
                </c:pt>
                <c:pt idx="678">
                  <c:v>43154.959837962961</c:v>
                </c:pt>
                <c:pt idx="679">
                  <c:v>43155.001122685186</c:v>
                </c:pt>
                <c:pt idx="680">
                  <c:v>43155.043344907404</c:v>
                </c:pt>
                <c:pt idx="681">
                  <c:v>43155.08489583333</c:v>
                </c:pt>
                <c:pt idx="682">
                  <c:v>43155.128576388888</c:v>
                </c:pt>
                <c:pt idx="683">
                  <c:v>43155.168182870373</c:v>
                </c:pt>
                <c:pt idx="684">
                  <c:v>43155.216087962966</c:v>
                </c:pt>
                <c:pt idx="685">
                  <c:v>43155.256956018522</c:v>
                </c:pt>
                <c:pt idx="686">
                  <c:v>43155.298958333333</c:v>
                </c:pt>
                <c:pt idx="687">
                  <c:v>43155.34642361111</c:v>
                </c:pt>
                <c:pt idx="688">
                  <c:v>43155.389884259261</c:v>
                </c:pt>
                <c:pt idx="689">
                  <c:v>43155.432175925926</c:v>
                </c:pt>
                <c:pt idx="690">
                  <c:v>43155.474351851852</c:v>
                </c:pt>
                <c:pt idx="691">
                  <c:v>43155.516539351855</c:v>
                </c:pt>
                <c:pt idx="692">
                  <c:v>43155.563599537039</c:v>
                </c:pt>
                <c:pt idx="693">
                  <c:v>43155.608402777776</c:v>
                </c:pt>
                <c:pt idx="694">
                  <c:v>43155.650462962964</c:v>
                </c:pt>
                <c:pt idx="695">
                  <c:v>43155.692662037036</c:v>
                </c:pt>
                <c:pt idx="696">
                  <c:v>43155.735555555555</c:v>
                </c:pt>
                <c:pt idx="697">
                  <c:v>43155.738229166665</c:v>
                </c:pt>
                <c:pt idx="698">
                  <c:v>43155.742673611108</c:v>
                </c:pt>
                <c:pt idx="699">
                  <c:v>43155.785763888889</c:v>
                </c:pt>
                <c:pt idx="700">
                  <c:v>43155.828622685185</c:v>
                </c:pt>
                <c:pt idx="701">
                  <c:v>43155.871099537035</c:v>
                </c:pt>
                <c:pt idx="702">
                  <c:v>43155.913587962961</c:v>
                </c:pt>
                <c:pt idx="703">
                  <c:v>43155.956817129627</c:v>
                </c:pt>
                <c:pt idx="704">
                  <c:v>43155.999027777776</c:v>
                </c:pt>
                <c:pt idx="705">
                  <c:v>43156.041215277779</c:v>
                </c:pt>
                <c:pt idx="706">
                  <c:v>43156.083298611113</c:v>
                </c:pt>
                <c:pt idx="707">
                  <c:v>43156.125439814816</c:v>
                </c:pt>
                <c:pt idx="708">
                  <c:v>43156.166828703703</c:v>
                </c:pt>
                <c:pt idx="709">
                  <c:v>43156.216215277775</c:v>
                </c:pt>
              </c:numCache>
            </c:numRef>
          </c:xVal>
          <c:yVal>
            <c:numRef>
              <c:f>summary!$AT$105:$AT$900</c:f>
              <c:numCache>
                <c:formatCode>0.00_ </c:formatCode>
                <c:ptCount val="796"/>
                <c:pt idx="0">
                  <c:v>0.17863392857142854</c:v>
                </c:pt>
                <c:pt idx="1">
                  <c:v>0.36376984126984124</c:v>
                </c:pt>
                <c:pt idx="2">
                  <c:v>0.53893650793650794</c:v>
                </c:pt>
                <c:pt idx="21">
                  <c:v>0.54206845238095236</c:v>
                </c:pt>
                <c:pt idx="22">
                  <c:v>0.72366369047619039</c:v>
                </c:pt>
                <c:pt idx="23">
                  <c:v>0.89592063492063478</c:v>
                </c:pt>
                <c:pt idx="24">
                  <c:v>0.91471825396825379</c:v>
                </c:pt>
                <c:pt idx="25">
                  <c:v>1.0964285714285713</c:v>
                </c:pt>
                <c:pt idx="26">
                  <c:v>1.2685763888888888</c:v>
                </c:pt>
                <c:pt idx="27">
                  <c:v>1.4407787698412697</c:v>
                </c:pt>
                <c:pt idx="28">
                  <c:v>1.6132539682539682</c:v>
                </c:pt>
                <c:pt idx="29">
                  <c:v>1.7980972222222222</c:v>
                </c:pt>
                <c:pt idx="45">
                  <c:v>1.9940615079365078</c:v>
                </c:pt>
                <c:pt idx="46">
                  <c:v>2.0107033730158728</c:v>
                </c:pt>
                <c:pt idx="47">
                  <c:v>2.1004623015873012</c:v>
                </c:pt>
                <c:pt idx="48">
                  <c:v>2.1769464285714282</c:v>
                </c:pt>
                <c:pt idx="49">
                  <c:v>2.366550595238095</c:v>
                </c:pt>
                <c:pt idx="50">
                  <c:v>2.366550595238095</c:v>
                </c:pt>
                <c:pt idx="51">
                  <c:v>2.4893333333333332</c:v>
                </c:pt>
                <c:pt idx="52">
                  <c:v>2.6726121031746031</c:v>
                </c:pt>
                <c:pt idx="53">
                  <c:v>2.868751984126984</c:v>
                </c:pt>
                <c:pt idx="54">
                  <c:v>3.0648333333333331</c:v>
                </c:pt>
                <c:pt idx="55">
                  <c:v>3.2576488095238094</c:v>
                </c:pt>
                <c:pt idx="56">
                  <c:v>3.410708333333333</c:v>
                </c:pt>
                <c:pt idx="85">
                  <c:v>3.4504940476190473</c:v>
                </c:pt>
                <c:pt idx="86">
                  <c:v>3.706833333333333</c:v>
                </c:pt>
                <c:pt idx="87">
                  <c:v>3.9144632936507935</c:v>
                </c:pt>
                <c:pt idx="88">
                  <c:v>4.0561458333333329</c:v>
                </c:pt>
                <c:pt idx="89">
                  <c:v>4.2507410714285712</c:v>
                </c:pt>
                <c:pt idx="91">
                  <c:v>4.2949474206349203</c:v>
                </c:pt>
                <c:pt idx="92">
                  <c:v>4.3347420634920635</c:v>
                </c:pt>
                <c:pt idx="93">
                  <c:v>4.3700674603174603</c:v>
                </c:pt>
                <c:pt idx="94">
                  <c:v>4.5071378968253972</c:v>
                </c:pt>
                <c:pt idx="95">
                  <c:v>4.551324404761905</c:v>
                </c:pt>
                <c:pt idx="96">
                  <c:v>4.816919642857143</c:v>
                </c:pt>
                <c:pt idx="97">
                  <c:v>5.0821577380952387</c:v>
                </c:pt>
                <c:pt idx="98">
                  <c:v>5.4358878968253972</c:v>
                </c:pt>
                <c:pt idx="99">
                  <c:v>5.4756200396825401</c:v>
                </c:pt>
                <c:pt idx="114">
                  <c:v>5.524247023809524</c:v>
                </c:pt>
                <c:pt idx="115">
                  <c:v>5.7855327380952382</c:v>
                </c:pt>
                <c:pt idx="116">
                  <c:v>6.0465843253968252</c:v>
                </c:pt>
                <c:pt idx="117">
                  <c:v>6.3032688492063489</c:v>
                </c:pt>
                <c:pt idx="118">
                  <c:v>6.5640277777777776</c:v>
                </c:pt>
                <c:pt idx="119">
                  <c:v>6.8203670634920632</c:v>
                </c:pt>
                <c:pt idx="120">
                  <c:v>7.0016130952380946</c:v>
                </c:pt>
                <c:pt idx="121">
                  <c:v>7.2533065476190473</c:v>
                </c:pt>
                <c:pt idx="122">
                  <c:v>7.3857470238095235</c:v>
                </c:pt>
                <c:pt idx="123">
                  <c:v>7.5890505952380947</c:v>
                </c:pt>
                <c:pt idx="124">
                  <c:v>7.8496924603174598</c:v>
                </c:pt>
                <c:pt idx="125">
                  <c:v>8.0087281746031742</c:v>
                </c:pt>
                <c:pt idx="126">
                  <c:v>8.2696041666666655</c:v>
                </c:pt>
                <c:pt idx="127">
                  <c:v>8.5300119047619045</c:v>
                </c:pt>
                <c:pt idx="128">
                  <c:v>8.7950714285714291</c:v>
                </c:pt>
                <c:pt idx="129">
                  <c:v>9.0518134920634932</c:v>
                </c:pt>
                <c:pt idx="130">
                  <c:v>9.3081527777777779</c:v>
                </c:pt>
                <c:pt idx="131">
                  <c:v>9.5737480158730168</c:v>
                </c:pt>
                <c:pt idx="132">
                  <c:v>9.8211369047619055</c:v>
                </c:pt>
                <c:pt idx="133">
                  <c:v>10.090614087301589</c:v>
                </c:pt>
                <c:pt idx="134">
                  <c:v>10.355435515873017</c:v>
                </c:pt>
                <c:pt idx="135">
                  <c:v>10.620733134920636</c:v>
                </c:pt>
                <c:pt idx="136">
                  <c:v>10.868399801587303</c:v>
                </c:pt>
                <c:pt idx="137">
                  <c:v>11.124796626984129</c:v>
                </c:pt>
                <c:pt idx="138">
                  <c:v>11.354979166666668</c:v>
                </c:pt>
                <c:pt idx="139">
                  <c:v>11.562515873015874</c:v>
                </c:pt>
                <c:pt idx="140">
                  <c:v>11.823391865079365</c:v>
                </c:pt>
                <c:pt idx="141">
                  <c:v>12.083916666666667</c:v>
                </c:pt>
                <c:pt idx="142">
                  <c:v>12.336005952380953</c:v>
                </c:pt>
                <c:pt idx="143">
                  <c:v>12.587755952380952</c:v>
                </c:pt>
                <c:pt idx="144">
                  <c:v>12.871248015873016</c:v>
                </c:pt>
                <c:pt idx="145">
                  <c:v>13.141148809523809</c:v>
                </c:pt>
                <c:pt idx="146">
                  <c:v>13.420148809523809</c:v>
                </c:pt>
                <c:pt idx="147">
                  <c:v>13.561482142857143</c:v>
                </c:pt>
                <c:pt idx="148">
                  <c:v>13.830898809523809</c:v>
                </c:pt>
                <c:pt idx="149">
                  <c:v>14.087583333333333</c:v>
                </c:pt>
                <c:pt idx="150">
                  <c:v>14.353</c:v>
                </c:pt>
                <c:pt idx="151">
                  <c:v>14.476749999999999</c:v>
                </c:pt>
                <c:pt idx="152">
                  <c:v>14.742047619047618</c:v>
                </c:pt>
                <c:pt idx="153">
                  <c:v>15.007345238095237</c:v>
                </c:pt>
                <c:pt idx="154">
                  <c:v>15.272642857142856</c:v>
                </c:pt>
                <c:pt idx="155">
                  <c:v>15.537999999999998</c:v>
                </c:pt>
                <c:pt idx="156">
                  <c:v>15.754513888888887</c:v>
                </c:pt>
                <c:pt idx="157">
                  <c:v>16.019275793650792</c:v>
                </c:pt>
                <c:pt idx="158">
                  <c:v>16.275557539682538</c:v>
                </c:pt>
                <c:pt idx="159">
                  <c:v>16.536257936507933</c:v>
                </c:pt>
                <c:pt idx="160">
                  <c:v>16.79253968253968</c:v>
                </c:pt>
                <c:pt idx="161">
                  <c:v>17.048763888888885</c:v>
                </c:pt>
                <c:pt idx="162">
                  <c:v>17.304757936507933</c:v>
                </c:pt>
                <c:pt idx="163">
                  <c:v>17.556790674603171</c:v>
                </c:pt>
                <c:pt idx="164">
                  <c:v>17.808823412698409</c:v>
                </c:pt>
                <c:pt idx="165">
                  <c:v>17.906142857142854</c:v>
                </c:pt>
                <c:pt idx="166">
                  <c:v>18.162769841269839</c:v>
                </c:pt>
                <c:pt idx="167">
                  <c:v>18.459351190476188</c:v>
                </c:pt>
                <c:pt idx="168">
                  <c:v>18.521309523809521</c:v>
                </c:pt>
                <c:pt idx="204">
                  <c:v>18.807742063492061</c:v>
                </c:pt>
                <c:pt idx="205">
                  <c:v>19.103634920634917</c:v>
                </c:pt>
                <c:pt idx="206">
                  <c:v>19.39506448412698</c:v>
                </c:pt>
                <c:pt idx="207">
                  <c:v>19.686435515873011</c:v>
                </c:pt>
                <c:pt idx="208">
                  <c:v>19.972868055555551</c:v>
                </c:pt>
                <c:pt idx="209">
                  <c:v>20.259875992063488</c:v>
                </c:pt>
                <c:pt idx="210">
                  <c:v>20.541483134920632</c:v>
                </c:pt>
                <c:pt idx="211">
                  <c:v>20.828318452380948</c:v>
                </c:pt>
                <c:pt idx="212">
                  <c:v>21.100262896825392</c:v>
                </c:pt>
                <c:pt idx="213">
                  <c:v>21.35706448412698</c:v>
                </c:pt>
                <c:pt idx="214">
                  <c:v>21.697615079365075</c:v>
                </c:pt>
                <c:pt idx="231">
                  <c:v>21.999043650793645</c:v>
                </c:pt>
                <c:pt idx="232">
                  <c:v>22.300888888888885</c:v>
                </c:pt>
                <c:pt idx="233">
                  <c:v>22.603448412698409</c:v>
                </c:pt>
                <c:pt idx="234">
                  <c:v>22.905293650793649</c:v>
                </c:pt>
                <c:pt idx="235">
                  <c:v>23.206603174603174</c:v>
                </c:pt>
                <c:pt idx="236">
                  <c:v>23.497811507936508</c:v>
                </c:pt>
                <c:pt idx="237">
                  <c:v>23.769525793650793</c:v>
                </c:pt>
                <c:pt idx="238">
                  <c:v>24.066398809523808</c:v>
                </c:pt>
                <c:pt idx="239">
                  <c:v>24.358240079365078</c:v>
                </c:pt>
                <c:pt idx="240">
                  <c:v>24.46880753968254</c:v>
                </c:pt>
                <c:pt idx="241">
                  <c:v>24.755221230158732</c:v>
                </c:pt>
                <c:pt idx="242">
                  <c:v>25.04723511904762</c:v>
                </c:pt>
                <c:pt idx="243">
                  <c:v>25.343932539682541</c:v>
                </c:pt>
                <c:pt idx="244">
                  <c:v>25.636636904761907</c:v>
                </c:pt>
                <c:pt idx="245">
                  <c:v>25.92819047619048</c:v>
                </c:pt>
                <c:pt idx="246">
                  <c:v>26.225531746031749</c:v>
                </c:pt>
                <c:pt idx="247">
                  <c:v>26.376424603174605</c:v>
                </c:pt>
                <c:pt idx="248">
                  <c:v>26.547638888888891</c:v>
                </c:pt>
                <c:pt idx="249">
                  <c:v>26.844394841269843</c:v>
                </c:pt>
                <c:pt idx="250">
                  <c:v>27.141501984126986</c:v>
                </c:pt>
                <c:pt idx="251">
                  <c:v>27.432882936507937</c:v>
                </c:pt>
                <c:pt idx="252">
                  <c:v>27.715105158730161</c:v>
                </c:pt>
                <c:pt idx="253">
                  <c:v>27.790477182539686</c:v>
                </c:pt>
                <c:pt idx="254">
                  <c:v>28.097837301587305</c:v>
                </c:pt>
                <c:pt idx="255">
                  <c:v>28.400099206349211</c:v>
                </c:pt>
                <c:pt idx="256">
                  <c:v>28.702301587301591</c:v>
                </c:pt>
                <c:pt idx="257">
                  <c:v>29.019426587301592</c:v>
                </c:pt>
                <c:pt idx="259">
                  <c:v>29.331825396825401</c:v>
                </c:pt>
                <c:pt idx="260">
                  <c:v>29.633313492063497</c:v>
                </c:pt>
                <c:pt idx="261">
                  <c:v>29.934980158730163</c:v>
                </c:pt>
                <c:pt idx="262">
                  <c:v>30.226648809523812</c:v>
                </c:pt>
                <c:pt idx="263">
                  <c:v>30.518202380952385</c:v>
                </c:pt>
                <c:pt idx="264">
                  <c:v>30.81536805555556</c:v>
                </c:pt>
                <c:pt idx="265">
                  <c:v>31.11276785714286</c:v>
                </c:pt>
                <c:pt idx="266">
                  <c:v>31.410343253968257</c:v>
                </c:pt>
                <c:pt idx="267">
                  <c:v>31.702529761904763</c:v>
                </c:pt>
                <c:pt idx="268">
                  <c:v>31.873609126984128</c:v>
                </c:pt>
                <c:pt idx="269">
                  <c:v>32.170716269841272</c:v>
                </c:pt>
                <c:pt idx="270">
                  <c:v>32.468116071428575</c:v>
                </c:pt>
                <c:pt idx="271">
                  <c:v>32.769961309523815</c:v>
                </c:pt>
                <c:pt idx="272">
                  <c:v>33.061514880952387</c:v>
                </c:pt>
                <c:pt idx="273">
                  <c:v>33.358973214285719</c:v>
                </c:pt>
                <c:pt idx="274">
                  <c:v>33.650987103174607</c:v>
                </c:pt>
                <c:pt idx="275">
                  <c:v>33.948562500000001</c:v>
                </c:pt>
                <c:pt idx="276">
                  <c:v>34.24561111111111</c:v>
                </c:pt>
                <c:pt idx="277">
                  <c:v>34.24561111111111</c:v>
                </c:pt>
                <c:pt idx="280">
                  <c:v>34.547753968253964</c:v>
                </c:pt>
                <c:pt idx="281">
                  <c:v>34.850253968253966</c:v>
                </c:pt>
                <c:pt idx="282">
                  <c:v>35.157493055555555</c:v>
                </c:pt>
                <c:pt idx="283">
                  <c:v>35.464974206349204</c:v>
                </c:pt>
                <c:pt idx="284">
                  <c:v>35.772031746031743</c:v>
                </c:pt>
                <c:pt idx="285">
                  <c:v>36.07465079365079</c:v>
                </c:pt>
                <c:pt idx="286">
                  <c:v>36.381345238095236</c:v>
                </c:pt>
                <c:pt idx="287">
                  <c:v>36.683607142857142</c:v>
                </c:pt>
                <c:pt idx="288">
                  <c:v>36.986107142857144</c:v>
                </c:pt>
                <c:pt idx="289">
                  <c:v>37.28333134920635</c:v>
                </c:pt>
                <c:pt idx="290">
                  <c:v>37.58032142857143</c:v>
                </c:pt>
                <c:pt idx="291">
                  <c:v>37.615626984126983</c:v>
                </c:pt>
                <c:pt idx="292">
                  <c:v>37.721543650793649</c:v>
                </c:pt>
                <c:pt idx="293">
                  <c:v>37.877681547619048</c:v>
                </c:pt>
                <c:pt idx="294">
                  <c:v>38.174378968253968</c:v>
                </c:pt>
                <c:pt idx="295">
                  <c:v>38.476998015873015</c:v>
                </c:pt>
                <c:pt idx="296">
                  <c:v>38.769759920634918</c:v>
                </c:pt>
                <c:pt idx="297">
                  <c:v>39.061831349206344</c:v>
                </c:pt>
                <c:pt idx="298">
                  <c:v>39.359231150793647</c:v>
                </c:pt>
                <c:pt idx="299">
                  <c:v>39.656045634920631</c:v>
                </c:pt>
                <c:pt idx="300">
                  <c:v>39.948289682539681</c:v>
                </c:pt>
                <c:pt idx="301">
                  <c:v>40.190194444444444</c:v>
                </c:pt>
                <c:pt idx="303">
                  <c:v>40.48238095238095</c:v>
                </c:pt>
                <c:pt idx="304">
                  <c:v>40.774394841269839</c:v>
                </c:pt>
                <c:pt idx="305">
                  <c:v>40.920603174603173</c:v>
                </c:pt>
                <c:pt idx="306">
                  <c:v>41.232632936507933</c:v>
                </c:pt>
                <c:pt idx="307">
                  <c:v>41.534597222222217</c:v>
                </c:pt>
                <c:pt idx="308">
                  <c:v>41.841896825396823</c:v>
                </c:pt>
                <c:pt idx="309">
                  <c:v>42.144277777777774</c:v>
                </c:pt>
                <c:pt idx="310">
                  <c:v>42.447134920634916</c:v>
                </c:pt>
                <c:pt idx="311">
                  <c:v>42.749694444444437</c:v>
                </c:pt>
                <c:pt idx="312">
                  <c:v>43.052373015873009</c:v>
                </c:pt>
                <c:pt idx="313">
                  <c:v>43.349246031746027</c:v>
                </c:pt>
                <c:pt idx="314">
                  <c:v>43.640684523809519</c:v>
                </c:pt>
                <c:pt idx="315">
                  <c:v>43.93785019841269</c:v>
                </c:pt>
                <c:pt idx="316">
                  <c:v>44.230266865079358</c:v>
                </c:pt>
                <c:pt idx="317">
                  <c:v>44.527022817460313</c:v>
                </c:pt>
                <c:pt idx="318">
                  <c:v>44.8147371031746</c:v>
                </c:pt>
                <c:pt idx="319">
                  <c:v>45.107268849206349</c:v>
                </c:pt>
                <c:pt idx="320">
                  <c:v>45.404844246031743</c:v>
                </c:pt>
                <c:pt idx="321">
                  <c:v>45.702595238095235</c:v>
                </c:pt>
                <c:pt idx="322">
                  <c:v>45.999234126984121</c:v>
                </c:pt>
                <c:pt idx="323">
                  <c:v>46.296458333333327</c:v>
                </c:pt>
                <c:pt idx="324">
                  <c:v>46.397351190476186</c:v>
                </c:pt>
                <c:pt idx="325">
                  <c:v>46.694399801587295</c:v>
                </c:pt>
                <c:pt idx="326">
                  <c:v>46.987161706349198</c:v>
                </c:pt>
                <c:pt idx="327">
                  <c:v>47.283800595238084</c:v>
                </c:pt>
                <c:pt idx="328">
                  <c:v>47.510363095238084</c:v>
                </c:pt>
                <c:pt idx="329">
                  <c:v>47.812684523809516</c:v>
                </c:pt>
                <c:pt idx="330">
                  <c:v>48.114767857142851</c:v>
                </c:pt>
                <c:pt idx="351">
                  <c:v>48.42243055555555</c:v>
                </c:pt>
                <c:pt idx="352">
                  <c:v>48.724394841269834</c:v>
                </c:pt>
                <c:pt idx="353">
                  <c:v>49.036793650793641</c:v>
                </c:pt>
                <c:pt idx="354">
                  <c:v>49.339472222222213</c:v>
                </c:pt>
                <c:pt idx="355">
                  <c:v>49.652117063492057</c:v>
                </c:pt>
                <c:pt idx="356">
                  <c:v>49.949633928571423</c:v>
                </c:pt>
                <c:pt idx="357">
                  <c:v>50.090717261904757</c:v>
                </c:pt>
                <c:pt idx="358">
                  <c:v>50.393514880952374</c:v>
                </c:pt>
                <c:pt idx="359">
                  <c:v>50.675792658730153</c:v>
                </c:pt>
                <c:pt idx="360">
                  <c:v>50.967979166666659</c:v>
                </c:pt>
                <c:pt idx="361">
                  <c:v>51.26091369047618</c:v>
                </c:pt>
                <c:pt idx="362">
                  <c:v>51.558372023809511</c:v>
                </c:pt>
                <c:pt idx="363">
                  <c:v>51.855947420634905</c:v>
                </c:pt>
                <c:pt idx="364">
                  <c:v>52.152644841269826</c:v>
                </c:pt>
                <c:pt idx="365">
                  <c:v>52.339149801587283</c:v>
                </c:pt>
                <c:pt idx="366">
                  <c:v>52.631854166666649</c:v>
                </c:pt>
                <c:pt idx="367">
                  <c:v>52.923810515873001</c:v>
                </c:pt>
                <c:pt idx="368">
                  <c:v>53.215824404761889</c:v>
                </c:pt>
                <c:pt idx="369">
                  <c:v>53.44760416666665</c:v>
                </c:pt>
                <c:pt idx="370">
                  <c:v>53.750104166666652</c:v>
                </c:pt>
                <c:pt idx="371">
                  <c:v>54.052663690476173</c:v>
                </c:pt>
                <c:pt idx="372">
                  <c:v>54.355163690476175</c:v>
                </c:pt>
                <c:pt idx="373">
                  <c:v>54.662523809523798</c:v>
                </c:pt>
                <c:pt idx="374">
                  <c:v>54.965083333333318</c:v>
                </c:pt>
                <c:pt idx="375">
                  <c:v>55.26776190476189</c:v>
                </c:pt>
                <c:pt idx="376">
                  <c:v>55.353672619047607</c:v>
                </c:pt>
                <c:pt idx="377">
                  <c:v>55.651423611111099</c:v>
                </c:pt>
                <c:pt idx="378">
                  <c:v>55.944415674603164</c:v>
                </c:pt>
                <c:pt idx="379">
                  <c:v>56.242166666666655</c:v>
                </c:pt>
                <c:pt idx="380">
                  <c:v>56.540093253968244</c:v>
                </c:pt>
                <c:pt idx="381">
                  <c:v>56.832797619047611</c:v>
                </c:pt>
                <c:pt idx="382">
                  <c:v>57.120681547619043</c:v>
                </c:pt>
                <c:pt idx="383">
                  <c:v>57.413443452380946</c:v>
                </c:pt>
                <c:pt idx="384">
                  <c:v>57.676074404761899</c:v>
                </c:pt>
                <c:pt idx="385">
                  <c:v>57.817324404761898</c:v>
                </c:pt>
                <c:pt idx="412">
                  <c:v>58.10187202380952</c:v>
                </c:pt>
                <c:pt idx="413">
                  <c:v>58.271433531746027</c:v>
                </c:pt>
                <c:pt idx="414">
                  <c:v>58.381106150793649</c:v>
                </c:pt>
                <c:pt idx="415">
                  <c:v>58.421002976190472</c:v>
                </c:pt>
                <c:pt idx="416">
                  <c:v>58.715651785714279</c:v>
                </c:pt>
                <c:pt idx="417">
                  <c:v>59.004903769841263</c:v>
                </c:pt>
                <c:pt idx="418">
                  <c:v>59.298908730158722</c:v>
                </c:pt>
                <c:pt idx="419">
                  <c:v>59.593381944444438</c:v>
                </c:pt>
                <c:pt idx="420">
                  <c:v>59.902028769841266</c:v>
                </c:pt>
                <c:pt idx="421">
                  <c:v>60.200600198412694</c:v>
                </c:pt>
                <c:pt idx="422">
                  <c:v>60.499588293650788</c:v>
                </c:pt>
                <c:pt idx="423">
                  <c:v>60.798993055555549</c:v>
                </c:pt>
                <c:pt idx="424">
                  <c:v>61.099052579365072</c:v>
                </c:pt>
                <c:pt idx="425">
                  <c:v>61.393408730158725</c:v>
                </c:pt>
                <c:pt idx="426">
                  <c:v>61.667262896825392</c:v>
                </c:pt>
                <c:pt idx="427">
                  <c:v>61.956629960317457</c:v>
                </c:pt>
                <c:pt idx="428">
                  <c:v>62.151049603174599</c:v>
                </c:pt>
                <c:pt idx="429">
                  <c:v>62.435710317460313</c:v>
                </c:pt>
                <c:pt idx="430">
                  <c:v>62.729773809523806</c:v>
                </c:pt>
                <c:pt idx="431">
                  <c:v>63.013642857142855</c:v>
                </c:pt>
                <c:pt idx="432">
                  <c:v>63.298247023809523</c:v>
                </c:pt>
                <c:pt idx="433">
                  <c:v>63.587671626984125</c:v>
                </c:pt>
                <c:pt idx="434">
                  <c:v>63.877268849206345</c:v>
                </c:pt>
                <c:pt idx="435">
                  <c:v>64.171917658730152</c:v>
                </c:pt>
                <c:pt idx="436">
                  <c:v>64.46180257936507</c:v>
                </c:pt>
                <c:pt idx="437">
                  <c:v>64.751399801587297</c:v>
                </c:pt>
                <c:pt idx="438">
                  <c:v>65.045404761904763</c:v>
                </c:pt>
                <c:pt idx="439">
                  <c:v>65.324293650793649</c:v>
                </c:pt>
                <c:pt idx="440">
                  <c:v>65.593597222222215</c:v>
                </c:pt>
                <c:pt idx="441">
                  <c:v>65.723081349206339</c:v>
                </c:pt>
                <c:pt idx="442">
                  <c:v>66.002081349206335</c:v>
                </c:pt>
                <c:pt idx="443">
                  <c:v>66.330902777777766</c:v>
                </c:pt>
                <c:pt idx="444">
                  <c:v>66.624322420634911</c:v>
                </c:pt>
                <c:pt idx="445">
                  <c:v>66.923965277777768</c:v>
                </c:pt>
                <c:pt idx="446">
                  <c:v>67.223429563492047</c:v>
                </c:pt>
                <c:pt idx="447">
                  <c:v>67.52247718253966</c:v>
                </c:pt>
                <c:pt idx="448">
                  <c:v>67.761524801587285</c:v>
                </c:pt>
                <c:pt idx="449">
                  <c:v>68.061108134920616</c:v>
                </c:pt>
                <c:pt idx="450">
                  <c:v>68.350417658730137</c:v>
                </c:pt>
                <c:pt idx="451">
                  <c:v>68.640072420634894</c:v>
                </c:pt>
                <c:pt idx="452">
                  <c:v>68.929266865079342</c:v>
                </c:pt>
                <c:pt idx="453">
                  <c:v>69.218461309523789</c:v>
                </c:pt>
                <c:pt idx="454">
                  <c:v>69.507540674603149</c:v>
                </c:pt>
                <c:pt idx="455">
                  <c:v>69.791918650793619</c:v>
                </c:pt>
                <c:pt idx="456">
                  <c:v>70.0863333333333</c:v>
                </c:pt>
                <c:pt idx="457">
                  <c:v>70.296291666666633</c:v>
                </c:pt>
                <c:pt idx="475">
                  <c:v>70.576654761904734</c:v>
                </c:pt>
                <c:pt idx="476">
                  <c:v>70.674988095238064</c:v>
                </c:pt>
                <c:pt idx="477">
                  <c:v>70.91707142857139</c:v>
                </c:pt>
                <c:pt idx="478">
                  <c:v>71.128445436507903</c:v>
                </c:pt>
                <c:pt idx="479">
                  <c:v>71.409034722222188</c:v>
                </c:pt>
                <c:pt idx="480">
                  <c:v>71.689058531745999</c:v>
                </c:pt>
                <c:pt idx="481">
                  <c:v>71.963836309523771</c:v>
                </c:pt>
                <c:pt idx="482">
                  <c:v>72.239391865079327</c:v>
                </c:pt>
                <c:pt idx="483">
                  <c:v>72.524673611111069</c:v>
                </c:pt>
                <c:pt idx="484">
                  <c:v>72.780288690476155</c:v>
                </c:pt>
                <c:pt idx="485">
                  <c:v>73.070079365079323</c:v>
                </c:pt>
                <c:pt idx="486">
                  <c:v>73.365853174603131</c:v>
                </c:pt>
                <c:pt idx="487">
                  <c:v>73.567477182539633</c:v>
                </c:pt>
                <c:pt idx="488">
                  <c:v>73.666048611111066</c:v>
                </c:pt>
                <c:pt idx="489">
                  <c:v>73.961643849206297</c:v>
                </c:pt>
                <c:pt idx="490">
                  <c:v>74.208072420634863</c:v>
                </c:pt>
                <c:pt idx="491">
                  <c:v>74.444453373015818</c:v>
                </c:pt>
                <c:pt idx="492">
                  <c:v>74.74004861111105</c:v>
                </c:pt>
                <c:pt idx="493">
                  <c:v>75.045927579365014</c:v>
                </c:pt>
                <c:pt idx="494">
                  <c:v>75.341344246031682</c:v>
                </c:pt>
                <c:pt idx="495">
                  <c:v>75.587971230158672</c:v>
                </c:pt>
                <c:pt idx="496">
                  <c:v>75.883149801587237</c:v>
                </c:pt>
                <c:pt idx="497">
                  <c:v>76.17886408730152</c:v>
                </c:pt>
                <c:pt idx="498">
                  <c:v>76.470644841269774</c:v>
                </c:pt>
                <c:pt idx="499">
                  <c:v>76.722659722222161</c:v>
                </c:pt>
                <c:pt idx="500">
                  <c:v>76.939997023809468</c:v>
                </c:pt>
                <c:pt idx="501">
                  <c:v>77.152821428571372</c:v>
                </c:pt>
                <c:pt idx="502">
                  <c:v>77.430043650793593</c:v>
                </c:pt>
                <c:pt idx="503">
                  <c:v>77.721122023809471</c:v>
                </c:pt>
                <c:pt idx="504">
                  <c:v>78.008647817460272</c:v>
                </c:pt>
                <c:pt idx="505">
                  <c:v>78.310985119047572</c:v>
                </c:pt>
                <c:pt idx="506">
                  <c:v>78.602122023809471</c:v>
                </c:pt>
                <c:pt idx="507">
                  <c:v>78.894078373015816</c:v>
                </c:pt>
                <c:pt idx="508">
                  <c:v>79.141399801587241</c:v>
                </c:pt>
                <c:pt idx="509">
                  <c:v>79.413562499999941</c:v>
                </c:pt>
                <c:pt idx="510">
                  <c:v>79.709217261904698</c:v>
                </c:pt>
                <c:pt idx="511">
                  <c:v>80.001583333333272</c:v>
                </c:pt>
                <c:pt idx="512">
                  <c:v>80.293305555555492</c:v>
                </c:pt>
                <c:pt idx="513">
                  <c:v>80.550880952380894</c:v>
                </c:pt>
                <c:pt idx="514">
                  <c:v>80.817666666666611</c:v>
                </c:pt>
                <c:pt idx="520">
                  <c:v>81.11480952380947</c:v>
                </c:pt>
                <c:pt idx="521">
                  <c:v>81.1493928571428</c:v>
                </c:pt>
                <c:pt idx="523">
                  <c:v>81.440083333333277</c:v>
                </c:pt>
                <c:pt idx="524">
                  <c:v>81.700186507936451</c:v>
                </c:pt>
                <c:pt idx="527">
                  <c:v>82.004944444444391</c:v>
                </c:pt>
                <c:pt idx="528">
                  <c:v>82.279780753968197</c:v>
                </c:pt>
                <c:pt idx="529">
                  <c:v>82.580375992063438</c:v>
                </c:pt>
                <c:pt idx="530">
                  <c:v>82.880733134920575</c:v>
                </c:pt>
                <c:pt idx="531">
                  <c:v>83.191286706349146</c:v>
                </c:pt>
                <c:pt idx="532">
                  <c:v>83.45169940476184</c:v>
                </c:pt>
                <c:pt idx="533">
                  <c:v>83.516763888888818</c:v>
                </c:pt>
                <c:pt idx="534">
                  <c:v>83.842086309523737</c:v>
                </c:pt>
                <c:pt idx="535">
                  <c:v>84.131856150793581</c:v>
                </c:pt>
                <c:pt idx="536">
                  <c:v>84.417138888888815</c:v>
                </c:pt>
                <c:pt idx="537">
                  <c:v>84.586869047618976</c:v>
                </c:pt>
                <c:pt idx="538">
                  <c:v>84.885619047618974</c:v>
                </c:pt>
                <c:pt idx="539">
                  <c:v>84.980336309523736</c:v>
                </c:pt>
                <c:pt idx="540">
                  <c:v>85.005380952380875</c:v>
                </c:pt>
                <c:pt idx="541">
                  <c:v>85.255380952380875</c:v>
                </c:pt>
                <c:pt idx="542">
                  <c:v>85.550790674603093</c:v>
                </c:pt>
                <c:pt idx="543">
                  <c:v>85.820897817460235</c:v>
                </c:pt>
                <c:pt idx="544">
                  <c:v>85.950717261904686</c:v>
                </c:pt>
                <c:pt idx="545">
                  <c:v>86.246009920634847</c:v>
                </c:pt>
                <c:pt idx="546">
                  <c:v>86.540658730158654</c:v>
                </c:pt>
                <c:pt idx="547">
                  <c:v>86.840003968253896</c:v>
                </c:pt>
                <c:pt idx="548">
                  <c:v>87.130406746031667</c:v>
                </c:pt>
                <c:pt idx="549">
                  <c:v>87.430228174603101</c:v>
                </c:pt>
                <c:pt idx="550">
                  <c:v>87.729513888888818</c:v>
                </c:pt>
                <c:pt idx="571">
                  <c:v>87.78951388888882</c:v>
                </c:pt>
                <c:pt idx="572">
                  <c:v>88.089454365079291</c:v>
                </c:pt>
                <c:pt idx="573">
                  <c:v>88.384220238095168</c:v>
                </c:pt>
                <c:pt idx="574">
                  <c:v>88.683982142857076</c:v>
                </c:pt>
                <c:pt idx="575">
                  <c:v>88.98380357142851</c:v>
                </c:pt>
                <c:pt idx="576">
                  <c:v>89.283446428571366</c:v>
                </c:pt>
                <c:pt idx="577">
                  <c:v>89.583029761904697</c:v>
                </c:pt>
                <c:pt idx="578">
                  <c:v>89.873950396825336</c:v>
                </c:pt>
                <c:pt idx="579">
                  <c:v>90.168306547618982</c:v>
                </c:pt>
                <c:pt idx="580">
                  <c:v>90.468366071428505</c:v>
                </c:pt>
                <c:pt idx="581">
                  <c:v>90.763424603174542</c:v>
                </c:pt>
                <c:pt idx="582">
                  <c:v>91.063900793650731</c:v>
                </c:pt>
                <c:pt idx="583">
                  <c:v>91.364079365079306</c:v>
                </c:pt>
                <c:pt idx="584">
                  <c:v>91.658494047618987</c:v>
                </c:pt>
                <c:pt idx="585">
                  <c:v>91.958613095238036</c:v>
                </c:pt>
                <c:pt idx="586">
                  <c:v>92.253320436507877</c:v>
                </c:pt>
                <c:pt idx="587">
                  <c:v>92.553260912698349</c:v>
                </c:pt>
                <c:pt idx="588">
                  <c:v>92.838317460317398</c:v>
                </c:pt>
                <c:pt idx="589">
                  <c:v>93.098265873015805</c:v>
                </c:pt>
                <c:pt idx="590">
                  <c:v>93.383548611111038</c:v>
                </c:pt>
                <c:pt idx="591">
                  <c:v>93.633846230158653</c:v>
                </c:pt>
                <c:pt idx="592">
                  <c:v>93.929899801587226</c:v>
                </c:pt>
                <c:pt idx="593">
                  <c:v>94.224314484126907</c:v>
                </c:pt>
                <c:pt idx="594">
                  <c:v>94.524433531745956</c:v>
                </c:pt>
                <c:pt idx="595">
                  <c:v>94.818848214285637</c:v>
                </c:pt>
                <c:pt idx="596">
                  <c:v>95.117955357142776</c:v>
                </c:pt>
                <c:pt idx="597">
                  <c:v>95.422713293650716</c:v>
                </c:pt>
                <c:pt idx="598">
                  <c:v>95.72312996031738</c:v>
                </c:pt>
                <c:pt idx="599">
                  <c:v>96.0138779761904</c:v>
                </c:pt>
                <c:pt idx="600">
                  <c:v>96.313818452380872</c:v>
                </c:pt>
                <c:pt idx="601">
                  <c:v>96.613877976190395</c:v>
                </c:pt>
                <c:pt idx="602">
                  <c:v>96.908819444444362</c:v>
                </c:pt>
                <c:pt idx="603">
                  <c:v>97.203409722222133</c:v>
                </c:pt>
                <c:pt idx="604">
                  <c:v>97.49864384920626</c:v>
                </c:pt>
                <c:pt idx="605">
                  <c:v>97.793526785714192</c:v>
                </c:pt>
                <c:pt idx="606">
                  <c:v>98.088585317460229</c:v>
                </c:pt>
                <c:pt idx="607">
                  <c:v>98.383526785714196</c:v>
                </c:pt>
                <c:pt idx="608">
                  <c:v>98.673584325396732</c:v>
                </c:pt>
                <c:pt idx="609">
                  <c:v>98.969286706349109</c:v>
                </c:pt>
                <c:pt idx="610">
                  <c:v>99.269465277777684</c:v>
                </c:pt>
                <c:pt idx="611">
                  <c:v>99.544683531745932</c:v>
                </c:pt>
                <c:pt idx="612">
                  <c:v>99.784874007936409</c:v>
                </c:pt>
                <c:pt idx="613">
                  <c:v>100.08016666666657</c:v>
                </c:pt>
                <c:pt idx="614">
                  <c:v>100.37528373015863</c:v>
                </c:pt>
                <c:pt idx="615">
                  <c:v>100.67127876984117</c:v>
                </c:pt>
                <c:pt idx="616">
                  <c:v>100.96715674603165</c:v>
                </c:pt>
                <c:pt idx="617">
                  <c:v>101.08229365079356</c:v>
                </c:pt>
                <c:pt idx="621">
                  <c:v>101.38211507936499</c:v>
                </c:pt>
                <c:pt idx="622">
                  <c:v>101.68778075396817</c:v>
                </c:pt>
                <c:pt idx="623">
                  <c:v>101.9980267857142</c:v>
                </c:pt>
                <c:pt idx="624">
                  <c:v>102.29814583333325</c:v>
                </c:pt>
                <c:pt idx="625">
                  <c:v>102.59886011904754</c:v>
                </c:pt>
                <c:pt idx="626">
                  <c:v>102.89856249999993</c:v>
                </c:pt>
                <c:pt idx="627">
                  <c:v>103.19868154761897</c:v>
                </c:pt>
                <c:pt idx="628">
                  <c:v>103.45373214285706</c:v>
                </c:pt>
                <c:pt idx="629">
                  <c:v>103.74413492063483</c:v>
                </c:pt>
                <c:pt idx="630">
                  <c:v>103.80418253968246</c:v>
                </c:pt>
                <c:pt idx="631">
                  <c:v>104.09929960317452</c:v>
                </c:pt>
                <c:pt idx="632">
                  <c:v>104.39918055555546</c:v>
                </c:pt>
                <c:pt idx="633">
                  <c:v>104.47401686507926</c:v>
                </c:pt>
                <c:pt idx="634">
                  <c:v>104.76930952380943</c:v>
                </c:pt>
                <c:pt idx="635">
                  <c:v>105.06930952380942</c:v>
                </c:pt>
                <c:pt idx="636">
                  <c:v>105.17917857142847</c:v>
                </c:pt>
                <c:pt idx="637">
                  <c:v>105.45477876984117</c:v>
                </c:pt>
                <c:pt idx="653">
                  <c:v>105.74938194444434</c:v>
                </c:pt>
                <c:pt idx="654">
                  <c:v>106.04859623015862</c:v>
                </c:pt>
                <c:pt idx="655">
                  <c:v>106.34868849206339</c:v>
                </c:pt>
                <c:pt idx="659">
                  <c:v>106.62270634920624</c:v>
                </c:pt>
                <c:pt idx="660">
                  <c:v>106.92740873015862</c:v>
                </c:pt>
                <c:pt idx="661">
                  <c:v>107.22241468253956</c:v>
                </c:pt>
                <c:pt idx="662">
                  <c:v>107.51097718253956</c:v>
                </c:pt>
                <c:pt idx="663">
                  <c:v>107.81153769841258</c:v>
                </c:pt>
                <c:pt idx="664">
                  <c:v>108.10596825396813</c:v>
                </c:pt>
                <c:pt idx="665">
                  <c:v>108.39526587301575</c:v>
                </c:pt>
                <c:pt idx="666">
                  <c:v>108.53729365079353</c:v>
                </c:pt>
                <c:pt idx="667">
                  <c:v>108.84707440476178</c:v>
                </c:pt>
                <c:pt idx="668">
                  <c:v>109.14075694444432</c:v>
                </c:pt>
                <c:pt idx="669">
                  <c:v>109.42971527777765</c:v>
                </c:pt>
                <c:pt idx="670">
                  <c:v>109.73406051587288</c:v>
                </c:pt>
                <c:pt idx="671">
                  <c:v>110.018171626984</c:v>
                </c:pt>
                <c:pt idx="672">
                  <c:v>110.32233829365066</c:v>
                </c:pt>
                <c:pt idx="673">
                  <c:v>110.62602876984114</c:v>
                </c:pt>
                <c:pt idx="674">
                  <c:v>110.93556746031733</c:v>
                </c:pt>
                <c:pt idx="675">
                  <c:v>111.13319841269828</c:v>
                </c:pt>
                <c:pt idx="676">
                  <c:v>111.4372460317459</c:v>
                </c:pt>
                <c:pt idx="677">
                  <c:v>111.74165079365066</c:v>
                </c:pt>
                <c:pt idx="678">
                  <c:v>112.04063095238082</c:v>
                </c:pt>
                <c:pt idx="679">
                  <c:v>112.3401964285713</c:v>
                </c:pt>
                <c:pt idx="680">
                  <c:v>112.63941071428559</c:v>
                </c:pt>
                <c:pt idx="681">
                  <c:v>112.70024404761892</c:v>
                </c:pt>
                <c:pt idx="682">
                  <c:v>112.97879067460305</c:v>
                </c:pt>
                <c:pt idx="683">
                  <c:v>113.27859027777765</c:v>
                </c:pt>
                <c:pt idx="684">
                  <c:v>113.57307837301575</c:v>
                </c:pt>
                <c:pt idx="685">
                  <c:v>113.86681845238083</c:v>
                </c:pt>
                <c:pt idx="686">
                  <c:v>114.16055853174591</c:v>
                </c:pt>
                <c:pt idx="687">
                  <c:v>114.47547916666655</c:v>
                </c:pt>
                <c:pt idx="688">
                  <c:v>114.77486904761892</c:v>
                </c:pt>
                <c:pt idx="689">
                  <c:v>115.07915476190463</c:v>
                </c:pt>
                <c:pt idx="690">
                  <c:v>115.38338095238082</c:v>
                </c:pt>
                <c:pt idx="691">
                  <c:v>115.71283035714272</c:v>
                </c:pt>
                <c:pt idx="692">
                  <c:v>115.83959126984114</c:v>
                </c:pt>
                <c:pt idx="693">
                  <c:v>116.13892261904749</c:v>
                </c:pt>
                <c:pt idx="694">
                  <c:v>116.44416071428559</c:v>
                </c:pt>
                <c:pt idx="695">
                  <c:v>116.74314087301575</c:v>
                </c:pt>
                <c:pt idx="698">
                  <c:v>117.0467718253967</c:v>
                </c:pt>
                <c:pt idx="699">
                  <c:v>117.35123611111099</c:v>
                </c:pt>
                <c:pt idx="700">
                  <c:v>117.65570039682528</c:v>
                </c:pt>
                <c:pt idx="701">
                  <c:v>117.95992658730147</c:v>
                </c:pt>
                <c:pt idx="702">
                  <c:v>118.26415277777765</c:v>
                </c:pt>
                <c:pt idx="703">
                  <c:v>118.55846825396813</c:v>
                </c:pt>
                <c:pt idx="704">
                  <c:v>118.85785813492051</c:v>
                </c:pt>
                <c:pt idx="705">
                  <c:v>119.15748214285701</c:v>
                </c:pt>
                <c:pt idx="706">
                  <c:v>119.4614702380951</c:v>
                </c:pt>
                <c:pt idx="707">
                  <c:v>119.76074305555542</c:v>
                </c:pt>
                <c:pt idx="708">
                  <c:v>120.05004067460304</c:v>
                </c:pt>
                <c:pt idx="709">
                  <c:v>120.11616269841257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48256"/>
        <c:axId val="262450176"/>
      </c:scatterChart>
      <c:valAx>
        <c:axId val="262448256"/>
        <c:scaling>
          <c:orientation val="minMax"/>
          <c:max val="43159"/>
          <c:min val="43117"/>
        </c:scaling>
        <c:delete val="0"/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altLang="ja-JP" sz="2400"/>
                  <a:t>date</a:t>
                </a:r>
                <a:endParaRPr lang="ja-JP" altLang="en-US" sz="2400"/>
              </a:p>
            </c:rich>
          </c:tx>
          <c:layout>
            <c:manualLayout>
              <c:xMode val="edge"/>
              <c:yMode val="edge"/>
              <c:x val="0.51889364794889548"/>
              <c:y val="0.91354502818295247"/>
            </c:manualLayout>
          </c:layout>
          <c:overlay val="0"/>
        </c:title>
        <c:numFmt formatCode="m/d/yyyy" sourceLinked="0"/>
        <c:majorTickMark val="out"/>
        <c:minorTickMark val="none"/>
        <c:tickLblPos val="nextTo"/>
        <c:txPr>
          <a:bodyPr rot="540000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62450176"/>
        <c:crosses val="autoZero"/>
        <c:crossBetween val="midCat"/>
        <c:majorUnit val="7"/>
        <c:minorUnit val="1"/>
      </c:valAx>
      <c:valAx>
        <c:axId val="262450176"/>
        <c:scaling>
          <c:orientation val="minMax"/>
          <c:max val="140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/>
                </a:pPr>
                <a:r>
                  <a:rPr lang="en-US" altLang="ja-JP" sz="2400"/>
                  <a:t>integrated</a:t>
                </a:r>
                <a:r>
                  <a:rPr lang="en-US" altLang="ja-JP" sz="2400" baseline="0"/>
                  <a:t> "kW*week"</a:t>
                </a:r>
                <a:endParaRPr lang="ja-JP" altLang="en-US" sz="2400"/>
              </a:p>
            </c:rich>
          </c:tx>
          <c:layout>
            <c:manualLayout>
              <c:xMode val="edge"/>
              <c:yMode val="edge"/>
              <c:x val="1.4990177801454235E-2"/>
              <c:y val="0.12881290592641187"/>
            </c:manualLayout>
          </c:layout>
          <c:overlay val="0"/>
        </c:title>
        <c:numFmt formatCode="#,##0_);[Red]\(#,##0\)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>
              <a:defRPr sz="1600"/>
            </a:pPr>
            <a:endParaRPr lang="ja-JP"/>
          </a:p>
        </c:txPr>
        <c:crossAx val="262448256"/>
        <c:crosses val="autoZero"/>
        <c:crossBetween val="midCat"/>
      </c:valAx>
      <c:spPr>
        <a:ln>
          <a:prstDash val="dash"/>
        </a:ln>
      </c:spPr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4293305338138"/>
          <c:y val="4.3169912528588178E-2"/>
          <c:w val="0.77285367321138765"/>
          <c:h val="0.6961132321559238"/>
        </c:manualLayout>
      </c:layout>
      <c:scatterChart>
        <c:scatterStyle val="lineMarker"/>
        <c:varyColors val="0"/>
        <c:ser>
          <c:idx val="0"/>
          <c:order val="0"/>
          <c:tx>
            <c:v>K/pi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summary!$F$105:$F$900</c:f>
              <c:numCache>
                <c:formatCode>yyyy/m/d\ h:mm;@</c:formatCode>
                <c:ptCount val="796"/>
                <c:pt idx="0">
                  <c:v>43119.882754629631</c:v>
                </c:pt>
                <c:pt idx="1">
                  <c:v>43119.92491898148</c:v>
                </c:pt>
                <c:pt idx="2">
                  <c:v>43119.96671296296</c:v>
                </c:pt>
                <c:pt idx="3">
                  <c:v>43120.011238425926</c:v>
                </c:pt>
                <c:pt idx="4">
                  <c:v>43120.012962962966</c:v>
                </c:pt>
                <c:pt idx="5">
                  <c:v>43120.014606481483</c:v>
                </c:pt>
                <c:pt idx="6">
                  <c:v>43120.016388888886</c:v>
                </c:pt>
                <c:pt idx="7">
                  <c:v>43120.017997685187</c:v>
                </c:pt>
                <c:pt idx="8">
                  <c:v>43120.019456018519</c:v>
                </c:pt>
                <c:pt idx="9">
                  <c:v>43120.021134259259</c:v>
                </c:pt>
                <c:pt idx="10">
                  <c:v>43120.022881944446</c:v>
                </c:pt>
                <c:pt idx="11">
                  <c:v>43120.024363425924</c:v>
                </c:pt>
                <c:pt idx="12">
                  <c:v>43120.02616898148</c:v>
                </c:pt>
                <c:pt idx="16">
                  <c:v>43120.030173611114</c:v>
                </c:pt>
                <c:pt idx="17">
                  <c:v>43120.043587962966</c:v>
                </c:pt>
                <c:pt idx="18">
                  <c:v>43120.061064814814</c:v>
                </c:pt>
                <c:pt idx="19">
                  <c:v>43120.064293981479</c:v>
                </c:pt>
                <c:pt idx="21">
                  <c:v>43120.070844907408</c:v>
                </c:pt>
                <c:pt idx="22">
                  <c:v>43120.083958333336</c:v>
                </c:pt>
                <c:pt idx="23">
                  <c:v>43120.125138888892</c:v>
                </c:pt>
                <c:pt idx="24">
                  <c:v>43120.166712962964</c:v>
                </c:pt>
                <c:pt idx="25">
                  <c:v>43120.171886574077</c:v>
                </c:pt>
                <c:pt idx="26">
                  <c:v>43120.212754629632</c:v>
                </c:pt>
                <c:pt idx="27">
                  <c:v>43120.251736111109</c:v>
                </c:pt>
                <c:pt idx="28">
                  <c:v>43120.290949074071</c:v>
                </c:pt>
                <c:pt idx="29">
                  <c:v>43120.330011574071</c:v>
                </c:pt>
                <c:pt idx="31">
                  <c:v>43125.995115740741</c:v>
                </c:pt>
                <c:pt idx="32">
                  <c:v>43125.998842592591</c:v>
                </c:pt>
                <c:pt idx="33">
                  <c:v>43126.001655092594</c:v>
                </c:pt>
                <c:pt idx="34">
                  <c:v>43126.010787037034</c:v>
                </c:pt>
                <c:pt idx="35">
                  <c:v>43126.01290509259</c:v>
                </c:pt>
                <c:pt idx="36">
                  <c:v>43126.014664351853</c:v>
                </c:pt>
                <c:pt idx="37">
                  <c:v>43126.016226851854</c:v>
                </c:pt>
                <c:pt idx="38">
                  <c:v>43126.018252314818</c:v>
                </c:pt>
                <c:pt idx="39">
                  <c:v>43126.019918981481</c:v>
                </c:pt>
                <c:pt idx="40">
                  <c:v>43126.022233796299</c:v>
                </c:pt>
                <c:pt idx="41">
                  <c:v>43126.024189814816</c:v>
                </c:pt>
                <c:pt idx="42">
                  <c:v>43126.025868055556</c:v>
                </c:pt>
                <c:pt idx="43">
                  <c:v>43126.027662037035</c:v>
                </c:pt>
                <c:pt idx="44">
                  <c:v>43126.029386574075</c:v>
                </c:pt>
                <c:pt idx="45">
                  <c:v>43126.032835648148</c:v>
                </c:pt>
                <c:pt idx="46">
                  <c:v>43126.074664351851</c:v>
                </c:pt>
                <c:pt idx="47">
                  <c:v>43126.090682870374</c:v>
                </c:pt>
                <c:pt idx="48">
                  <c:v>43126.109907407408</c:v>
                </c:pt>
                <c:pt idx="49">
                  <c:v>43126.12667824074</c:v>
                </c:pt>
                <c:pt idx="50">
                  <c:v>43126.167118055557</c:v>
                </c:pt>
                <c:pt idx="51">
                  <c:v>43126.181620370371</c:v>
                </c:pt>
                <c:pt idx="52">
                  <c:v>43126.222372685188</c:v>
                </c:pt>
                <c:pt idx="53">
                  <c:v>43126.264699074076</c:v>
                </c:pt>
                <c:pt idx="54">
                  <c:v>43126.306111111109</c:v>
                </c:pt>
                <c:pt idx="55">
                  <c:v>43126.353391203702</c:v>
                </c:pt>
                <c:pt idx="56">
                  <c:v>43126.39439814815</c:v>
                </c:pt>
                <c:pt idx="60">
                  <c:v>43126.806504629632</c:v>
                </c:pt>
                <c:pt idx="61">
                  <c:v>43126.856111111112</c:v>
                </c:pt>
                <c:pt idx="62">
                  <c:v>43126.861585648148</c:v>
                </c:pt>
                <c:pt idx="63">
                  <c:v>43126.98159722222</c:v>
                </c:pt>
                <c:pt idx="64">
                  <c:v>43126.983807870369</c:v>
                </c:pt>
                <c:pt idx="65">
                  <c:v>43127.004930555559</c:v>
                </c:pt>
                <c:pt idx="66">
                  <c:v>43127.008275462962</c:v>
                </c:pt>
                <c:pt idx="67">
                  <c:v>43127.009340277778</c:v>
                </c:pt>
                <c:pt idx="68">
                  <c:v>43127.010474537034</c:v>
                </c:pt>
                <c:pt idx="69">
                  <c:v>43127.011122685188</c:v>
                </c:pt>
                <c:pt idx="70">
                  <c:v>43127.011122685188</c:v>
                </c:pt>
                <c:pt idx="71">
                  <c:v>43127.011122685188</c:v>
                </c:pt>
                <c:pt idx="72">
                  <c:v>43127.015219907407</c:v>
                </c:pt>
                <c:pt idx="73">
                  <c:v>43127.015219907407</c:v>
                </c:pt>
                <c:pt idx="74">
                  <c:v>43127.015219907407</c:v>
                </c:pt>
                <c:pt idx="75">
                  <c:v>43127.015219907407</c:v>
                </c:pt>
                <c:pt idx="76">
                  <c:v>43127.015219907407</c:v>
                </c:pt>
                <c:pt idx="77">
                  <c:v>43127.015219907407</c:v>
                </c:pt>
                <c:pt idx="78">
                  <c:v>43127.015219907407</c:v>
                </c:pt>
                <c:pt idx="79">
                  <c:v>43127.015219907407</c:v>
                </c:pt>
                <c:pt idx="80">
                  <c:v>43127.015219907407</c:v>
                </c:pt>
                <c:pt idx="81">
                  <c:v>43127.015219907407</c:v>
                </c:pt>
                <c:pt idx="82">
                  <c:v>43127.015219907407</c:v>
                </c:pt>
                <c:pt idx="83">
                  <c:v>43127.015219907407</c:v>
                </c:pt>
                <c:pt idx="84">
                  <c:v>43127.027754629627</c:v>
                </c:pt>
                <c:pt idx="85">
                  <c:v>43127.032465277778</c:v>
                </c:pt>
                <c:pt idx="86">
                  <c:v>43127.039537037039</c:v>
                </c:pt>
                <c:pt idx="87">
                  <c:v>43127.080370370371</c:v>
                </c:pt>
                <c:pt idx="88">
                  <c:v>43127.126342592594</c:v>
                </c:pt>
                <c:pt idx="89">
                  <c:v>43127.158472222225</c:v>
                </c:pt>
                <c:pt idx="91">
                  <c:v>43127.191041666665</c:v>
                </c:pt>
                <c:pt idx="92">
                  <c:v>43127.199293981481</c:v>
                </c:pt>
                <c:pt idx="93">
                  <c:v>43127.207175925927</c:v>
                </c:pt>
                <c:pt idx="94">
                  <c:v>43127.213229166664</c:v>
                </c:pt>
                <c:pt idx="95">
                  <c:v>43127.24559027778</c:v>
                </c:pt>
                <c:pt idx="96">
                  <c:v>43127.264490740738</c:v>
                </c:pt>
                <c:pt idx="97">
                  <c:v>43127.307210648149</c:v>
                </c:pt>
                <c:pt idx="98">
                  <c:v>43127.35019675926</c:v>
                </c:pt>
                <c:pt idx="99">
                  <c:v>43127.438900462963</c:v>
                </c:pt>
                <c:pt idx="100">
                  <c:v>43128.004930555559</c:v>
                </c:pt>
                <c:pt idx="101">
                  <c:v>43128.007662037038</c:v>
                </c:pt>
                <c:pt idx="102">
                  <c:v>43128.01421296296</c:v>
                </c:pt>
                <c:pt idx="103">
                  <c:v>43128.015451388892</c:v>
                </c:pt>
                <c:pt idx="104">
                  <c:v>43128.016967592594</c:v>
                </c:pt>
                <c:pt idx="105">
                  <c:v>43128.01840277778</c:v>
                </c:pt>
                <c:pt idx="106">
                  <c:v>43128.019826388889</c:v>
                </c:pt>
                <c:pt idx="107">
                  <c:v>43128.021180555559</c:v>
                </c:pt>
                <c:pt idx="108">
                  <c:v>43128.022615740738</c:v>
                </c:pt>
                <c:pt idx="109">
                  <c:v>43128.024236111109</c:v>
                </c:pt>
                <c:pt idx="110">
                  <c:v>43128.025659722225</c:v>
                </c:pt>
                <c:pt idx="111">
                  <c:v>43128.027118055557</c:v>
                </c:pt>
                <c:pt idx="112">
                  <c:v>43128.028495370374</c:v>
                </c:pt>
                <c:pt idx="113">
                  <c:v>43128.030173611114</c:v>
                </c:pt>
                <c:pt idx="114">
                  <c:v>43128.034456018519</c:v>
                </c:pt>
                <c:pt idx="115">
                  <c:v>43128.092060185183</c:v>
                </c:pt>
                <c:pt idx="116">
                  <c:v>43128.133576388886</c:v>
                </c:pt>
                <c:pt idx="117">
                  <c:v>43128.175833333335</c:v>
                </c:pt>
                <c:pt idx="118">
                  <c:v>43128.217534722222</c:v>
                </c:pt>
                <c:pt idx="119">
                  <c:v>43128.259074074071</c:v>
                </c:pt>
                <c:pt idx="120">
                  <c:v>43128.324143518519</c:v>
                </c:pt>
                <c:pt idx="121">
                  <c:v>43128.366157407407</c:v>
                </c:pt>
                <c:pt idx="122">
                  <c:v>43128.407152777778</c:v>
                </c:pt>
                <c:pt idx="123">
                  <c:v>43128.452488425923</c:v>
                </c:pt>
                <c:pt idx="124">
                  <c:v>43128.492673611108</c:v>
                </c:pt>
                <c:pt idx="125">
                  <c:v>43128.534317129626</c:v>
                </c:pt>
                <c:pt idx="126">
                  <c:v>43128.577048611114</c:v>
                </c:pt>
                <c:pt idx="127">
                  <c:v>43128.618530092594</c:v>
                </c:pt>
                <c:pt idx="128">
                  <c:v>43128.660162037035</c:v>
                </c:pt>
                <c:pt idx="129">
                  <c:v>43128.702118055553</c:v>
                </c:pt>
                <c:pt idx="130">
                  <c:v>43128.744247685187</c:v>
                </c:pt>
                <c:pt idx="131">
                  <c:v>43128.78597222222</c:v>
                </c:pt>
                <c:pt idx="132">
                  <c:v>43128.828321759262</c:v>
                </c:pt>
                <c:pt idx="133">
                  <c:v>43128.869571759256</c:v>
                </c:pt>
                <c:pt idx="134">
                  <c:v>43128.912199074075</c:v>
                </c:pt>
                <c:pt idx="135">
                  <c:v>43128.954513888886</c:v>
                </c:pt>
                <c:pt idx="136">
                  <c:v>43128.996805555558</c:v>
                </c:pt>
                <c:pt idx="137">
                  <c:v>43129.037326388891</c:v>
                </c:pt>
                <c:pt idx="138">
                  <c:v>43129.0780787037</c:v>
                </c:pt>
                <c:pt idx="139">
                  <c:v>43129.125717592593</c:v>
                </c:pt>
                <c:pt idx="140">
                  <c:v>43129.170717592591</c:v>
                </c:pt>
                <c:pt idx="141">
                  <c:v>43129.23537037037</c:v>
                </c:pt>
                <c:pt idx="142">
                  <c:v>43129.276574074072</c:v>
                </c:pt>
                <c:pt idx="143">
                  <c:v>43129.317835648151</c:v>
                </c:pt>
                <c:pt idx="144">
                  <c:v>43129.3590625</c:v>
                </c:pt>
                <c:pt idx="145">
                  <c:v>43129.404432870368</c:v>
                </c:pt>
                <c:pt idx="146">
                  <c:v>43129.447094907409</c:v>
                </c:pt>
                <c:pt idx="147">
                  <c:v>43129.491863425923</c:v>
                </c:pt>
                <c:pt idx="148">
                  <c:v>43129.521145833336</c:v>
                </c:pt>
                <c:pt idx="149">
                  <c:v>43129.56354166667</c:v>
                </c:pt>
                <c:pt idx="150">
                  <c:v>43129.60491898148</c:v>
                </c:pt>
                <c:pt idx="151">
                  <c:v>43129.64707175926</c:v>
                </c:pt>
                <c:pt idx="152">
                  <c:v>43129.67765046296</c:v>
                </c:pt>
                <c:pt idx="153">
                  <c:v>43129.720289351855</c:v>
                </c:pt>
                <c:pt idx="154">
                  <c:v>43129.762800925928</c:v>
                </c:pt>
                <c:pt idx="155">
                  <c:v>43129.806493055556</c:v>
                </c:pt>
                <c:pt idx="156">
                  <c:v>43129.862638888888</c:v>
                </c:pt>
                <c:pt idx="157">
                  <c:v>43129.907534722224</c:v>
                </c:pt>
                <c:pt idx="158">
                  <c:v>43129.958379629628</c:v>
                </c:pt>
                <c:pt idx="159">
                  <c:v>43130.007673611108</c:v>
                </c:pt>
                <c:pt idx="160">
                  <c:v>43130.049560185187</c:v>
                </c:pt>
                <c:pt idx="161">
                  <c:v>43130.104386574072</c:v>
                </c:pt>
                <c:pt idx="162">
                  <c:v>43130.154953703706</c:v>
                </c:pt>
                <c:pt idx="163">
                  <c:v>43130.204270833332</c:v>
                </c:pt>
                <c:pt idx="164">
                  <c:v>43130.269837962966</c:v>
                </c:pt>
                <c:pt idx="165">
                  <c:v>43130.311122685183</c:v>
                </c:pt>
                <c:pt idx="166">
                  <c:v>43130.328344907408</c:v>
                </c:pt>
                <c:pt idx="167">
                  <c:v>43130.369502314818</c:v>
                </c:pt>
                <c:pt idx="168">
                  <c:v>43130.416990740741</c:v>
                </c:pt>
                <c:pt idx="169">
                  <c:v>43130.760405092595</c:v>
                </c:pt>
                <c:pt idx="170">
                  <c:v>43130.763958333337</c:v>
                </c:pt>
                <c:pt idx="172">
                  <c:v>43130.764606481483</c:v>
                </c:pt>
                <c:pt idx="173">
                  <c:v>43130.767800925925</c:v>
                </c:pt>
                <c:pt idx="174">
                  <c:v>43130.768900462965</c:v>
                </c:pt>
                <c:pt idx="175">
                  <c:v>43130.769062500003</c:v>
                </c:pt>
                <c:pt idx="176">
                  <c:v>43130.76971064815</c:v>
                </c:pt>
                <c:pt idx="177">
                  <c:v>43130.77140046296</c:v>
                </c:pt>
                <c:pt idx="178">
                  <c:v>43130.772233796299</c:v>
                </c:pt>
                <c:pt idx="179">
                  <c:v>43130.773726851854</c:v>
                </c:pt>
                <c:pt idx="180">
                  <c:v>43130.774652777778</c:v>
                </c:pt>
                <c:pt idx="181">
                  <c:v>43130.775277777779</c:v>
                </c:pt>
                <c:pt idx="182">
                  <c:v>43130.776076388887</c:v>
                </c:pt>
                <c:pt idx="183">
                  <c:v>43130.776782407411</c:v>
                </c:pt>
                <c:pt idx="184">
                  <c:v>43130.779340277775</c:v>
                </c:pt>
                <c:pt idx="185">
                  <c:v>43130.780150462961</c:v>
                </c:pt>
                <c:pt idx="186">
                  <c:v>43130.780891203707</c:v>
                </c:pt>
                <c:pt idx="187">
                  <c:v>43130.781608796293</c:v>
                </c:pt>
                <c:pt idx="188">
                  <c:v>43130.78230324074</c:v>
                </c:pt>
                <c:pt idx="189">
                  <c:v>43130.783321759256</c:v>
                </c:pt>
                <c:pt idx="190">
                  <c:v>43130.786030092589</c:v>
                </c:pt>
                <c:pt idx="191">
                  <c:v>43130.788854166669</c:v>
                </c:pt>
                <c:pt idx="192">
                  <c:v>43130.791631944441</c:v>
                </c:pt>
                <c:pt idx="193">
                  <c:v>43130.795694444445</c:v>
                </c:pt>
                <c:pt idx="194">
                  <c:v>43130.7971875</c:v>
                </c:pt>
                <c:pt idx="195">
                  <c:v>43130.798611111109</c:v>
                </c:pt>
                <c:pt idx="196">
                  <c:v>43130.800011574072</c:v>
                </c:pt>
                <c:pt idx="197">
                  <c:v>43130.801388888889</c:v>
                </c:pt>
                <c:pt idx="198">
                  <c:v>43130.802800925929</c:v>
                </c:pt>
                <c:pt idx="199">
                  <c:v>43130.804293981484</c:v>
                </c:pt>
                <c:pt idx="200">
                  <c:v>43130.805949074071</c:v>
                </c:pt>
                <c:pt idx="201">
                  <c:v>43130.807395833333</c:v>
                </c:pt>
                <c:pt idx="202">
                  <c:v>43130.808969907404</c:v>
                </c:pt>
                <c:pt idx="203">
                  <c:v>43130.810497685183</c:v>
                </c:pt>
                <c:pt idx="204">
                  <c:v>43130.812777777777</c:v>
                </c:pt>
                <c:pt idx="205">
                  <c:v>43130.907847222225</c:v>
                </c:pt>
                <c:pt idx="206">
                  <c:v>43130.951180555552</c:v>
                </c:pt>
                <c:pt idx="207">
                  <c:v>43131.007326388892</c:v>
                </c:pt>
                <c:pt idx="208">
                  <c:v>43131.056909722225</c:v>
                </c:pt>
                <c:pt idx="209">
                  <c:v>43131.09814814815</c:v>
                </c:pt>
                <c:pt idx="210">
                  <c:v>43131.139351851853</c:v>
                </c:pt>
                <c:pt idx="211">
                  <c:v>43131.191932870373</c:v>
                </c:pt>
                <c:pt idx="212">
                  <c:v>43131.232673611114</c:v>
                </c:pt>
                <c:pt idx="213">
                  <c:v>43131.281354166669</c:v>
                </c:pt>
                <c:pt idx="214">
                  <c:v>43131.326979166668</c:v>
                </c:pt>
                <c:pt idx="215">
                  <c:v>43132.666979166665</c:v>
                </c:pt>
                <c:pt idx="216">
                  <c:v>43132.670648148145</c:v>
                </c:pt>
                <c:pt idx="217">
                  <c:v>43132.673437500001</c:v>
                </c:pt>
                <c:pt idx="219">
                  <c:v>43132.715208333335</c:v>
                </c:pt>
                <c:pt idx="220">
                  <c:v>43132.716585648152</c:v>
                </c:pt>
                <c:pt idx="221">
                  <c:v>43132.718009259261</c:v>
                </c:pt>
                <c:pt idx="222">
                  <c:v>43132.71943287037</c:v>
                </c:pt>
                <c:pt idx="223">
                  <c:v>43132.720833333333</c:v>
                </c:pt>
                <c:pt idx="224">
                  <c:v>43132.722187500003</c:v>
                </c:pt>
                <c:pt idx="225">
                  <c:v>43132.723668981482</c:v>
                </c:pt>
                <c:pt idx="227">
                  <c:v>43132.736087962963</c:v>
                </c:pt>
                <c:pt idx="228">
                  <c:v>43132.737476851849</c:v>
                </c:pt>
                <c:pt idx="229">
                  <c:v>43132.738981481481</c:v>
                </c:pt>
                <c:pt idx="230">
                  <c:v>43132.740486111114</c:v>
                </c:pt>
                <c:pt idx="231">
                  <c:v>43132.744212962964</c:v>
                </c:pt>
                <c:pt idx="232">
                  <c:v>43132.788194444445</c:v>
                </c:pt>
                <c:pt idx="233">
                  <c:v>43132.830925925926</c:v>
                </c:pt>
                <c:pt idx="234">
                  <c:v>43132.873402777775</c:v>
                </c:pt>
                <c:pt idx="235">
                  <c:v>43132.9296412037</c:v>
                </c:pt>
                <c:pt idx="236">
                  <c:v>43132.972650462965</c:v>
                </c:pt>
                <c:pt idx="237">
                  <c:v>43133.018275462964</c:v>
                </c:pt>
                <c:pt idx="238">
                  <c:v>43133.066168981481</c:v>
                </c:pt>
                <c:pt idx="239">
                  <c:v>43133.107268518521</c:v>
                </c:pt>
                <c:pt idx="240">
                  <c:v>43133.148553240739</c:v>
                </c:pt>
                <c:pt idx="241">
                  <c:v>43133.165798611109</c:v>
                </c:pt>
                <c:pt idx="242">
                  <c:v>43133.206354166665</c:v>
                </c:pt>
                <c:pt idx="243">
                  <c:v>43133.247662037036</c:v>
                </c:pt>
                <c:pt idx="244">
                  <c:v>43133.289560185185</c:v>
                </c:pt>
                <c:pt idx="245">
                  <c:v>43133.330671296295</c:v>
                </c:pt>
                <c:pt idx="246">
                  <c:v>43133.372141203705</c:v>
                </c:pt>
                <c:pt idx="247">
                  <c:v>43133.423449074071</c:v>
                </c:pt>
                <c:pt idx="248">
                  <c:v>43133.445289351854</c:v>
                </c:pt>
                <c:pt idx="249">
                  <c:v>43133.482835648145</c:v>
                </c:pt>
                <c:pt idx="250">
                  <c:v>43133.524351851855</c:v>
                </c:pt>
                <c:pt idx="251">
                  <c:v>43133.566493055558</c:v>
                </c:pt>
                <c:pt idx="252">
                  <c:v>43133.617581018516</c:v>
                </c:pt>
                <c:pt idx="253">
                  <c:v>43133.656782407408</c:v>
                </c:pt>
                <c:pt idx="254">
                  <c:v>43133.677152777775</c:v>
                </c:pt>
                <c:pt idx="255">
                  <c:v>43133.729166666664</c:v>
                </c:pt>
                <c:pt idx="256">
                  <c:v>43133.772916666669</c:v>
                </c:pt>
                <c:pt idx="257">
                  <c:v>43133.830034722225</c:v>
                </c:pt>
                <c:pt idx="259">
                  <c:v>43133.877847222226</c:v>
                </c:pt>
                <c:pt idx="260">
                  <c:v>43133.921944444446</c:v>
                </c:pt>
                <c:pt idx="261">
                  <c:v>43133.964189814818</c:v>
                </c:pt>
                <c:pt idx="262">
                  <c:v>43134.006736111114</c:v>
                </c:pt>
                <c:pt idx="263">
                  <c:v>43134.052361111113</c:v>
                </c:pt>
                <c:pt idx="264">
                  <c:v>43134.093761574077</c:v>
                </c:pt>
                <c:pt idx="265">
                  <c:v>43134.139502314814</c:v>
                </c:pt>
                <c:pt idx="266">
                  <c:v>43134.181134259263</c:v>
                </c:pt>
                <c:pt idx="267">
                  <c:v>43134.236203703702</c:v>
                </c:pt>
                <c:pt idx="268">
                  <c:v>43134.277592592596</c:v>
                </c:pt>
                <c:pt idx="269">
                  <c:v>43134.302372685182</c:v>
                </c:pt>
                <c:pt idx="270">
                  <c:v>43134.344004629631</c:v>
                </c:pt>
                <c:pt idx="271">
                  <c:v>43134.385960648149</c:v>
                </c:pt>
                <c:pt idx="272">
                  <c:v>43134.427731481483</c:v>
                </c:pt>
                <c:pt idx="273">
                  <c:v>43134.468900462962</c:v>
                </c:pt>
                <c:pt idx="274">
                  <c:v>43134.510300925926</c:v>
                </c:pt>
                <c:pt idx="275">
                  <c:v>43134.551655092589</c:v>
                </c:pt>
                <c:pt idx="276">
                  <c:v>43134.593877314815</c:v>
                </c:pt>
                <c:pt idx="277">
                  <c:v>43134.635983796295</c:v>
                </c:pt>
                <c:pt idx="278">
                  <c:v>43134.648240740738</c:v>
                </c:pt>
                <c:pt idx="279">
                  <c:v>43134.650868055556</c:v>
                </c:pt>
                <c:pt idx="280">
                  <c:v>43134.654606481483</c:v>
                </c:pt>
                <c:pt idx="281">
                  <c:v>43134.697430555556</c:v>
                </c:pt>
                <c:pt idx="282">
                  <c:v>43134.741006944445</c:v>
                </c:pt>
                <c:pt idx="283">
                  <c:v>43134.78398148148</c:v>
                </c:pt>
                <c:pt idx="284">
                  <c:v>43134.82671296296</c:v>
                </c:pt>
                <c:pt idx="285">
                  <c:v>43134.869687500002</c:v>
                </c:pt>
                <c:pt idx="286">
                  <c:v>43134.911932870367</c:v>
                </c:pt>
                <c:pt idx="287">
                  <c:v>43134.955034722225</c:v>
                </c:pt>
                <c:pt idx="288">
                  <c:v>43134.997569444444</c:v>
                </c:pt>
                <c:pt idx="289">
                  <c:v>43135.040347222224</c:v>
                </c:pt>
                <c:pt idx="290">
                  <c:v>43135.081817129627</c:v>
                </c:pt>
                <c:pt idx="291">
                  <c:v>43135.123194444444</c:v>
                </c:pt>
                <c:pt idx="292">
                  <c:v>43135.128645833334</c:v>
                </c:pt>
                <c:pt idx="293">
                  <c:v>43135.160624999997</c:v>
                </c:pt>
                <c:pt idx="294">
                  <c:v>43135.20484953704</c:v>
                </c:pt>
                <c:pt idx="295">
                  <c:v>43135.249016203707</c:v>
                </c:pt>
                <c:pt idx="296">
                  <c:v>43135.29078703704</c:v>
                </c:pt>
                <c:pt idx="297">
                  <c:v>43135.332511574074</c:v>
                </c:pt>
                <c:pt idx="298">
                  <c:v>43135.373900462961</c:v>
                </c:pt>
                <c:pt idx="299">
                  <c:v>43135.415983796294</c:v>
                </c:pt>
                <c:pt idx="300">
                  <c:v>43135.458113425928</c:v>
                </c:pt>
                <c:pt idx="301">
                  <c:v>43135.499444444446</c:v>
                </c:pt>
                <c:pt idx="303">
                  <c:v>43135.556145833332</c:v>
                </c:pt>
                <c:pt idx="304">
                  <c:v>43135.600914351853</c:v>
                </c:pt>
                <c:pt idx="305">
                  <c:v>43135.64298611111</c:v>
                </c:pt>
                <c:pt idx="306">
                  <c:v>43135.663923611108</c:v>
                </c:pt>
                <c:pt idx="307">
                  <c:v>43135.708599537036</c:v>
                </c:pt>
                <c:pt idx="308">
                  <c:v>43135.751655092594</c:v>
                </c:pt>
                <c:pt idx="309">
                  <c:v>43135.794791666667</c:v>
                </c:pt>
                <c:pt idx="310">
                  <c:v>43135.83792824074</c:v>
                </c:pt>
                <c:pt idx="311">
                  <c:v>43135.881030092591</c:v>
                </c:pt>
                <c:pt idx="312">
                  <c:v>43135.923831018517</c:v>
                </c:pt>
                <c:pt idx="313">
                  <c:v>43135.966736111113</c:v>
                </c:pt>
                <c:pt idx="314">
                  <c:v>43136.009293981479</c:v>
                </c:pt>
                <c:pt idx="315">
                  <c:v>43136.050729166665</c:v>
                </c:pt>
                <c:pt idx="316">
                  <c:v>43136.09202546296</c:v>
                </c:pt>
                <c:pt idx="317">
                  <c:v>43136.148414351854</c:v>
                </c:pt>
                <c:pt idx="318">
                  <c:v>43136.189733796295</c:v>
                </c:pt>
                <c:pt idx="319">
                  <c:v>43136.231030092589</c:v>
                </c:pt>
                <c:pt idx="320">
                  <c:v>43136.272245370368</c:v>
                </c:pt>
                <c:pt idx="321">
                  <c:v>43136.31349537037</c:v>
                </c:pt>
                <c:pt idx="322">
                  <c:v>43136.354745370372</c:v>
                </c:pt>
                <c:pt idx="323">
                  <c:v>43136.396377314813</c:v>
                </c:pt>
                <c:pt idx="324">
                  <c:v>43136.437847222223</c:v>
                </c:pt>
                <c:pt idx="325">
                  <c:v>43136.461655092593</c:v>
                </c:pt>
                <c:pt idx="326">
                  <c:v>43136.502800925926</c:v>
                </c:pt>
                <c:pt idx="327">
                  <c:v>43136.545416666668</c:v>
                </c:pt>
                <c:pt idx="328">
                  <c:v>43136.586689814816</c:v>
                </c:pt>
                <c:pt idx="329">
                  <c:v>43136.636655092596</c:v>
                </c:pt>
                <c:pt idx="330">
                  <c:v>43136.684513888889</c:v>
                </c:pt>
                <c:pt idx="331">
                  <c:v>43136.727708333332</c:v>
                </c:pt>
                <c:pt idx="332">
                  <c:v>43136.731122685182</c:v>
                </c:pt>
                <c:pt idx="333">
                  <c:v>43136.732766203706</c:v>
                </c:pt>
                <c:pt idx="351">
                  <c:v>43136.759664351855</c:v>
                </c:pt>
                <c:pt idx="352">
                  <c:v>43136.803182870368</c:v>
                </c:pt>
                <c:pt idx="353">
                  <c:v>43136.846759259257</c:v>
                </c:pt>
                <c:pt idx="354">
                  <c:v>43136.890219907407</c:v>
                </c:pt>
                <c:pt idx="355">
                  <c:v>43136.932951388888</c:v>
                </c:pt>
                <c:pt idx="356">
                  <c:v>43136.977141203701</c:v>
                </c:pt>
                <c:pt idx="357">
                  <c:v>43137.019699074073</c:v>
                </c:pt>
                <c:pt idx="358">
                  <c:v>43137.039756944447</c:v>
                </c:pt>
                <c:pt idx="359">
                  <c:v>43137.081620370373</c:v>
                </c:pt>
                <c:pt idx="360">
                  <c:v>43137.218819444446</c:v>
                </c:pt>
                <c:pt idx="361">
                  <c:v>43137.260011574072</c:v>
                </c:pt>
                <c:pt idx="362">
                  <c:v>43137.303020833337</c:v>
                </c:pt>
                <c:pt idx="363">
                  <c:v>43137.348101851851</c:v>
                </c:pt>
                <c:pt idx="364">
                  <c:v>43137.389756944445</c:v>
                </c:pt>
                <c:pt idx="365">
                  <c:v>43137.431215277778</c:v>
                </c:pt>
                <c:pt idx="366">
                  <c:v>43137.46943287037</c:v>
                </c:pt>
                <c:pt idx="367">
                  <c:v>43137.510428240741</c:v>
                </c:pt>
                <c:pt idx="368">
                  <c:v>43137.551759259259</c:v>
                </c:pt>
                <c:pt idx="369">
                  <c:v>43137.593518518515</c:v>
                </c:pt>
                <c:pt idx="370">
                  <c:v>43137.636435185188</c:v>
                </c:pt>
                <c:pt idx="371">
                  <c:v>43137.678877314815</c:v>
                </c:pt>
                <c:pt idx="372">
                  <c:v>43137.721608796295</c:v>
                </c:pt>
                <c:pt idx="373">
                  <c:v>43137.764039351852</c:v>
                </c:pt>
                <c:pt idx="374">
                  <c:v>43137.872789351852</c:v>
                </c:pt>
                <c:pt idx="375">
                  <c:v>43137.915416666663</c:v>
                </c:pt>
                <c:pt idx="376">
                  <c:v>43137.958749999998</c:v>
                </c:pt>
                <c:pt idx="377">
                  <c:v>43137.974826388891</c:v>
                </c:pt>
                <c:pt idx="378">
                  <c:v>43138.016747685186</c:v>
                </c:pt>
                <c:pt idx="379">
                  <c:v>43138.058078703703</c:v>
                </c:pt>
                <c:pt idx="380">
                  <c:v>43138.126145833332</c:v>
                </c:pt>
                <c:pt idx="381">
                  <c:v>43138.167488425926</c:v>
                </c:pt>
                <c:pt idx="382">
                  <c:v>43138.209027777775</c:v>
                </c:pt>
                <c:pt idx="383">
                  <c:v>43138.260567129626</c:v>
                </c:pt>
                <c:pt idx="384">
                  <c:v>43138.301874999997</c:v>
                </c:pt>
                <c:pt idx="385">
                  <c:v>43138.347627314812</c:v>
                </c:pt>
                <c:pt idx="386">
                  <c:v>43138.369004629632</c:v>
                </c:pt>
                <c:pt idx="387">
                  <c:v>43138.373182870368</c:v>
                </c:pt>
                <c:pt idx="390">
                  <c:v>43139.388784722221</c:v>
                </c:pt>
                <c:pt idx="391">
                  <c:v>43139.391932870371</c:v>
                </c:pt>
                <c:pt idx="392">
                  <c:v>43139.395682870374</c:v>
                </c:pt>
                <c:pt idx="393">
                  <c:v>43139.398032407407</c:v>
                </c:pt>
                <c:pt idx="395">
                  <c:v>43139.41202546296</c:v>
                </c:pt>
                <c:pt idx="396">
                  <c:v>43139.413923611108</c:v>
                </c:pt>
                <c:pt idx="397">
                  <c:v>43139.415451388886</c:v>
                </c:pt>
                <c:pt idx="398">
                  <c:v>43139.416909722226</c:v>
                </c:pt>
                <c:pt idx="399">
                  <c:v>43139.418379629627</c:v>
                </c:pt>
                <c:pt idx="400">
                  <c:v>43139.41988425926</c:v>
                </c:pt>
                <c:pt idx="401">
                  <c:v>43139.421412037038</c:v>
                </c:pt>
                <c:pt idx="402">
                  <c:v>43139.423101851855</c:v>
                </c:pt>
                <c:pt idx="403">
                  <c:v>43139.424826388888</c:v>
                </c:pt>
                <c:pt idx="404">
                  <c:v>43139.426886574074</c:v>
                </c:pt>
                <c:pt idx="405">
                  <c:v>43139.428333333337</c:v>
                </c:pt>
                <c:pt idx="407">
                  <c:v>43139.433055555557</c:v>
                </c:pt>
                <c:pt idx="408">
                  <c:v>43139.436678240738</c:v>
                </c:pt>
                <c:pt idx="409">
                  <c:v>43139.43954861111</c:v>
                </c:pt>
                <c:pt idx="410">
                  <c:v>43139.441018518519</c:v>
                </c:pt>
                <c:pt idx="412">
                  <c:v>43139.444618055553</c:v>
                </c:pt>
                <c:pt idx="413">
                  <c:v>43139.485405092593</c:v>
                </c:pt>
                <c:pt idx="414">
                  <c:v>43139.514467592591</c:v>
                </c:pt>
                <c:pt idx="415">
                  <c:v>43139.531412037039</c:v>
                </c:pt>
                <c:pt idx="416">
                  <c:v>43139.545486111114</c:v>
                </c:pt>
                <c:pt idx="417">
                  <c:v>43139.586608796293</c:v>
                </c:pt>
                <c:pt idx="418">
                  <c:v>43139.628078703703</c:v>
                </c:pt>
                <c:pt idx="419">
                  <c:v>43139.672048611108</c:v>
                </c:pt>
                <c:pt idx="420">
                  <c:v>43139.714699074073</c:v>
                </c:pt>
                <c:pt idx="421">
                  <c:v>43139.758032407408</c:v>
                </c:pt>
                <c:pt idx="422">
                  <c:v>43139.800405092596</c:v>
                </c:pt>
                <c:pt idx="423">
                  <c:v>43139.843564814815</c:v>
                </c:pt>
                <c:pt idx="424">
                  <c:v>43139.886342592596</c:v>
                </c:pt>
                <c:pt idx="425">
                  <c:v>43139.929328703707</c:v>
                </c:pt>
                <c:pt idx="426">
                  <c:v>43139.98096064815</c:v>
                </c:pt>
                <c:pt idx="427">
                  <c:v>43140.02957175926</c:v>
                </c:pt>
                <c:pt idx="428">
                  <c:v>43140.070868055554</c:v>
                </c:pt>
                <c:pt idx="429">
                  <c:v>43140.108263888891</c:v>
                </c:pt>
                <c:pt idx="430">
                  <c:v>43140.149212962962</c:v>
                </c:pt>
                <c:pt idx="431">
                  <c:v>43140.190682870372</c:v>
                </c:pt>
                <c:pt idx="432">
                  <c:v>43140.247893518521</c:v>
                </c:pt>
                <c:pt idx="433">
                  <c:v>43140.289236111108</c:v>
                </c:pt>
                <c:pt idx="434">
                  <c:v>43140.330324074072</c:v>
                </c:pt>
                <c:pt idx="435">
                  <c:v>43140.371678240743</c:v>
                </c:pt>
                <c:pt idx="436">
                  <c:v>43140.413703703707</c:v>
                </c:pt>
                <c:pt idx="437">
                  <c:v>43140.455775462964</c:v>
                </c:pt>
                <c:pt idx="438">
                  <c:v>43140.497546296298</c:v>
                </c:pt>
                <c:pt idx="439">
                  <c:v>43140.538935185185</c:v>
                </c:pt>
                <c:pt idx="440">
                  <c:v>43140.581620370373</c:v>
                </c:pt>
                <c:pt idx="441">
                  <c:v>43140.624699074076</c:v>
                </c:pt>
                <c:pt idx="442">
                  <c:v>43140.644120370373</c:v>
                </c:pt>
                <c:pt idx="443">
                  <c:v>43140.684583333335</c:v>
                </c:pt>
                <c:pt idx="444">
                  <c:v>43140.750821759262</c:v>
                </c:pt>
                <c:pt idx="445">
                  <c:v>43140.804108796299</c:v>
                </c:pt>
                <c:pt idx="446">
                  <c:v>43140.846666666665</c:v>
                </c:pt>
                <c:pt idx="447">
                  <c:v>43140.889525462961</c:v>
                </c:pt>
                <c:pt idx="448">
                  <c:v>43140.931770833333</c:v>
                </c:pt>
                <c:pt idx="449">
                  <c:v>43140.978587962964</c:v>
                </c:pt>
                <c:pt idx="450">
                  <c:v>43141.020624999997</c:v>
                </c:pt>
                <c:pt idx="451">
                  <c:v>43141.062002314815</c:v>
                </c:pt>
                <c:pt idx="452">
                  <c:v>43141.103090277778</c:v>
                </c:pt>
                <c:pt idx="453">
                  <c:v>43141.172048611108</c:v>
                </c:pt>
                <c:pt idx="454">
                  <c:v>43141.213171296295</c:v>
                </c:pt>
                <c:pt idx="455">
                  <c:v>43141.25440972222</c:v>
                </c:pt>
                <c:pt idx="456">
                  <c:v>43141.295706018522</c:v>
                </c:pt>
                <c:pt idx="457">
                  <c:v>43141.337372685186</c:v>
                </c:pt>
                <c:pt idx="458">
                  <c:v>43141.368449074071</c:v>
                </c:pt>
                <c:pt idx="459">
                  <c:v>43141.371539351851</c:v>
                </c:pt>
                <c:pt idx="460">
                  <c:v>43146.020821759259</c:v>
                </c:pt>
                <c:pt idx="461">
                  <c:v>43146.023530092592</c:v>
                </c:pt>
                <c:pt idx="463">
                  <c:v>43146.026018518518</c:v>
                </c:pt>
                <c:pt idx="464">
                  <c:v>43146.033136574071</c:v>
                </c:pt>
                <c:pt idx="465">
                  <c:v>43146.034525462965</c:v>
                </c:pt>
                <c:pt idx="466">
                  <c:v>43146.028969907406</c:v>
                </c:pt>
                <c:pt idx="467">
                  <c:v>43146.037314814814</c:v>
                </c:pt>
                <c:pt idx="468">
                  <c:v>43146.038703703707</c:v>
                </c:pt>
                <c:pt idx="469">
                  <c:v>43146.040069444447</c:v>
                </c:pt>
                <c:pt idx="470">
                  <c:v>43146.041550925926</c:v>
                </c:pt>
                <c:pt idx="471">
                  <c:v>43146.043124999997</c:v>
                </c:pt>
                <c:pt idx="472">
                  <c:v>43146.044444444444</c:v>
                </c:pt>
                <c:pt idx="473">
                  <c:v>43146.052893518521</c:v>
                </c:pt>
                <c:pt idx="474">
                  <c:v>43146.055231481485</c:v>
                </c:pt>
                <c:pt idx="475">
                  <c:v>43146.057372685187</c:v>
                </c:pt>
                <c:pt idx="476">
                  <c:v>43146.098935185182</c:v>
                </c:pt>
                <c:pt idx="477">
                  <c:v>43146.120439814818</c:v>
                </c:pt>
                <c:pt idx="478">
                  <c:v>43146.163506944446</c:v>
                </c:pt>
                <c:pt idx="479">
                  <c:v>43146.197592592594</c:v>
                </c:pt>
                <c:pt idx="480">
                  <c:v>43146.243622685186</c:v>
                </c:pt>
                <c:pt idx="481">
                  <c:v>43146.283634259256</c:v>
                </c:pt>
                <c:pt idx="482">
                  <c:v>43146.330601851849</c:v>
                </c:pt>
                <c:pt idx="483">
                  <c:v>43146.370289351849</c:v>
                </c:pt>
                <c:pt idx="484">
                  <c:v>43146.411516203705</c:v>
                </c:pt>
                <c:pt idx="485">
                  <c:v>43146.449791666666</c:v>
                </c:pt>
                <c:pt idx="486">
                  <c:v>43146.491863425923</c:v>
                </c:pt>
                <c:pt idx="487">
                  <c:v>43146.533587962964</c:v>
                </c:pt>
                <c:pt idx="488">
                  <c:v>43146.565150462964</c:v>
                </c:pt>
                <c:pt idx="489">
                  <c:v>43146.59002314815</c:v>
                </c:pt>
                <c:pt idx="490">
                  <c:v>43146.632118055553</c:v>
                </c:pt>
                <c:pt idx="491">
                  <c:v>43146.669942129629</c:v>
                </c:pt>
                <c:pt idx="492">
                  <c:v>43146.706273148149</c:v>
                </c:pt>
                <c:pt idx="493">
                  <c:v>43146.748784722222</c:v>
                </c:pt>
                <c:pt idx="494">
                  <c:v>43146.797592592593</c:v>
                </c:pt>
                <c:pt idx="495">
                  <c:v>43146.840439814812</c:v>
                </c:pt>
                <c:pt idx="496">
                  <c:v>43146.879201388889</c:v>
                </c:pt>
                <c:pt idx="497">
                  <c:v>43146.922118055554</c:v>
                </c:pt>
                <c:pt idx="498">
                  <c:v>43146.964421296296</c:v>
                </c:pt>
                <c:pt idx="499">
                  <c:v>43147.006655092591</c:v>
                </c:pt>
                <c:pt idx="500">
                  <c:v>43147.049201388887</c:v>
                </c:pt>
                <c:pt idx="501">
                  <c:v>43147.088206018518</c:v>
                </c:pt>
                <c:pt idx="502">
                  <c:v>43147.128460648149</c:v>
                </c:pt>
                <c:pt idx="503">
                  <c:v>43147.168437499997</c:v>
                </c:pt>
                <c:pt idx="504">
                  <c:v>43147.210636574076</c:v>
                </c:pt>
                <c:pt idx="505">
                  <c:v>43147.252638888887</c:v>
                </c:pt>
                <c:pt idx="506">
                  <c:v>43147.295289351852</c:v>
                </c:pt>
                <c:pt idx="507">
                  <c:v>43147.337175925924</c:v>
                </c:pt>
                <c:pt idx="508">
                  <c:v>43147.379212962966</c:v>
                </c:pt>
                <c:pt idx="509">
                  <c:v>43147.418796296297</c:v>
                </c:pt>
                <c:pt idx="510">
                  <c:v>43147.462523148148</c:v>
                </c:pt>
                <c:pt idx="511">
                  <c:v>43147.505115740743</c:v>
                </c:pt>
                <c:pt idx="512">
                  <c:v>43147.54650462963</c:v>
                </c:pt>
                <c:pt idx="513">
                  <c:v>43147.589247685188</c:v>
                </c:pt>
                <c:pt idx="514">
                  <c:v>43147.629189814812</c:v>
                </c:pt>
                <c:pt idx="516">
                  <c:v>43147.679895833331</c:v>
                </c:pt>
                <c:pt idx="517">
                  <c:v>43147.680775462963</c:v>
                </c:pt>
                <c:pt idx="518">
                  <c:v>43147.681666666664</c:v>
                </c:pt>
                <c:pt idx="519">
                  <c:v>43147.684837962966</c:v>
                </c:pt>
                <c:pt idx="520">
                  <c:v>43147.688194444447</c:v>
                </c:pt>
                <c:pt idx="521">
                  <c:v>43147.733703703707</c:v>
                </c:pt>
                <c:pt idx="523">
                  <c:v>43147.98945601852</c:v>
                </c:pt>
                <c:pt idx="524">
                  <c:v>43148.034386574072</c:v>
                </c:pt>
                <c:pt idx="527">
                  <c:v>43148.730821759258</c:v>
                </c:pt>
                <c:pt idx="528">
                  <c:v>43148.790451388886</c:v>
                </c:pt>
                <c:pt idx="529">
                  <c:v>43148.838888888888</c:v>
                </c:pt>
                <c:pt idx="530">
                  <c:v>43148.901238425926</c:v>
                </c:pt>
                <c:pt idx="531">
                  <c:v>43148.943796296298</c:v>
                </c:pt>
                <c:pt idx="532">
                  <c:v>43148.987673611111</c:v>
                </c:pt>
                <c:pt idx="533">
                  <c:v>43149.030034722222</c:v>
                </c:pt>
                <c:pt idx="534">
                  <c:v>43149.042546296296</c:v>
                </c:pt>
                <c:pt idx="535">
                  <c:v>43149.092534722222</c:v>
                </c:pt>
                <c:pt idx="536">
                  <c:v>43149.133449074077</c:v>
                </c:pt>
                <c:pt idx="537">
                  <c:v>43149.174733796295</c:v>
                </c:pt>
                <c:pt idx="538">
                  <c:v>43149.209236111114</c:v>
                </c:pt>
                <c:pt idx="539">
                  <c:v>43149.251655092594</c:v>
                </c:pt>
                <c:pt idx="540">
                  <c:v>43149.2658912037</c:v>
                </c:pt>
                <c:pt idx="541">
                  <c:v>43149.278067129628</c:v>
                </c:pt>
                <c:pt idx="542">
                  <c:v>43149.320347222223</c:v>
                </c:pt>
                <c:pt idx="543">
                  <c:v>43149.362372685187</c:v>
                </c:pt>
                <c:pt idx="544">
                  <c:v>43149.403680555559</c:v>
                </c:pt>
                <c:pt idx="545">
                  <c:v>43149.422638888886</c:v>
                </c:pt>
                <c:pt idx="546">
                  <c:v>43149.463993055557</c:v>
                </c:pt>
                <c:pt idx="547">
                  <c:v>43149.506030092591</c:v>
                </c:pt>
                <c:pt idx="548">
                  <c:v>43149.548402777778</c:v>
                </c:pt>
                <c:pt idx="549">
                  <c:v>43149.589756944442</c:v>
                </c:pt>
                <c:pt idx="550">
                  <c:v>43149.631782407407</c:v>
                </c:pt>
                <c:pt idx="551">
                  <c:v>43149.67527777778</c:v>
                </c:pt>
                <c:pt idx="552">
                  <c:v>43149.677106481482</c:v>
                </c:pt>
                <c:pt idx="553">
                  <c:v>43149.679918981485</c:v>
                </c:pt>
                <c:pt idx="554">
                  <c:v>43149.683310185188</c:v>
                </c:pt>
                <c:pt idx="555">
                  <c:v>43149.684155092589</c:v>
                </c:pt>
                <c:pt idx="556">
                  <c:v>43149.68472222222</c:v>
                </c:pt>
                <c:pt idx="557">
                  <c:v>43149.685567129629</c:v>
                </c:pt>
                <c:pt idx="558">
                  <c:v>43149.686597222222</c:v>
                </c:pt>
                <c:pt idx="559">
                  <c:v>43149.688032407408</c:v>
                </c:pt>
                <c:pt idx="560">
                  <c:v>43149.688877314817</c:v>
                </c:pt>
                <c:pt idx="561">
                  <c:v>43149.690474537034</c:v>
                </c:pt>
                <c:pt idx="562">
                  <c:v>43149.691863425927</c:v>
                </c:pt>
                <c:pt idx="563">
                  <c:v>43149.693310185183</c:v>
                </c:pt>
                <c:pt idx="564">
                  <c:v>43149.698148148149</c:v>
                </c:pt>
                <c:pt idx="565">
                  <c:v>43149.699467592596</c:v>
                </c:pt>
                <c:pt idx="566">
                  <c:v>43149.701099537036</c:v>
                </c:pt>
                <c:pt idx="567">
                  <c:v>43149.702789351853</c:v>
                </c:pt>
                <c:pt idx="568">
                  <c:v>43149.704293981478</c:v>
                </c:pt>
                <c:pt idx="569">
                  <c:v>43149.705833333333</c:v>
                </c:pt>
                <c:pt idx="570">
                  <c:v>43149.707291666666</c:v>
                </c:pt>
                <c:pt idx="571">
                  <c:v>43149.709155092591</c:v>
                </c:pt>
                <c:pt idx="572">
                  <c:v>43149.718680555554</c:v>
                </c:pt>
                <c:pt idx="573">
                  <c:v>43149.76116898148</c:v>
                </c:pt>
                <c:pt idx="574">
                  <c:v>43149.803483796299</c:v>
                </c:pt>
                <c:pt idx="575">
                  <c:v>43149.84642361111</c:v>
                </c:pt>
                <c:pt idx="576">
                  <c:v>43149.889606481483</c:v>
                </c:pt>
                <c:pt idx="577">
                  <c:v>43149.932106481479</c:v>
                </c:pt>
                <c:pt idx="578">
                  <c:v>43149.980173611111</c:v>
                </c:pt>
                <c:pt idx="579">
                  <c:v>43150.022141203706</c:v>
                </c:pt>
                <c:pt idx="580">
                  <c:v>43150.064189814817</c:v>
                </c:pt>
                <c:pt idx="581">
                  <c:v>43150.105995370373</c:v>
                </c:pt>
                <c:pt idx="582">
                  <c:v>43150.148020833331</c:v>
                </c:pt>
                <c:pt idx="583">
                  <c:v>43150.18990740741</c:v>
                </c:pt>
                <c:pt idx="584">
                  <c:v>43150.231944444444</c:v>
                </c:pt>
                <c:pt idx="585">
                  <c:v>43150.273784722223</c:v>
                </c:pt>
                <c:pt idx="586">
                  <c:v>43150.315694444442</c:v>
                </c:pt>
                <c:pt idx="587">
                  <c:v>43150.357685185183</c:v>
                </c:pt>
                <c:pt idx="588">
                  <c:v>43150.399687500001</c:v>
                </c:pt>
                <c:pt idx="589">
                  <c:v>43150.441296296296</c:v>
                </c:pt>
                <c:pt idx="590">
                  <c:v>43150.478750000002</c:v>
                </c:pt>
                <c:pt idx="591">
                  <c:v>43150.521111111113</c:v>
                </c:pt>
                <c:pt idx="592">
                  <c:v>43150.571712962963</c:v>
                </c:pt>
                <c:pt idx="593">
                  <c:v>43150.613715277781</c:v>
                </c:pt>
                <c:pt idx="594">
                  <c:v>43150.655717592592</c:v>
                </c:pt>
                <c:pt idx="595">
                  <c:v>43150.698796296296</c:v>
                </c:pt>
                <c:pt idx="596">
                  <c:v>43150.741412037038</c:v>
                </c:pt>
                <c:pt idx="597">
                  <c:v>43150.784918981481</c:v>
                </c:pt>
                <c:pt idx="598">
                  <c:v>43150.828784722224</c:v>
                </c:pt>
                <c:pt idx="599">
                  <c:v>43150.870983796296</c:v>
                </c:pt>
                <c:pt idx="600">
                  <c:v>43150.913240740738</c:v>
                </c:pt>
                <c:pt idx="601">
                  <c:v>43150.955416666664</c:v>
                </c:pt>
                <c:pt idx="602">
                  <c:v>43150.998206018521</c:v>
                </c:pt>
                <c:pt idx="603">
                  <c:v>43151.039803240739</c:v>
                </c:pt>
                <c:pt idx="604">
                  <c:v>43151.086840277778</c:v>
                </c:pt>
                <c:pt idx="605">
                  <c:v>43151.128877314812</c:v>
                </c:pt>
                <c:pt idx="606">
                  <c:v>43151.170902777776</c:v>
                </c:pt>
                <c:pt idx="607">
                  <c:v>43151.22997685185</c:v>
                </c:pt>
                <c:pt idx="608">
                  <c:v>43151.271909722222</c:v>
                </c:pt>
                <c:pt idx="609">
                  <c:v>43151.313159722224</c:v>
                </c:pt>
                <c:pt idx="610">
                  <c:v>43151.354942129627</c:v>
                </c:pt>
                <c:pt idx="611">
                  <c:v>43151.396874999999</c:v>
                </c:pt>
                <c:pt idx="612">
                  <c:v>43151.43886574074</c:v>
                </c:pt>
                <c:pt idx="613">
                  <c:v>43151.483680555553</c:v>
                </c:pt>
                <c:pt idx="614">
                  <c:v>43151.525358796294</c:v>
                </c:pt>
                <c:pt idx="615">
                  <c:v>43151.567303240743</c:v>
                </c:pt>
                <c:pt idx="616">
                  <c:v>43151.609467592592</c:v>
                </c:pt>
                <c:pt idx="617">
                  <c:v>43151.651122685187</c:v>
                </c:pt>
                <c:pt idx="619">
                  <c:v>43151.678703703707</c:v>
                </c:pt>
                <c:pt idx="620">
                  <c:v>43151.685578703706</c:v>
                </c:pt>
                <c:pt idx="621">
                  <c:v>43151.688981481479</c:v>
                </c:pt>
                <c:pt idx="622">
                  <c:v>43151.731990740744</c:v>
                </c:pt>
                <c:pt idx="623">
                  <c:v>43151.774548611109</c:v>
                </c:pt>
                <c:pt idx="624">
                  <c:v>43151.81795138889</c:v>
                </c:pt>
                <c:pt idx="625">
                  <c:v>43151.860196759262</c:v>
                </c:pt>
                <c:pt idx="626">
                  <c:v>43151.903460648151</c:v>
                </c:pt>
                <c:pt idx="627">
                  <c:v>43151.946979166663</c:v>
                </c:pt>
                <c:pt idx="628">
                  <c:v>43151.990011574075</c:v>
                </c:pt>
                <c:pt idx="629">
                  <c:v>43152.030104166668</c:v>
                </c:pt>
                <c:pt idx="630">
                  <c:v>43152.071631944447</c:v>
                </c:pt>
                <c:pt idx="631">
                  <c:v>43152.115983796299</c:v>
                </c:pt>
                <c:pt idx="632">
                  <c:v>43152.158067129632</c:v>
                </c:pt>
                <c:pt idx="633">
                  <c:v>43152.200115740743</c:v>
                </c:pt>
                <c:pt idx="634">
                  <c:v>43152.211041666669</c:v>
                </c:pt>
                <c:pt idx="635">
                  <c:v>43152.252870370372</c:v>
                </c:pt>
                <c:pt idx="636">
                  <c:v>43152.294745370367</c:v>
                </c:pt>
                <c:pt idx="637">
                  <c:v>43152.333310185182</c:v>
                </c:pt>
                <c:pt idx="638">
                  <c:v>43154.982777777775</c:v>
                </c:pt>
                <c:pt idx="639">
                  <c:v>43154.984317129631</c:v>
                </c:pt>
                <c:pt idx="640">
                  <c:v>43154.987071759257</c:v>
                </c:pt>
                <c:pt idx="642">
                  <c:v>43154.991365740738</c:v>
                </c:pt>
                <c:pt idx="643">
                  <c:v>43154.993113425924</c:v>
                </c:pt>
                <c:pt idx="644">
                  <c:v>43154.994884259257</c:v>
                </c:pt>
                <c:pt idx="645">
                  <c:v>43154.996550925927</c:v>
                </c:pt>
                <c:pt idx="646">
                  <c:v>43154.99832175926</c:v>
                </c:pt>
                <c:pt idx="647">
                  <c:v>43154.999976851854</c:v>
                </c:pt>
                <c:pt idx="648">
                  <c:v>43155.001747685186</c:v>
                </c:pt>
                <c:pt idx="649">
                  <c:v>43155.003761574073</c:v>
                </c:pt>
                <c:pt idx="650">
                  <c:v>43155.005486111113</c:v>
                </c:pt>
                <c:pt idx="651">
                  <c:v>43155.007210648146</c:v>
                </c:pt>
                <c:pt idx="652">
                  <c:v>43155.008923611109</c:v>
                </c:pt>
                <c:pt idx="653">
                  <c:v>43154.013483796298</c:v>
                </c:pt>
                <c:pt idx="654">
                  <c:v>43154.05505787037</c:v>
                </c:pt>
                <c:pt idx="655">
                  <c:v>43154.097118055557</c:v>
                </c:pt>
                <c:pt idx="656">
                  <c:v>43154.140196759261</c:v>
                </c:pt>
                <c:pt idx="657">
                  <c:v>43154.150439814817</c:v>
                </c:pt>
                <c:pt idx="659">
                  <c:v>43154.156030092592</c:v>
                </c:pt>
                <c:pt idx="660">
                  <c:v>43154.196018518516</c:v>
                </c:pt>
                <c:pt idx="661">
                  <c:v>43154.238252314812</c:v>
                </c:pt>
                <c:pt idx="662">
                  <c:v>43154.280358796299</c:v>
                </c:pt>
                <c:pt idx="663">
                  <c:v>43154.322523148148</c:v>
                </c:pt>
                <c:pt idx="664">
                  <c:v>43154.36440972222</c:v>
                </c:pt>
                <c:pt idx="665">
                  <c:v>43154.407280092593</c:v>
                </c:pt>
                <c:pt idx="666">
                  <c:v>43154.449965277781</c:v>
                </c:pt>
                <c:pt idx="667">
                  <c:v>43154.493761574071</c:v>
                </c:pt>
                <c:pt idx="668">
                  <c:v>43154.538171296299</c:v>
                </c:pt>
                <c:pt idx="669">
                  <c:v>43154.578553240739</c:v>
                </c:pt>
                <c:pt idx="670">
                  <c:v>43154.623831018522</c:v>
                </c:pt>
                <c:pt idx="671">
                  <c:v>43154.665763888886</c:v>
                </c:pt>
                <c:pt idx="672">
                  <c:v>43154.70820601852</c:v>
                </c:pt>
                <c:pt idx="673">
                  <c:v>43154.751064814816</c:v>
                </c:pt>
                <c:pt idx="674">
                  <c:v>43154.793912037036</c:v>
                </c:pt>
                <c:pt idx="675">
                  <c:v>43154.837789351855</c:v>
                </c:pt>
                <c:pt idx="676">
                  <c:v>43154.873541666668</c:v>
                </c:pt>
                <c:pt idx="677">
                  <c:v>43154.916030092594</c:v>
                </c:pt>
                <c:pt idx="678">
                  <c:v>43154.959837962961</c:v>
                </c:pt>
                <c:pt idx="679">
                  <c:v>43155.001122685186</c:v>
                </c:pt>
                <c:pt idx="680">
                  <c:v>43155.043344907404</c:v>
                </c:pt>
                <c:pt idx="681">
                  <c:v>43155.08489583333</c:v>
                </c:pt>
                <c:pt idx="682">
                  <c:v>43155.128576388888</c:v>
                </c:pt>
                <c:pt idx="683">
                  <c:v>43155.168182870373</c:v>
                </c:pt>
                <c:pt idx="684">
                  <c:v>43155.216087962966</c:v>
                </c:pt>
                <c:pt idx="685">
                  <c:v>43155.256956018522</c:v>
                </c:pt>
                <c:pt idx="686">
                  <c:v>43155.298958333333</c:v>
                </c:pt>
                <c:pt idx="687">
                  <c:v>43155.34642361111</c:v>
                </c:pt>
                <c:pt idx="688">
                  <c:v>43155.389884259261</c:v>
                </c:pt>
                <c:pt idx="689">
                  <c:v>43155.432175925926</c:v>
                </c:pt>
                <c:pt idx="690">
                  <c:v>43155.474351851852</c:v>
                </c:pt>
                <c:pt idx="691">
                  <c:v>43155.516539351855</c:v>
                </c:pt>
                <c:pt idx="692">
                  <c:v>43155.563599537039</c:v>
                </c:pt>
                <c:pt idx="693">
                  <c:v>43155.608402777776</c:v>
                </c:pt>
                <c:pt idx="694">
                  <c:v>43155.650462962964</c:v>
                </c:pt>
                <c:pt idx="695">
                  <c:v>43155.692662037036</c:v>
                </c:pt>
                <c:pt idx="696">
                  <c:v>43155.735555555555</c:v>
                </c:pt>
                <c:pt idx="697">
                  <c:v>43155.738229166665</c:v>
                </c:pt>
                <c:pt idx="698">
                  <c:v>43155.742673611108</c:v>
                </c:pt>
                <c:pt idx="699">
                  <c:v>43155.785763888889</c:v>
                </c:pt>
                <c:pt idx="700">
                  <c:v>43155.828622685185</c:v>
                </c:pt>
                <c:pt idx="701">
                  <c:v>43155.871099537035</c:v>
                </c:pt>
                <c:pt idx="702">
                  <c:v>43155.913587962961</c:v>
                </c:pt>
                <c:pt idx="703">
                  <c:v>43155.956817129627</c:v>
                </c:pt>
                <c:pt idx="704">
                  <c:v>43155.999027777776</c:v>
                </c:pt>
                <c:pt idx="705">
                  <c:v>43156.041215277779</c:v>
                </c:pt>
                <c:pt idx="706">
                  <c:v>43156.083298611113</c:v>
                </c:pt>
                <c:pt idx="707">
                  <c:v>43156.125439814816</c:v>
                </c:pt>
                <c:pt idx="708">
                  <c:v>43156.166828703703</c:v>
                </c:pt>
                <c:pt idx="709">
                  <c:v>43156.216215277775</c:v>
                </c:pt>
              </c:numCache>
            </c:numRef>
          </c:xVal>
          <c:yVal>
            <c:numRef>
              <c:f>summary!$AW$105:$AW$900</c:f>
              <c:numCache>
                <c:formatCode>0.000</c:formatCode>
                <c:ptCount val="796"/>
                <c:pt idx="0">
                  <c:v>0.44147204644727672</c:v>
                </c:pt>
                <c:pt idx="1">
                  <c:v>0.43531767862311815</c:v>
                </c:pt>
                <c:pt idx="2">
                  <c:v>0.43885612236355109</c:v>
                </c:pt>
                <c:pt idx="21">
                  <c:v>0.40780626566329564</c:v>
                </c:pt>
                <c:pt idx="22">
                  <c:v>0.39658526587156445</c:v>
                </c:pt>
                <c:pt idx="23">
                  <c:v>0.39728688311573579</c:v>
                </c:pt>
                <c:pt idx="24">
                  <c:v>0.39849093369109284</c:v>
                </c:pt>
                <c:pt idx="25">
                  <c:v>0.40075915012450514</c:v>
                </c:pt>
                <c:pt idx="26">
                  <c:v>0.39662868110188831</c:v>
                </c:pt>
                <c:pt idx="27">
                  <c:v>0.39829396526231003</c:v>
                </c:pt>
                <c:pt idx="28">
                  <c:v>0.40024920627891103</c:v>
                </c:pt>
                <c:pt idx="29">
                  <c:v>0.39987963862613035</c:v>
                </c:pt>
                <c:pt idx="45">
                  <c:v>0.40548999693497378</c:v>
                </c:pt>
                <c:pt idx="46">
                  <c:v>0.42336953967933438</c:v>
                </c:pt>
                <c:pt idx="47">
                  <c:v>0.41399056069833107</c:v>
                </c:pt>
                <c:pt idx="48">
                  <c:v>0.40469641528490302</c:v>
                </c:pt>
                <c:pt idx="49">
                  <c:v>0.41493337019031434</c:v>
                </c:pt>
                <c:pt idx="50">
                  <c:v>0.41493337019031434</c:v>
                </c:pt>
                <c:pt idx="51">
                  <c:v>0.41507239952091185</c:v>
                </c:pt>
                <c:pt idx="52">
                  <c:v>0.4165686964422487</c:v>
                </c:pt>
                <c:pt idx="53">
                  <c:v>0.42363051523803585</c:v>
                </c:pt>
                <c:pt idx="54">
                  <c:v>0.42322517752656019</c:v>
                </c:pt>
                <c:pt idx="55">
                  <c:v>0.42449173375955496</c:v>
                </c:pt>
                <c:pt idx="56">
                  <c:v>0.42130272670091462</c:v>
                </c:pt>
                <c:pt idx="85">
                  <c:v>0.41112256188258373</c:v>
                </c:pt>
                <c:pt idx="86">
                  <c:v>0.37339663410582641</c:v>
                </c:pt>
                <c:pt idx="87">
                  <c:v>0.41158266977285746</c:v>
                </c:pt>
                <c:pt idx="88">
                  <c:v>0.41842847910652214</c:v>
                </c:pt>
                <c:pt idx="89">
                  <c:v>0.41765010960553794</c:v>
                </c:pt>
                <c:pt idx="91">
                  <c:v>0.40934144401312622</c:v>
                </c:pt>
                <c:pt idx="92">
                  <c:v>0.40931077700152796</c:v>
                </c:pt>
                <c:pt idx="93">
                  <c:v>0.40857860401526752</c:v>
                </c:pt>
                <c:pt idx="94">
                  <c:v>0.40968161809159659</c:v>
                </c:pt>
                <c:pt idx="95">
                  <c:v>0.41854557962386396</c:v>
                </c:pt>
                <c:pt idx="96">
                  <c:v>0.41854557962386396</c:v>
                </c:pt>
                <c:pt idx="97">
                  <c:v>0.41567961315602425</c:v>
                </c:pt>
                <c:pt idx="98">
                  <c:v>0.41938632706948792</c:v>
                </c:pt>
                <c:pt idx="99">
                  <c:v>0.41631142254236464</c:v>
                </c:pt>
                <c:pt idx="114">
                  <c:v>0.42267965146389719</c:v>
                </c:pt>
                <c:pt idx="115">
                  <c:v>0.42188208472004807</c:v>
                </c:pt>
                <c:pt idx="116">
                  <c:v>0.42277420614716921</c:v>
                </c:pt>
                <c:pt idx="117">
                  <c:v>0.42270895920108503</c:v>
                </c:pt>
                <c:pt idx="118">
                  <c:v>0.42005445722437762</c:v>
                </c:pt>
                <c:pt idx="119">
                  <c:v>0.42003651219988725</c:v>
                </c:pt>
                <c:pt idx="120">
                  <c:v>0.42311230227218088</c:v>
                </c:pt>
                <c:pt idx="121">
                  <c:v>0.42285436724517272</c:v>
                </c:pt>
                <c:pt idx="122">
                  <c:v>0.4247875045885669</c:v>
                </c:pt>
                <c:pt idx="123">
                  <c:v>0.42582447966236797</c:v>
                </c:pt>
                <c:pt idx="124">
                  <c:v>0.42525165729217185</c:v>
                </c:pt>
                <c:pt idx="125">
                  <c:v>0.42519513612893478</c:v>
                </c:pt>
                <c:pt idx="126">
                  <c:v>0.42357491791793483</c:v>
                </c:pt>
                <c:pt idx="127">
                  <c:v>0.42223882436072202</c:v>
                </c:pt>
                <c:pt idx="128">
                  <c:v>0.42097647508406844</c:v>
                </c:pt>
                <c:pt idx="129">
                  <c:v>0.42235066204786209</c:v>
                </c:pt>
                <c:pt idx="130">
                  <c:v>0.41658681272477527</c:v>
                </c:pt>
                <c:pt idx="131">
                  <c:v>0.42238809532732169</c:v>
                </c:pt>
                <c:pt idx="132">
                  <c:v>0.41861287622124899</c:v>
                </c:pt>
                <c:pt idx="133">
                  <c:v>0.41981610113012319</c:v>
                </c:pt>
                <c:pt idx="134">
                  <c:v>0.41899484032482398</c:v>
                </c:pt>
                <c:pt idx="135">
                  <c:v>0.42426763239798176</c:v>
                </c:pt>
                <c:pt idx="136">
                  <c:v>0.42229765824961546</c:v>
                </c:pt>
                <c:pt idx="137">
                  <c:v>0.42336160328354788</c:v>
                </c:pt>
                <c:pt idx="138">
                  <c:v>0.42432364544864443</c:v>
                </c:pt>
                <c:pt idx="139">
                  <c:v>0.42600580012982614</c:v>
                </c:pt>
                <c:pt idx="140">
                  <c:v>0.42711756139883139</c:v>
                </c:pt>
                <c:pt idx="141">
                  <c:v>0.42684646244561836</c:v>
                </c:pt>
                <c:pt idx="142">
                  <c:v>0.42373373178639917</c:v>
                </c:pt>
                <c:pt idx="143">
                  <c:v>0.42533432877182759</c:v>
                </c:pt>
                <c:pt idx="144">
                  <c:v>0.42391484840215277</c:v>
                </c:pt>
                <c:pt idx="145">
                  <c:v>0.42445153386116496</c:v>
                </c:pt>
                <c:pt idx="146">
                  <c:v>0.42656158611688988</c:v>
                </c:pt>
                <c:pt idx="147">
                  <c:v>0.42528775659001933</c:v>
                </c:pt>
                <c:pt idx="148">
                  <c:v>0.42444018352912777</c:v>
                </c:pt>
                <c:pt idx="149">
                  <c:v>0.42396536854264433</c:v>
                </c:pt>
                <c:pt idx="150">
                  <c:v>0.42189360798069858</c:v>
                </c:pt>
                <c:pt idx="151">
                  <c:v>0.42097188061479734</c:v>
                </c:pt>
                <c:pt idx="152">
                  <c:v>0.41816322197907296</c:v>
                </c:pt>
                <c:pt idx="153">
                  <c:v>0.42267401804135224</c:v>
                </c:pt>
                <c:pt idx="154">
                  <c:v>0.42187576970109841</c:v>
                </c:pt>
                <c:pt idx="155">
                  <c:v>0.4210504434691294</c:v>
                </c:pt>
                <c:pt idx="156">
                  <c:v>0.42061630309133746</c:v>
                </c:pt>
                <c:pt idx="157">
                  <c:v>0.43076101093330854</c:v>
                </c:pt>
                <c:pt idx="158">
                  <c:v>0.42922393350253374</c:v>
                </c:pt>
                <c:pt idx="159">
                  <c:v>0.43348037531542288</c:v>
                </c:pt>
                <c:pt idx="160">
                  <c:v>0.43123829861410096</c:v>
                </c:pt>
                <c:pt idx="161">
                  <c:v>0.43445187541865476</c:v>
                </c:pt>
                <c:pt idx="162">
                  <c:v>0.43476796267694295</c:v>
                </c:pt>
                <c:pt idx="163">
                  <c:v>0.43570902910869846</c:v>
                </c:pt>
                <c:pt idx="164">
                  <c:v>0.43346521143997679</c:v>
                </c:pt>
                <c:pt idx="165">
                  <c:v>0.43515533258151612</c:v>
                </c:pt>
                <c:pt idx="166">
                  <c:v>0.43234505652307725</c:v>
                </c:pt>
                <c:pt idx="167">
                  <c:v>0.43221931630469118</c:v>
                </c:pt>
                <c:pt idx="168">
                  <c:v>0.43115707856208307</c:v>
                </c:pt>
                <c:pt idx="204">
                  <c:v>0.40074751299510802</c:v>
                </c:pt>
                <c:pt idx="205">
                  <c:v>0.39776468586181823</c:v>
                </c:pt>
                <c:pt idx="206">
                  <c:v>0.39714045181284746</c:v>
                </c:pt>
                <c:pt idx="207">
                  <c:v>0.39801284372627616</c:v>
                </c:pt>
                <c:pt idx="208">
                  <c:v>0.39448541212842525</c:v>
                </c:pt>
                <c:pt idx="209">
                  <c:v>0.39387616969303368</c:v>
                </c:pt>
                <c:pt idx="210">
                  <c:v>0.40422280979288788</c:v>
                </c:pt>
                <c:pt idx="211">
                  <c:v>0.40445265648624434</c:v>
                </c:pt>
                <c:pt idx="212">
                  <c:v>0.40439188253690256</c:v>
                </c:pt>
                <c:pt idx="213">
                  <c:v>0.40252785079833914</c:v>
                </c:pt>
                <c:pt idx="214">
                  <c:v>0.40120274912595699</c:v>
                </c:pt>
                <c:pt idx="231">
                  <c:v>0.41158712595176927</c:v>
                </c:pt>
                <c:pt idx="232">
                  <c:v>0.41060478993383642</c:v>
                </c:pt>
                <c:pt idx="233">
                  <c:v>0.41362769951631473</c:v>
                </c:pt>
                <c:pt idx="234">
                  <c:v>0.40944548680464204</c:v>
                </c:pt>
                <c:pt idx="235">
                  <c:v>0.41079488534181713</c:v>
                </c:pt>
                <c:pt idx="236">
                  <c:v>0.41145858153581044</c:v>
                </c:pt>
                <c:pt idx="237">
                  <c:v>0.41225672172154959</c:v>
                </c:pt>
                <c:pt idx="238">
                  <c:v>0.41765445879574037</c:v>
                </c:pt>
                <c:pt idx="239">
                  <c:v>0.41060757796322767</c:v>
                </c:pt>
                <c:pt idx="240">
                  <c:v>0.43048241159004313</c:v>
                </c:pt>
                <c:pt idx="241">
                  <c:v>0.41663350898979301</c:v>
                </c:pt>
                <c:pt idx="242">
                  <c:v>0.4075872368929534</c:v>
                </c:pt>
                <c:pt idx="243">
                  <c:v>0.40272395559274882</c:v>
                </c:pt>
                <c:pt idx="244">
                  <c:v>0.40804768612527453</c:v>
                </c:pt>
                <c:pt idx="245">
                  <c:v>0.40484783993079859</c:v>
                </c:pt>
                <c:pt idx="246">
                  <c:v>0.39115248813099673</c:v>
                </c:pt>
                <c:pt idx="247">
                  <c:v>0.40877609554526845</c:v>
                </c:pt>
                <c:pt idx="248">
                  <c:v>0.40763225203422404</c:v>
                </c:pt>
                <c:pt idx="249">
                  <c:v>0.41354959621100662</c:v>
                </c:pt>
                <c:pt idx="250">
                  <c:v>0.41168679513758333</c:v>
                </c:pt>
                <c:pt idx="251">
                  <c:v>0.41003929956779595</c:v>
                </c:pt>
                <c:pt idx="252">
                  <c:v>0.41005405473350232</c:v>
                </c:pt>
                <c:pt idx="253">
                  <c:v>0.41756448137982594</c:v>
                </c:pt>
                <c:pt idx="254">
                  <c:v>0.41943912542697781</c:v>
                </c:pt>
                <c:pt idx="255">
                  <c:v>0.41398786620302014</c:v>
                </c:pt>
                <c:pt idx="256">
                  <c:v>0.41646756751350256</c:v>
                </c:pt>
                <c:pt idx="257">
                  <c:v>0.41351374539654789</c:v>
                </c:pt>
                <c:pt idx="259">
                  <c:v>0.41370145571830996</c:v>
                </c:pt>
                <c:pt idx="260">
                  <c:v>0.41272359173817541</c:v>
                </c:pt>
                <c:pt idx="261">
                  <c:v>0.41248398612949111</c:v>
                </c:pt>
                <c:pt idx="262">
                  <c:v>0.41366180082741716</c:v>
                </c:pt>
                <c:pt idx="263">
                  <c:v>0.41391004797199094</c:v>
                </c:pt>
                <c:pt idx="264">
                  <c:v>0.41673526363824626</c:v>
                </c:pt>
                <c:pt idx="265">
                  <c:v>0.41458094836211262</c:v>
                </c:pt>
                <c:pt idx="266">
                  <c:v>0.41884722010520498</c:v>
                </c:pt>
                <c:pt idx="267">
                  <c:v>0.41884722010520498</c:v>
                </c:pt>
                <c:pt idx="268">
                  <c:v>0.41671173264262057</c:v>
                </c:pt>
                <c:pt idx="269">
                  <c:v>0.41551570470908489</c:v>
                </c:pt>
                <c:pt idx="270">
                  <c:v>0.41610939747547565</c:v>
                </c:pt>
                <c:pt idx="271">
                  <c:v>0.41251865989276748</c:v>
                </c:pt>
                <c:pt idx="272">
                  <c:v>0.41542748407711377</c:v>
                </c:pt>
                <c:pt idx="273">
                  <c:v>0.41356061517112946</c:v>
                </c:pt>
                <c:pt idx="274">
                  <c:v>0.40324602537096871</c:v>
                </c:pt>
                <c:pt idx="275">
                  <c:v>0.40802393690224015</c:v>
                </c:pt>
                <c:pt idx="276">
                  <c:v>0.40558316230043651</c:v>
                </c:pt>
                <c:pt idx="277">
                  <c:v>0.40116796578125807</c:v>
                </c:pt>
                <c:pt idx="280">
                  <c:v>0.41486953727317816</c:v>
                </c:pt>
                <c:pt idx="281">
                  <c:v>0.41932391408988307</c:v>
                </c:pt>
                <c:pt idx="282">
                  <c:v>0.41421517389557794</c:v>
                </c:pt>
                <c:pt idx="283">
                  <c:v>0.41691286817523188</c:v>
                </c:pt>
                <c:pt idx="284">
                  <c:v>0.41662635365739337</c:v>
                </c:pt>
                <c:pt idx="285">
                  <c:v>0.41805207866578742</c:v>
                </c:pt>
                <c:pt idx="286">
                  <c:v>0.41812664993809573</c:v>
                </c:pt>
                <c:pt idx="287">
                  <c:v>0.41630436479244859</c:v>
                </c:pt>
                <c:pt idx="288">
                  <c:v>0.41430483896474202</c:v>
                </c:pt>
                <c:pt idx="289">
                  <c:v>0.41565663080637405</c:v>
                </c:pt>
                <c:pt idx="290">
                  <c:v>0.41539110979508076</c:v>
                </c:pt>
                <c:pt idx="291">
                  <c:v>0.41635704130646284</c:v>
                </c:pt>
                <c:pt idx="292">
                  <c:v>0.41635704130646284</c:v>
                </c:pt>
                <c:pt idx="293">
                  <c:v>0.41920541783557291</c:v>
                </c:pt>
                <c:pt idx="294">
                  <c:v>0.42034597132560653</c:v>
                </c:pt>
                <c:pt idx="295">
                  <c:v>0.42065467799404838</c:v>
                </c:pt>
                <c:pt idx="296">
                  <c:v>0.41964648715388014</c:v>
                </c:pt>
                <c:pt idx="297">
                  <c:v>0.4192627498534191</c:v>
                </c:pt>
                <c:pt idx="298">
                  <c:v>0.42192253217680553</c:v>
                </c:pt>
                <c:pt idx="299">
                  <c:v>0.41951551991222685</c:v>
                </c:pt>
                <c:pt idx="300">
                  <c:v>0.41785180398136429</c:v>
                </c:pt>
                <c:pt idx="301">
                  <c:v>0.41777745556927864</c:v>
                </c:pt>
                <c:pt idx="303">
                  <c:v>0.44255483491521513</c:v>
                </c:pt>
                <c:pt idx="304">
                  <c:v>0.4444911463345439</c:v>
                </c:pt>
                <c:pt idx="305">
                  <c:v>0.44289936737346058</c:v>
                </c:pt>
                <c:pt idx="306">
                  <c:v>0.44607255764092085</c:v>
                </c:pt>
                <c:pt idx="307">
                  <c:v>0.44448110834844157</c:v>
                </c:pt>
                <c:pt idx="308">
                  <c:v>0.42869181621792063</c:v>
                </c:pt>
                <c:pt idx="309">
                  <c:v>0.42769512862735937</c:v>
                </c:pt>
                <c:pt idx="310">
                  <c:v>0.44006523236541739</c:v>
                </c:pt>
                <c:pt idx="311">
                  <c:v>0.44051341630374341</c:v>
                </c:pt>
                <c:pt idx="312">
                  <c:v>0.43763827184666754</c:v>
                </c:pt>
                <c:pt idx="313">
                  <c:v>0.43723026513391744</c:v>
                </c:pt>
                <c:pt idx="314">
                  <c:v>0.4379033690982968</c:v>
                </c:pt>
                <c:pt idx="315">
                  <c:v>0.45108176592539506</c:v>
                </c:pt>
                <c:pt idx="316">
                  <c:v>0.44091801029867173</c:v>
                </c:pt>
                <c:pt idx="317">
                  <c:v>0.4404164562263031</c:v>
                </c:pt>
                <c:pt idx="318">
                  <c:v>0.43912910751524759</c:v>
                </c:pt>
                <c:pt idx="319">
                  <c:v>0.44032090977246496</c:v>
                </c:pt>
                <c:pt idx="320">
                  <c:v>0.43941896221493576</c:v>
                </c:pt>
                <c:pt idx="321">
                  <c:v>0.44057506815503195</c:v>
                </c:pt>
                <c:pt idx="322">
                  <c:v>0.43789489745591731</c:v>
                </c:pt>
                <c:pt idx="323">
                  <c:v>0.43869833459589685</c:v>
                </c:pt>
                <c:pt idx="324">
                  <c:v>0.44027364142741759</c:v>
                </c:pt>
                <c:pt idx="325">
                  <c:v>0.43937641431802876</c:v>
                </c:pt>
                <c:pt idx="326">
                  <c:v>0.43814058614158824</c:v>
                </c:pt>
                <c:pt idx="327">
                  <c:v>0.4400202359325695</c:v>
                </c:pt>
                <c:pt idx="328">
                  <c:v>0.43803966462183314</c:v>
                </c:pt>
                <c:pt idx="329">
                  <c:v>0.43739502967321664</c:v>
                </c:pt>
                <c:pt idx="330">
                  <c:v>0.43697245796018441</c:v>
                </c:pt>
                <c:pt idx="351">
                  <c:v>0.43756684694810172</c:v>
                </c:pt>
                <c:pt idx="352">
                  <c:v>0.43551857551792317</c:v>
                </c:pt>
                <c:pt idx="353">
                  <c:v>0.43491985464016153</c:v>
                </c:pt>
                <c:pt idx="354">
                  <c:v>0.43758802595297719</c:v>
                </c:pt>
                <c:pt idx="355">
                  <c:v>0.43776453238949925</c:v>
                </c:pt>
                <c:pt idx="356">
                  <c:v>0.43722132767624966</c:v>
                </c:pt>
                <c:pt idx="357">
                  <c:v>0.43611091569348265</c:v>
                </c:pt>
                <c:pt idx="358">
                  <c:v>0.43861329773463553</c:v>
                </c:pt>
                <c:pt idx="359">
                  <c:v>0.43766842211804302</c:v>
                </c:pt>
                <c:pt idx="360">
                  <c:v>0.43485992442288063</c:v>
                </c:pt>
                <c:pt idx="361">
                  <c:v>0.43057303295251792</c:v>
                </c:pt>
                <c:pt idx="362">
                  <c:v>0.438221850163247</c:v>
                </c:pt>
                <c:pt idx="363">
                  <c:v>0.43626303668249539</c:v>
                </c:pt>
                <c:pt idx="364">
                  <c:v>0.4366936256638852</c:v>
                </c:pt>
                <c:pt idx="365">
                  <c:v>0.4350520904165523</c:v>
                </c:pt>
                <c:pt idx="366">
                  <c:v>0.43835963298905206</c:v>
                </c:pt>
                <c:pt idx="367">
                  <c:v>0.43594387019777636</c:v>
                </c:pt>
                <c:pt idx="368">
                  <c:v>0.43732347200856136</c:v>
                </c:pt>
                <c:pt idx="369">
                  <c:v>0.43509509770436172</c:v>
                </c:pt>
                <c:pt idx="370">
                  <c:v>0.43848251470776178</c:v>
                </c:pt>
                <c:pt idx="371">
                  <c:v>0.43356019078228997</c:v>
                </c:pt>
                <c:pt idx="372">
                  <c:v>0.4312903488162696</c:v>
                </c:pt>
                <c:pt idx="373">
                  <c:v>0.43597819219030332</c:v>
                </c:pt>
                <c:pt idx="374">
                  <c:v>0.41256248499026904</c:v>
                </c:pt>
                <c:pt idx="375">
                  <c:v>0.41137666695819414</c:v>
                </c:pt>
                <c:pt idx="376">
                  <c:v>0.41065581430532361</c:v>
                </c:pt>
                <c:pt idx="377">
                  <c:v>0.41236864410693735</c:v>
                </c:pt>
                <c:pt idx="378">
                  <c:v>0.41056232731403203</c:v>
                </c:pt>
                <c:pt idx="379">
                  <c:v>0.41332130223398411</c:v>
                </c:pt>
                <c:pt idx="380">
                  <c:v>0.41264731659534493</c:v>
                </c:pt>
                <c:pt idx="381">
                  <c:v>0.41210776444016206</c:v>
                </c:pt>
                <c:pt idx="382">
                  <c:v>0.40913289973289063</c:v>
                </c:pt>
                <c:pt idx="383">
                  <c:v>0.41066935643281804</c:v>
                </c:pt>
                <c:pt idx="384">
                  <c:v>0.41138067444185761</c:v>
                </c:pt>
                <c:pt idx="385">
                  <c:v>0.41279703847676641</c:v>
                </c:pt>
                <c:pt idx="412">
                  <c:v>0.40737527397000195</c:v>
                </c:pt>
                <c:pt idx="413">
                  <c:v>0.40602005374439987</c:v>
                </c:pt>
                <c:pt idx="414">
                  <c:v>0.40763701559833659</c:v>
                </c:pt>
                <c:pt idx="415">
                  <c:v>0.41121817103272479</c:v>
                </c:pt>
                <c:pt idx="416">
                  <c:v>0.40813618932398893</c:v>
                </c:pt>
                <c:pt idx="417">
                  <c:v>0.40577221086469806</c:v>
                </c:pt>
                <c:pt idx="418">
                  <c:v>0.4068710058296191</c:v>
                </c:pt>
                <c:pt idx="419">
                  <c:v>0.4058774936148285</c:v>
                </c:pt>
                <c:pt idx="420">
                  <c:v>0.40784245871557506</c:v>
                </c:pt>
                <c:pt idx="421">
                  <c:v>0.41112328716063112</c:v>
                </c:pt>
                <c:pt idx="422">
                  <c:v>0.4165923747518841</c:v>
                </c:pt>
                <c:pt idx="423">
                  <c:v>0.4189350229653338</c:v>
                </c:pt>
                <c:pt idx="424">
                  <c:v>0.42017491038820737</c:v>
                </c:pt>
                <c:pt idx="425">
                  <c:v>0.4230142218732974</c:v>
                </c:pt>
                <c:pt idx="426">
                  <c:v>0.42675993058821066</c:v>
                </c:pt>
                <c:pt idx="427">
                  <c:v>0.42866722336739083</c:v>
                </c:pt>
                <c:pt idx="428">
                  <c:v>0.43204556281813533</c:v>
                </c:pt>
                <c:pt idx="429">
                  <c:v>0.40927789178279428</c:v>
                </c:pt>
                <c:pt idx="430">
                  <c:v>0.41319446165489437</c:v>
                </c:pt>
                <c:pt idx="431">
                  <c:v>0.41967046539056696</c:v>
                </c:pt>
                <c:pt idx="432">
                  <c:v>0.39490375181437254</c:v>
                </c:pt>
                <c:pt idx="433">
                  <c:v>0.39320590452563325</c:v>
                </c:pt>
                <c:pt idx="434">
                  <c:v>0.39588668787035342</c:v>
                </c:pt>
                <c:pt idx="435">
                  <c:v>0.39666148912077726</c:v>
                </c:pt>
                <c:pt idx="436">
                  <c:v>0.39778290525355187</c:v>
                </c:pt>
                <c:pt idx="437">
                  <c:v>0.3995216546545251</c:v>
                </c:pt>
                <c:pt idx="438">
                  <c:v>0.39737830390066203</c:v>
                </c:pt>
                <c:pt idx="439">
                  <c:v>0.39526793687423212</c:v>
                </c:pt>
                <c:pt idx="440">
                  <c:v>0.39635430713491465</c:v>
                </c:pt>
                <c:pt idx="441">
                  <c:v>0.39495582953763042</c:v>
                </c:pt>
                <c:pt idx="442">
                  <c:v>0.39625820429396919</c:v>
                </c:pt>
                <c:pt idx="443">
                  <c:v>0.39240355345392303</c:v>
                </c:pt>
                <c:pt idx="444">
                  <c:v>0.39538163815476907</c:v>
                </c:pt>
                <c:pt idx="445">
                  <c:v>0.39700850685005107</c:v>
                </c:pt>
                <c:pt idx="446">
                  <c:v>0.39746267005854846</c:v>
                </c:pt>
                <c:pt idx="447">
                  <c:v>0.39753613854274611</c:v>
                </c:pt>
                <c:pt idx="448">
                  <c:v>0.39857897264044584</c:v>
                </c:pt>
                <c:pt idx="449">
                  <c:v>0.39891741686158855</c:v>
                </c:pt>
                <c:pt idx="450">
                  <c:v>0.39737537633265918</c:v>
                </c:pt>
                <c:pt idx="451">
                  <c:v>0.39927077125447163</c:v>
                </c:pt>
                <c:pt idx="452">
                  <c:v>0.39831644924616677</c:v>
                </c:pt>
                <c:pt idx="453">
                  <c:v>0.40095076695916215</c:v>
                </c:pt>
                <c:pt idx="454">
                  <c:v>0.40072384776341702</c:v>
                </c:pt>
                <c:pt idx="455">
                  <c:v>0.39997478410090914</c:v>
                </c:pt>
                <c:pt idx="456">
                  <c:v>0.39750030778153445</c:v>
                </c:pt>
                <c:pt idx="457">
                  <c:v>0.40038992920642452</c:v>
                </c:pt>
                <c:pt idx="475">
                  <c:v>0.43556453504668247</c:v>
                </c:pt>
                <c:pt idx="476">
                  <c:v>0.43316148669865279</c:v>
                </c:pt>
                <c:pt idx="477">
                  <c:v>0.43552058586635661</c:v>
                </c:pt>
                <c:pt idx="478">
                  <c:v>0.43594288498136474</c:v>
                </c:pt>
                <c:pt idx="479">
                  <c:v>0.43373575879311521</c:v>
                </c:pt>
                <c:pt idx="480">
                  <c:v>0.43397543244715991</c:v>
                </c:pt>
                <c:pt idx="481">
                  <c:v>0.43716995299263817</c:v>
                </c:pt>
                <c:pt idx="482">
                  <c:v>0.43744872066190604</c:v>
                </c:pt>
                <c:pt idx="483">
                  <c:v>0.43644500814633141</c:v>
                </c:pt>
                <c:pt idx="484">
                  <c:v>0.43531616163832815</c:v>
                </c:pt>
                <c:pt idx="485">
                  <c:v>0.43723213494996344</c:v>
                </c:pt>
                <c:pt idx="486">
                  <c:v>0.43312235580339048</c:v>
                </c:pt>
                <c:pt idx="487">
                  <c:v>0.44390772724829403</c:v>
                </c:pt>
                <c:pt idx="488">
                  <c:v>0.40846281150291985</c:v>
                </c:pt>
                <c:pt idx="489">
                  <c:v>0.4074961378947311</c:v>
                </c:pt>
                <c:pt idx="490">
                  <c:v>0.40874764035413946</c:v>
                </c:pt>
                <c:pt idx="491">
                  <c:v>0.40988554998811061</c:v>
                </c:pt>
                <c:pt idx="492">
                  <c:v>0.40786860965181621</c:v>
                </c:pt>
                <c:pt idx="493">
                  <c:v>0.40694152132584172</c:v>
                </c:pt>
                <c:pt idx="494">
                  <c:v>0.40945668478627639</c:v>
                </c:pt>
                <c:pt idx="495">
                  <c:v>0.4056237392849027</c:v>
                </c:pt>
                <c:pt idx="496">
                  <c:v>0.40793049677174559</c:v>
                </c:pt>
                <c:pt idx="497">
                  <c:v>0.40721284052590301</c:v>
                </c:pt>
                <c:pt idx="498">
                  <c:v>0.40624168077963785</c:v>
                </c:pt>
                <c:pt idx="499">
                  <c:v>0.40763322212225833</c:v>
                </c:pt>
                <c:pt idx="500">
                  <c:v>0.40677601402522423</c:v>
                </c:pt>
                <c:pt idx="501">
                  <c:v>0.40908325479160695</c:v>
                </c:pt>
                <c:pt idx="502">
                  <c:v>0.40889689806608548</c:v>
                </c:pt>
                <c:pt idx="503">
                  <c:v>0.40771024003202094</c:v>
                </c:pt>
                <c:pt idx="504">
                  <c:v>0.40962982822334565</c:v>
                </c:pt>
                <c:pt idx="505">
                  <c:v>0.40819845316377595</c:v>
                </c:pt>
                <c:pt idx="506">
                  <c:v>0.40855768773480999</c:v>
                </c:pt>
                <c:pt idx="507">
                  <c:v>0.41014806991712388</c:v>
                </c:pt>
                <c:pt idx="508">
                  <c:v>0.40921635711261639</c:v>
                </c:pt>
                <c:pt idx="509">
                  <c:v>0.40999509482807955</c:v>
                </c:pt>
                <c:pt idx="510">
                  <c:v>0.41080398645877475</c:v>
                </c:pt>
                <c:pt idx="511">
                  <c:v>0.40919682288633191</c:v>
                </c:pt>
                <c:pt idx="512">
                  <c:v>0.41156139722212803</c:v>
                </c:pt>
                <c:pt idx="513">
                  <c:v>0.40793981174633437</c:v>
                </c:pt>
                <c:pt idx="514">
                  <c:v>0.41044428767091462</c:v>
                </c:pt>
                <c:pt idx="520">
                  <c:v>0.41000388342040889</c:v>
                </c:pt>
                <c:pt idx="521">
                  <c:v>0.41242172851231163</c:v>
                </c:pt>
                <c:pt idx="523">
                  <c:v>0.40838385771455038</c:v>
                </c:pt>
                <c:pt idx="524">
                  <c:v>0.40705360436878291</c:v>
                </c:pt>
                <c:pt idx="527">
                  <c:v>0.41466066492440856</c:v>
                </c:pt>
                <c:pt idx="528">
                  <c:v>0.41069394400755854</c:v>
                </c:pt>
                <c:pt idx="529">
                  <c:v>0.41068711905904298</c:v>
                </c:pt>
                <c:pt idx="530">
                  <c:v>0.41149104657196717</c:v>
                </c:pt>
                <c:pt idx="531">
                  <c:v>0.40957652561014973</c:v>
                </c:pt>
                <c:pt idx="532">
                  <c:v>0.41200927801974924</c:v>
                </c:pt>
                <c:pt idx="533">
                  <c:v>0.41371934227560303</c:v>
                </c:pt>
                <c:pt idx="534">
                  <c:v>0.41274023381516112</c:v>
                </c:pt>
                <c:pt idx="535">
                  <c:v>0.41391925801876744</c:v>
                </c:pt>
                <c:pt idx="536">
                  <c:v>0.41585656535952881</c:v>
                </c:pt>
                <c:pt idx="537">
                  <c:v>0.41537024826319052</c:v>
                </c:pt>
                <c:pt idx="538">
                  <c:v>0.41756513444864801</c:v>
                </c:pt>
                <c:pt idx="539">
                  <c:v>0.41619284848402172</c:v>
                </c:pt>
                <c:pt idx="540">
                  <c:v>0.41725816935897542</c:v>
                </c:pt>
                <c:pt idx="541">
                  <c:v>0.41609420018696286</c:v>
                </c:pt>
                <c:pt idx="542">
                  <c:v>0.41819719503396591</c:v>
                </c:pt>
                <c:pt idx="543">
                  <c:v>0.4187077194693406</c:v>
                </c:pt>
                <c:pt idx="544">
                  <c:v>0.41631346241419193</c:v>
                </c:pt>
                <c:pt idx="545">
                  <c:v>0.41950613042613322</c:v>
                </c:pt>
                <c:pt idx="546">
                  <c:v>0.41982231890527993</c:v>
                </c:pt>
                <c:pt idx="547">
                  <c:v>0.42002072805379531</c:v>
                </c:pt>
                <c:pt idx="548">
                  <c:v>0.41834699613539345</c:v>
                </c:pt>
                <c:pt idx="549">
                  <c:v>0.42099470366253722</c:v>
                </c:pt>
                <c:pt idx="550">
                  <c:v>0.41996138595265481</c:v>
                </c:pt>
                <c:pt idx="571">
                  <c:v>0.4184694626418462</c:v>
                </c:pt>
                <c:pt idx="572">
                  <c:v>0.42060502511881936</c:v>
                </c:pt>
                <c:pt idx="573">
                  <c:v>0.42044265986549784</c:v>
                </c:pt>
                <c:pt idx="574">
                  <c:v>0.42028750465241027</c:v>
                </c:pt>
                <c:pt idx="575">
                  <c:v>0.41955501602915041</c:v>
                </c:pt>
                <c:pt idx="576">
                  <c:v>0.41771949165839928</c:v>
                </c:pt>
                <c:pt idx="577">
                  <c:v>0.41879860208072578</c:v>
                </c:pt>
                <c:pt idx="578">
                  <c:v>0.41913616670601361</c:v>
                </c:pt>
                <c:pt idx="579">
                  <c:v>0.42154317336203345</c:v>
                </c:pt>
                <c:pt idx="580">
                  <c:v>0.42054964475935874</c:v>
                </c:pt>
                <c:pt idx="581">
                  <c:v>0.41856604667201802</c:v>
                </c:pt>
                <c:pt idx="582">
                  <c:v>0.41794521937993795</c:v>
                </c:pt>
                <c:pt idx="583">
                  <c:v>0.41936246082066997</c:v>
                </c:pt>
                <c:pt idx="584">
                  <c:v>0.42069202239270093</c:v>
                </c:pt>
                <c:pt idx="585">
                  <c:v>0.41935804228702916</c:v>
                </c:pt>
                <c:pt idx="586">
                  <c:v>0.41912068393080171</c:v>
                </c:pt>
                <c:pt idx="587">
                  <c:v>0.41901694424019725</c:v>
                </c:pt>
                <c:pt idx="588">
                  <c:v>0.41897052705968862</c:v>
                </c:pt>
                <c:pt idx="589">
                  <c:v>0.41415215047805193</c:v>
                </c:pt>
                <c:pt idx="590">
                  <c:v>0.41438305468624292</c:v>
                </c:pt>
                <c:pt idx="591">
                  <c:v>0.41708013059782617</c:v>
                </c:pt>
                <c:pt idx="592">
                  <c:v>0.42094136196124365</c:v>
                </c:pt>
                <c:pt idx="593">
                  <c:v>0.42150916084773776</c:v>
                </c:pt>
                <c:pt idx="594">
                  <c:v>0.41758060894100035</c:v>
                </c:pt>
                <c:pt idx="595">
                  <c:v>0.4060089635338508</c:v>
                </c:pt>
                <c:pt idx="596">
                  <c:v>0.4192428252882997</c:v>
                </c:pt>
                <c:pt idx="597">
                  <c:v>0.41856571271761311</c:v>
                </c:pt>
                <c:pt idx="598">
                  <c:v>0.42024622620034224</c:v>
                </c:pt>
                <c:pt idx="599">
                  <c:v>0.42341650160640504</c:v>
                </c:pt>
                <c:pt idx="600">
                  <c:v>0.42123285859333365</c:v>
                </c:pt>
                <c:pt idx="601">
                  <c:v>0.41926723198999033</c:v>
                </c:pt>
                <c:pt idx="602">
                  <c:v>0.41980065836613295</c:v>
                </c:pt>
                <c:pt idx="603">
                  <c:v>0.42024650233095573</c:v>
                </c:pt>
                <c:pt idx="604">
                  <c:v>0.42122233801128089</c:v>
                </c:pt>
                <c:pt idx="605">
                  <c:v>0.42450680976885818</c:v>
                </c:pt>
                <c:pt idx="606">
                  <c:v>0.42071832210003024</c:v>
                </c:pt>
                <c:pt idx="607">
                  <c:v>0.42253865888119446</c:v>
                </c:pt>
                <c:pt idx="608">
                  <c:v>0.42072319629870397</c:v>
                </c:pt>
                <c:pt idx="609">
                  <c:v>0.42513451763026938</c:v>
                </c:pt>
                <c:pt idx="610">
                  <c:v>0.42058384572477092</c:v>
                </c:pt>
                <c:pt idx="611">
                  <c:v>0.41958368931749096</c:v>
                </c:pt>
                <c:pt idx="612">
                  <c:v>0.42258017329419945</c:v>
                </c:pt>
                <c:pt idx="613">
                  <c:v>0.42115103788744257</c:v>
                </c:pt>
                <c:pt idx="614">
                  <c:v>0.42170558956148485</c:v>
                </c:pt>
                <c:pt idx="615">
                  <c:v>0.42470015339489187</c:v>
                </c:pt>
                <c:pt idx="616">
                  <c:v>0.42120866246530608</c:v>
                </c:pt>
                <c:pt idx="617">
                  <c:v>0.42097254848125087</c:v>
                </c:pt>
                <c:pt idx="621">
                  <c:v>0.41135533533812824</c:v>
                </c:pt>
                <c:pt idx="622">
                  <c:v>0.40965638183584463</c:v>
                </c:pt>
                <c:pt idx="623">
                  <c:v>0.40905912327871319</c:v>
                </c:pt>
                <c:pt idx="624">
                  <c:v>0.4118069092959929</c:v>
                </c:pt>
                <c:pt idx="625">
                  <c:v>0.41316668450872279</c:v>
                </c:pt>
                <c:pt idx="626">
                  <c:v>0.41380913176002682</c:v>
                </c:pt>
                <c:pt idx="627">
                  <c:v>0.41111802675079695</c:v>
                </c:pt>
                <c:pt idx="628">
                  <c:v>0.41165684059071517</c:v>
                </c:pt>
                <c:pt idx="629">
                  <c:v>0.41278460919972143</c:v>
                </c:pt>
                <c:pt idx="630">
                  <c:v>0.41334605340215336</c:v>
                </c:pt>
                <c:pt idx="631">
                  <c:v>0.42350418187728028</c:v>
                </c:pt>
                <c:pt idx="632">
                  <c:v>0.42593931602800461</c:v>
                </c:pt>
                <c:pt idx="633">
                  <c:v>0.41944258413526608</c:v>
                </c:pt>
                <c:pt idx="634">
                  <c:v>0.42055354910111303</c:v>
                </c:pt>
                <c:pt idx="635">
                  <c:v>0.42245263717289466</c:v>
                </c:pt>
                <c:pt idx="636">
                  <c:v>0.42336814547508039</c:v>
                </c:pt>
                <c:pt idx="637">
                  <c:v>0.41548633738170826</c:v>
                </c:pt>
                <c:pt idx="653">
                  <c:v>0.40808649196614705</c:v>
                </c:pt>
                <c:pt idx="654">
                  <c:v>0.41013114769137721</c:v>
                </c:pt>
                <c:pt idx="655">
                  <c:v>0.40776395524692133</c:v>
                </c:pt>
                <c:pt idx="659">
                  <c:v>0.42299740239507821</c:v>
                </c:pt>
                <c:pt idx="660">
                  <c:v>0.42265392807238389</c:v>
                </c:pt>
                <c:pt idx="661">
                  <c:v>0.4224363829576066</c:v>
                </c:pt>
                <c:pt idx="662">
                  <c:v>0.42499122181492299</c:v>
                </c:pt>
                <c:pt idx="663">
                  <c:v>0.42767075829123447</c:v>
                </c:pt>
                <c:pt idx="664">
                  <c:v>0.42617538785840586</c:v>
                </c:pt>
                <c:pt idx="665">
                  <c:v>0.42903922761135627</c:v>
                </c:pt>
                <c:pt idx="666">
                  <c:v>0.42004268054712984</c:v>
                </c:pt>
                <c:pt idx="667">
                  <c:v>0.41505769793434127</c:v>
                </c:pt>
                <c:pt idx="668">
                  <c:v>0.39559096513036435</c:v>
                </c:pt>
                <c:pt idx="669">
                  <c:v>0.39304714153869763</c:v>
                </c:pt>
                <c:pt idx="670">
                  <c:v>0.39274325968571738</c:v>
                </c:pt>
                <c:pt idx="671">
                  <c:v>0.39626854221097352</c:v>
                </c:pt>
                <c:pt idx="672">
                  <c:v>0.39039312911962565</c:v>
                </c:pt>
                <c:pt idx="673">
                  <c:v>0.39384968662389991</c:v>
                </c:pt>
                <c:pt idx="674">
                  <c:v>0.39521466980848174</c:v>
                </c:pt>
                <c:pt idx="675">
                  <c:v>0.396590115525908</c:v>
                </c:pt>
                <c:pt idx="676">
                  <c:v>0.39600238649434299</c:v>
                </c:pt>
                <c:pt idx="677">
                  <c:v>0.39728517627627341</c:v>
                </c:pt>
                <c:pt idx="678">
                  <c:v>0.39558165491660624</c:v>
                </c:pt>
                <c:pt idx="679">
                  <c:v>0.40083198828763489</c:v>
                </c:pt>
                <c:pt idx="680">
                  <c:v>0.39926205792694858</c:v>
                </c:pt>
                <c:pt idx="681">
                  <c:v>0.39897439852484279</c:v>
                </c:pt>
                <c:pt idx="682">
                  <c:v>0.39566089184947051</c:v>
                </c:pt>
                <c:pt idx="683">
                  <c:v>0.39262356980181989</c:v>
                </c:pt>
                <c:pt idx="684">
                  <c:v>0.39518040566621498</c:v>
                </c:pt>
                <c:pt idx="685">
                  <c:v>0.38876728617461981</c:v>
                </c:pt>
                <c:pt idx="686">
                  <c:v>0.37982808778020094</c:v>
                </c:pt>
                <c:pt idx="687">
                  <c:v>0.39153517159500617</c:v>
                </c:pt>
                <c:pt idx="688">
                  <c:v>0.38958405350994252</c:v>
                </c:pt>
                <c:pt idx="689">
                  <c:v>0.38515544899206916</c:v>
                </c:pt>
                <c:pt idx="690">
                  <c:v>0.38064976962673885</c:v>
                </c:pt>
                <c:pt idx="691">
                  <c:v>0.3789641349750042</c:v>
                </c:pt>
                <c:pt idx="692">
                  <c:v>0.42697799027862016</c:v>
                </c:pt>
                <c:pt idx="693">
                  <c:v>0.42592835354014125</c:v>
                </c:pt>
                <c:pt idx="694">
                  <c:v>0.42663050676309916</c:v>
                </c:pt>
                <c:pt idx="695">
                  <c:v>0.42395164796544044</c:v>
                </c:pt>
                <c:pt idx="698">
                  <c:v>0.42495487493619177</c:v>
                </c:pt>
                <c:pt idx="699">
                  <c:v>0.4263575808016542</c:v>
                </c:pt>
                <c:pt idx="700">
                  <c:v>0.42515220395419823</c:v>
                </c:pt>
                <c:pt idx="701">
                  <c:v>0.42592024799090678</c:v>
                </c:pt>
                <c:pt idx="702">
                  <c:v>0.42857414944888944</c:v>
                </c:pt>
                <c:pt idx="703">
                  <c:v>0.42599298236411942</c:v>
                </c:pt>
                <c:pt idx="704">
                  <c:v>0.42535819379423923</c:v>
                </c:pt>
                <c:pt idx="705">
                  <c:v>0.42964121469231259</c:v>
                </c:pt>
                <c:pt idx="706">
                  <c:v>0.42654263529691538</c:v>
                </c:pt>
                <c:pt idx="707">
                  <c:v>0.42571514160803925</c:v>
                </c:pt>
                <c:pt idx="708">
                  <c:v>0.42854878149315023</c:v>
                </c:pt>
                <c:pt idx="709">
                  <c:v>0.42919127894468007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75264"/>
        <c:axId val="223277440"/>
      </c:scatterChart>
      <c:scatterChart>
        <c:scatterStyle val="lineMarker"/>
        <c:varyColors val="0"/>
        <c:ser>
          <c:idx val="1"/>
          <c:order val="1"/>
          <c:tx>
            <c:v>K yield / spill</c:v>
          </c:tx>
          <c:spPr>
            <a:ln w="28575">
              <a:noFill/>
            </a:ln>
          </c:spPr>
          <c:marker>
            <c:symbol val="square"/>
            <c:size val="7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summary!$F$2:$F$900</c:f>
              <c:numCache>
                <c:formatCode>yyyy/m/d\ h:mm;@</c:formatCode>
                <c:ptCount val="899"/>
                <c:pt idx="0">
                  <c:v>43117.75</c:v>
                </c:pt>
                <c:pt idx="1">
                  <c:v>43117.75</c:v>
                </c:pt>
                <c:pt idx="2">
                  <c:v>43117.75</c:v>
                </c:pt>
                <c:pt idx="3">
                  <c:v>43117.75</c:v>
                </c:pt>
                <c:pt idx="4">
                  <c:v>43118.541666666664</c:v>
                </c:pt>
                <c:pt idx="5">
                  <c:v>43118.541666666664</c:v>
                </c:pt>
                <c:pt idx="6">
                  <c:v>43118.541666666664</c:v>
                </c:pt>
                <c:pt idx="7">
                  <c:v>43118.541666666664</c:v>
                </c:pt>
                <c:pt idx="8">
                  <c:v>43118.541666666664</c:v>
                </c:pt>
                <c:pt idx="9">
                  <c:v>43118.541666666664</c:v>
                </c:pt>
                <c:pt idx="10">
                  <c:v>43118.541666666664</c:v>
                </c:pt>
                <c:pt idx="11">
                  <c:v>43118.541666666664</c:v>
                </c:pt>
                <c:pt idx="12">
                  <c:v>43118.541666666664</c:v>
                </c:pt>
                <c:pt idx="13">
                  <c:v>43118.541666666664</c:v>
                </c:pt>
                <c:pt idx="14">
                  <c:v>43118.541666666664</c:v>
                </c:pt>
                <c:pt idx="15">
                  <c:v>43118.541666666664</c:v>
                </c:pt>
                <c:pt idx="16">
                  <c:v>43118.541666666664</c:v>
                </c:pt>
                <c:pt idx="17">
                  <c:v>43118.541666666664</c:v>
                </c:pt>
                <c:pt idx="18">
                  <c:v>43118.541666666664</c:v>
                </c:pt>
                <c:pt idx="19">
                  <c:v>43118.541666666664</c:v>
                </c:pt>
                <c:pt idx="20">
                  <c:v>43118.541666666664</c:v>
                </c:pt>
                <c:pt idx="21">
                  <c:v>43118.541666666664</c:v>
                </c:pt>
                <c:pt idx="22">
                  <c:v>43118.541666666664</c:v>
                </c:pt>
                <c:pt idx="23">
                  <c:v>43118.541666666664</c:v>
                </c:pt>
                <c:pt idx="24">
                  <c:v>43118.541666666664</c:v>
                </c:pt>
                <c:pt idx="25">
                  <c:v>43118.541666666664</c:v>
                </c:pt>
                <c:pt idx="26">
                  <c:v>43118.541666666664</c:v>
                </c:pt>
                <c:pt idx="27">
                  <c:v>43118.541666666664</c:v>
                </c:pt>
                <c:pt idx="28">
                  <c:v>43118.541666666664</c:v>
                </c:pt>
                <c:pt idx="29">
                  <c:v>43118.541666666664</c:v>
                </c:pt>
                <c:pt idx="30">
                  <c:v>43118.541666666664</c:v>
                </c:pt>
                <c:pt idx="31">
                  <c:v>43118.541666666664</c:v>
                </c:pt>
                <c:pt idx="32">
                  <c:v>43118.541666666664</c:v>
                </c:pt>
                <c:pt idx="33">
                  <c:v>43118.541666666664</c:v>
                </c:pt>
                <c:pt idx="34">
                  <c:v>43118.541666666664</c:v>
                </c:pt>
                <c:pt idx="35">
                  <c:v>43118.541666666664</c:v>
                </c:pt>
                <c:pt idx="36">
                  <c:v>43118.541666666664</c:v>
                </c:pt>
                <c:pt idx="37">
                  <c:v>43118.541666666664</c:v>
                </c:pt>
                <c:pt idx="38">
                  <c:v>43118.541666666664</c:v>
                </c:pt>
                <c:pt idx="39">
                  <c:v>43118.541666666664</c:v>
                </c:pt>
                <c:pt idx="40">
                  <c:v>43118.541666666664</c:v>
                </c:pt>
                <c:pt idx="41">
                  <c:v>43118.541666666664</c:v>
                </c:pt>
                <c:pt idx="42">
                  <c:v>43118.541666666664</c:v>
                </c:pt>
                <c:pt idx="43">
                  <c:v>43118.541666666664</c:v>
                </c:pt>
                <c:pt idx="44">
                  <c:v>43118.541666666664</c:v>
                </c:pt>
                <c:pt idx="45">
                  <c:v>43118.541666666664</c:v>
                </c:pt>
                <c:pt idx="46">
                  <c:v>43118.541666666664</c:v>
                </c:pt>
                <c:pt idx="47">
                  <c:v>43118.541666666664</c:v>
                </c:pt>
                <c:pt idx="48">
                  <c:v>43118.541666666664</c:v>
                </c:pt>
                <c:pt idx="49">
                  <c:v>43118.541666666664</c:v>
                </c:pt>
                <c:pt idx="50">
                  <c:v>43118.541666666664</c:v>
                </c:pt>
                <c:pt idx="51">
                  <c:v>43118.541666666664</c:v>
                </c:pt>
                <c:pt idx="52">
                  <c:v>43118.541666666664</c:v>
                </c:pt>
                <c:pt idx="53">
                  <c:v>43118.541666666664</c:v>
                </c:pt>
                <c:pt idx="54">
                  <c:v>43118.541666666664</c:v>
                </c:pt>
                <c:pt idx="55">
                  <c:v>43118.541666666664</c:v>
                </c:pt>
                <c:pt idx="56">
                  <c:v>43118.541666666664</c:v>
                </c:pt>
                <c:pt idx="57">
                  <c:v>43118.541666666664</c:v>
                </c:pt>
                <c:pt idx="58">
                  <c:v>43118.541666666664</c:v>
                </c:pt>
                <c:pt idx="59">
                  <c:v>43118.541666666664</c:v>
                </c:pt>
                <c:pt idx="60">
                  <c:v>43118.541666666664</c:v>
                </c:pt>
                <c:pt idx="61">
                  <c:v>43118.541666666664</c:v>
                </c:pt>
                <c:pt idx="62">
                  <c:v>43118.541666666664</c:v>
                </c:pt>
                <c:pt idx="63">
                  <c:v>43118.541666666664</c:v>
                </c:pt>
                <c:pt idx="64">
                  <c:v>43118.541666666664</c:v>
                </c:pt>
                <c:pt idx="65">
                  <c:v>43118.666666666664</c:v>
                </c:pt>
                <c:pt idx="66">
                  <c:v>43118.685231481482</c:v>
                </c:pt>
                <c:pt idx="67">
                  <c:v>43118.688831018517</c:v>
                </c:pt>
                <c:pt idx="68">
                  <c:v>43118.691932870373</c:v>
                </c:pt>
                <c:pt idx="69">
                  <c:v>43118.694907407407</c:v>
                </c:pt>
                <c:pt idx="70">
                  <c:v>43118.709826388891</c:v>
                </c:pt>
                <c:pt idx="71">
                  <c:v>43118.710543981484</c:v>
                </c:pt>
                <c:pt idx="72">
                  <c:v>43118.711574074077</c:v>
                </c:pt>
                <c:pt idx="73">
                  <c:v>43118.712002314816</c:v>
                </c:pt>
                <c:pt idx="74">
                  <c:v>43118.712638888886</c:v>
                </c:pt>
                <c:pt idx="75">
                  <c:v>43118.713310185187</c:v>
                </c:pt>
                <c:pt idx="76">
                  <c:v>43118.724756944444</c:v>
                </c:pt>
                <c:pt idx="77">
                  <c:v>43118.72797453704</c:v>
                </c:pt>
                <c:pt idx="78">
                  <c:v>43118.730243055557</c:v>
                </c:pt>
                <c:pt idx="79">
                  <c:v>43118.732465277775</c:v>
                </c:pt>
                <c:pt idx="80">
                  <c:v>43118.7346412037</c:v>
                </c:pt>
                <c:pt idx="81">
                  <c:v>43118.736921296295</c:v>
                </c:pt>
                <c:pt idx="82">
                  <c:v>43118.739039351851</c:v>
                </c:pt>
                <c:pt idx="83">
                  <c:v>43118.741377314815</c:v>
                </c:pt>
                <c:pt idx="84">
                  <c:v>43118.748136574075</c:v>
                </c:pt>
                <c:pt idx="85">
                  <c:v>43118.750937500001</c:v>
                </c:pt>
                <c:pt idx="86">
                  <c:v>43118.753229166665</c:v>
                </c:pt>
                <c:pt idx="87">
                  <c:v>43118.756689814814</c:v>
                </c:pt>
                <c:pt idx="88">
                  <c:v>43118.759236111109</c:v>
                </c:pt>
                <c:pt idx="89">
                  <c:v>43118.76290509259</c:v>
                </c:pt>
                <c:pt idx="90">
                  <c:v>43118.769305555557</c:v>
                </c:pt>
                <c:pt idx="91">
                  <c:v>43118.771134259259</c:v>
                </c:pt>
                <c:pt idx="92">
                  <c:v>43118.783541666664</c:v>
                </c:pt>
                <c:pt idx="93">
                  <c:v>43118.790046296293</c:v>
                </c:pt>
                <c:pt idx="94">
                  <c:v>43118.823923611111</c:v>
                </c:pt>
                <c:pt idx="95">
                  <c:v>43118.851597222223</c:v>
                </c:pt>
                <c:pt idx="96">
                  <c:v>43118.876018518517</c:v>
                </c:pt>
                <c:pt idx="97">
                  <c:v>43118.889606481483</c:v>
                </c:pt>
                <c:pt idx="98">
                  <c:v>43118.924479166664</c:v>
                </c:pt>
                <c:pt idx="99">
                  <c:v>43118.971388888887</c:v>
                </c:pt>
                <c:pt idx="100">
                  <c:v>43118.984027777777</c:v>
                </c:pt>
                <c:pt idx="102">
                  <c:v>43119.862384259257</c:v>
                </c:pt>
                <c:pt idx="103">
                  <c:v>43119.882754629631</c:v>
                </c:pt>
                <c:pt idx="104">
                  <c:v>43119.92491898148</c:v>
                </c:pt>
                <c:pt idx="105">
                  <c:v>43119.96671296296</c:v>
                </c:pt>
                <c:pt idx="106">
                  <c:v>43120.011238425926</c:v>
                </c:pt>
                <c:pt idx="107">
                  <c:v>43120.012962962966</c:v>
                </c:pt>
                <c:pt idx="108">
                  <c:v>43120.014606481483</c:v>
                </c:pt>
                <c:pt idx="109">
                  <c:v>43120.016388888886</c:v>
                </c:pt>
                <c:pt idx="110">
                  <c:v>43120.017997685187</c:v>
                </c:pt>
                <c:pt idx="111">
                  <c:v>43120.019456018519</c:v>
                </c:pt>
                <c:pt idx="112">
                  <c:v>43120.021134259259</c:v>
                </c:pt>
                <c:pt idx="113">
                  <c:v>43120.022881944446</c:v>
                </c:pt>
                <c:pt idx="114">
                  <c:v>43120.024363425924</c:v>
                </c:pt>
                <c:pt idx="115">
                  <c:v>43120.02616898148</c:v>
                </c:pt>
                <c:pt idx="119">
                  <c:v>43120.030173611114</c:v>
                </c:pt>
                <c:pt idx="120">
                  <c:v>43120.043587962966</c:v>
                </c:pt>
                <c:pt idx="121">
                  <c:v>43120.061064814814</c:v>
                </c:pt>
                <c:pt idx="122">
                  <c:v>43120.064293981479</c:v>
                </c:pt>
                <c:pt idx="124">
                  <c:v>43120.070844907408</c:v>
                </c:pt>
                <c:pt idx="125">
                  <c:v>43120.083958333336</c:v>
                </c:pt>
                <c:pt idx="126">
                  <c:v>43120.125138888892</c:v>
                </c:pt>
                <c:pt idx="127">
                  <c:v>43120.166712962964</c:v>
                </c:pt>
                <c:pt idx="128">
                  <c:v>43120.171886574077</c:v>
                </c:pt>
                <c:pt idx="129">
                  <c:v>43120.212754629632</c:v>
                </c:pt>
                <c:pt idx="130">
                  <c:v>43120.251736111109</c:v>
                </c:pt>
                <c:pt idx="131">
                  <c:v>43120.290949074071</c:v>
                </c:pt>
                <c:pt idx="132">
                  <c:v>43120.330011574071</c:v>
                </c:pt>
                <c:pt idx="134">
                  <c:v>43125.995115740741</c:v>
                </c:pt>
                <c:pt idx="135">
                  <c:v>43125.998842592591</c:v>
                </c:pt>
                <c:pt idx="136">
                  <c:v>43126.001655092594</c:v>
                </c:pt>
                <c:pt idx="137">
                  <c:v>43126.010787037034</c:v>
                </c:pt>
                <c:pt idx="138">
                  <c:v>43126.01290509259</c:v>
                </c:pt>
                <c:pt idx="139">
                  <c:v>43126.014664351853</c:v>
                </c:pt>
                <c:pt idx="140">
                  <c:v>43126.016226851854</c:v>
                </c:pt>
                <c:pt idx="141">
                  <c:v>43126.018252314818</c:v>
                </c:pt>
                <c:pt idx="142">
                  <c:v>43126.019918981481</c:v>
                </c:pt>
                <c:pt idx="143">
                  <c:v>43126.022233796299</c:v>
                </c:pt>
                <c:pt idx="144">
                  <c:v>43126.024189814816</c:v>
                </c:pt>
                <c:pt idx="145">
                  <c:v>43126.025868055556</c:v>
                </c:pt>
                <c:pt idx="146">
                  <c:v>43126.027662037035</c:v>
                </c:pt>
                <c:pt idx="147">
                  <c:v>43126.029386574075</c:v>
                </c:pt>
                <c:pt idx="148">
                  <c:v>43126.032835648148</c:v>
                </c:pt>
                <c:pt idx="149">
                  <c:v>43126.074664351851</c:v>
                </c:pt>
                <c:pt idx="150">
                  <c:v>43126.090682870374</c:v>
                </c:pt>
                <c:pt idx="151">
                  <c:v>43126.109907407408</c:v>
                </c:pt>
                <c:pt idx="152">
                  <c:v>43126.12667824074</c:v>
                </c:pt>
                <c:pt idx="153">
                  <c:v>43126.167118055557</c:v>
                </c:pt>
                <c:pt idx="154">
                  <c:v>43126.181620370371</c:v>
                </c:pt>
                <c:pt idx="155">
                  <c:v>43126.222372685188</c:v>
                </c:pt>
                <c:pt idx="156">
                  <c:v>43126.264699074076</c:v>
                </c:pt>
                <c:pt idx="157">
                  <c:v>43126.306111111109</c:v>
                </c:pt>
                <c:pt idx="158">
                  <c:v>43126.353391203702</c:v>
                </c:pt>
                <c:pt idx="159">
                  <c:v>43126.39439814815</c:v>
                </c:pt>
                <c:pt idx="163">
                  <c:v>43126.806504629632</c:v>
                </c:pt>
                <c:pt idx="164">
                  <c:v>43126.856111111112</c:v>
                </c:pt>
                <c:pt idx="165">
                  <c:v>43126.861585648148</c:v>
                </c:pt>
                <c:pt idx="166">
                  <c:v>43126.98159722222</c:v>
                </c:pt>
                <c:pt idx="167">
                  <c:v>43126.983807870369</c:v>
                </c:pt>
                <c:pt idx="168">
                  <c:v>43127.004930555559</c:v>
                </c:pt>
                <c:pt idx="169">
                  <c:v>43127.008275462962</c:v>
                </c:pt>
                <c:pt idx="170">
                  <c:v>43127.009340277778</c:v>
                </c:pt>
                <c:pt idx="171">
                  <c:v>43127.010474537034</c:v>
                </c:pt>
                <c:pt idx="172">
                  <c:v>43127.011122685188</c:v>
                </c:pt>
                <c:pt idx="173">
                  <c:v>43127.011122685188</c:v>
                </c:pt>
                <c:pt idx="174">
                  <c:v>43127.011122685188</c:v>
                </c:pt>
                <c:pt idx="175">
                  <c:v>43127.015219907407</c:v>
                </c:pt>
                <c:pt idx="176">
                  <c:v>43127.015219907407</c:v>
                </c:pt>
                <c:pt idx="177">
                  <c:v>43127.015219907407</c:v>
                </c:pt>
                <c:pt idx="178">
                  <c:v>43127.015219907407</c:v>
                </c:pt>
                <c:pt idx="179">
                  <c:v>43127.015219907407</c:v>
                </c:pt>
                <c:pt idx="180">
                  <c:v>43127.015219907407</c:v>
                </c:pt>
                <c:pt idx="181">
                  <c:v>43127.015219907407</c:v>
                </c:pt>
                <c:pt idx="182">
                  <c:v>43127.015219907407</c:v>
                </c:pt>
                <c:pt idx="183">
                  <c:v>43127.015219907407</c:v>
                </c:pt>
                <c:pt idx="184">
                  <c:v>43127.015219907407</c:v>
                </c:pt>
                <c:pt idx="185">
                  <c:v>43127.015219907407</c:v>
                </c:pt>
                <c:pt idx="186">
                  <c:v>43127.015219907407</c:v>
                </c:pt>
                <c:pt idx="187">
                  <c:v>43127.027754629627</c:v>
                </c:pt>
                <c:pt idx="188">
                  <c:v>43127.032465277778</c:v>
                </c:pt>
                <c:pt idx="189">
                  <c:v>43127.039537037039</c:v>
                </c:pt>
                <c:pt idx="190">
                  <c:v>43127.080370370371</c:v>
                </c:pt>
                <c:pt idx="191">
                  <c:v>43127.126342592594</c:v>
                </c:pt>
                <c:pt idx="192">
                  <c:v>43127.158472222225</c:v>
                </c:pt>
                <c:pt idx="194">
                  <c:v>43127.191041666665</c:v>
                </c:pt>
                <c:pt idx="195">
                  <c:v>43127.199293981481</c:v>
                </c:pt>
                <c:pt idx="196">
                  <c:v>43127.207175925927</c:v>
                </c:pt>
                <c:pt idx="197">
                  <c:v>43127.213229166664</c:v>
                </c:pt>
                <c:pt idx="198">
                  <c:v>43127.24559027778</c:v>
                </c:pt>
                <c:pt idx="199">
                  <c:v>43127.264490740738</c:v>
                </c:pt>
                <c:pt idx="200">
                  <c:v>43127.307210648149</c:v>
                </c:pt>
                <c:pt idx="201">
                  <c:v>43127.35019675926</c:v>
                </c:pt>
                <c:pt idx="202">
                  <c:v>43127.438900462963</c:v>
                </c:pt>
                <c:pt idx="203">
                  <c:v>43128.004930555559</c:v>
                </c:pt>
                <c:pt idx="204">
                  <c:v>43128.007662037038</c:v>
                </c:pt>
                <c:pt idx="205">
                  <c:v>43128.01421296296</c:v>
                </c:pt>
                <c:pt idx="206">
                  <c:v>43128.015451388892</c:v>
                </c:pt>
                <c:pt idx="207">
                  <c:v>43128.016967592594</c:v>
                </c:pt>
                <c:pt idx="208">
                  <c:v>43128.01840277778</c:v>
                </c:pt>
                <c:pt idx="209">
                  <c:v>43128.019826388889</c:v>
                </c:pt>
                <c:pt idx="210">
                  <c:v>43128.021180555559</c:v>
                </c:pt>
                <c:pt idx="211">
                  <c:v>43128.022615740738</c:v>
                </c:pt>
                <c:pt idx="212">
                  <c:v>43128.024236111109</c:v>
                </c:pt>
                <c:pt idx="213">
                  <c:v>43128.025659722225</c:v>
                </c:pt>
                <c:pt idx="214">
                  <c:v>43128.027118055557</c:v>
                </c:pt>
                <c:pt idx="215">
                  <c:v>43128.028495370374</c:v>
                </c:pt>
                <c:pt idx="216">
                  <c:v>43128.030173611114</c:v>
                </c:pt>
                <c:pt idx="217">
                  <c:v>43128.034456018519</c:v>
                </c:pt>
                <c:pt idx="218">
                  <c:v>43128.092060185183</c:v>
                </c:pt>
                <c:pt idx="219">
                  <c:v>43128.133576388886</c:v>
                </c:pt>
                <c:pt idx="220">
                  <c:v>43128.175833333335</c:v>
                </c:pt>
                <c:pt idx="221">
                  <c:v>43128.217534722222</c:v>
                </c:pt>
                <c:pt idx="222">
                  <c:v>43128.259074074071</c:v>
                </c:pt>
                <c:pt idx="223">
                  <c:v>43128.324143518519</c:v>
                </c:pt>
                <c:pt idx="224">
                  <c:v>43128.366157407407</c:v>
                </c:pt>
                <c:pt idx="225">
                  <c:v>43128.407152777778</c:v>
                </c:pt>
                <c:pt idx="226">
                  <c:v>43128.452488425923</c:v>
                </c:pt>
                <c:pt idx="227">
                  <c:v>43128.492673611108</c:v>
                </c:pt>
                <c:pt idx="228">
                  <c:v>43128.534317129626</c:v>
                </c:pt>
                <c:pt idx="229">
                  <c:v>43128.577048611114</c:v>
                </c:pt>
                <c:pt idx="230">
                  <c:v>43128.618530092594</c:v>
                </c:pt>
                <c:pt idx="231">
                  <c:v>43128.660162037035</c:v>
                </c:pt>
                <c:pt idx="232">
                  <c:v>43128.702118055553</c:v>
                </c:pt>
                <c:pt idx="233">
                  <c:v>43128.744247685187</c:v>
                </c:pt>
                <c:pt idx="234">
                  <c:v>43128.78597222222</c:v>
                </c:pt>
                <c:pt idx="235">
                  <c:v>43128.828321759262</c:v>
                </c:pt>
                <c:pt idx="236">
                  <c:v>43128.869571759256</c:v>
                </c:pt>
                <c:pt idx="237">
                  <c:v>43128.912199074075</c:v>
                </c:pt>
                <c:pt idx="238">
                  <c:v>43128.954513888886</c:v>
                </c:pt>
                <c:pt idx="239">
                  <c:v>43128.996805555558</c:v>
                </c:pt>
                <c:pt idx="240">
                  <c:v>43129.037326388891</c:v>
                </c:pt>
                <c:pt idx="241">
                  <c:v>43129.0780787037</c:v>
                </c:pt>
                <c:pt idx="242">
                  <c:v>43129.125717592593</c:v>
                </c:pt>
                <c:pt idx="243">
                  <c:v>43129.170717592591</c:v>
                </c:pt>
                <c:pt idx="244">
                  <c:v>43129.23537037037</c:v>
                </c:pt>
                <c:pt idx="245">
                  <c:v>43129.276574074072</c:v>
                </c:pt>
                <c:pt idx="246">
                  <c:v>43129.317835648151</c:v>
                </c:pt>
                <c:pt idx="247">
                  <c:v>43129.3590625</c:v>
                </c:pt>
                <c:pt idx="248">
                  <c:v>43129.404432870368</c:v>
                </c:pt>
                <c:pt idx="249">
                  <c:v>43129.447094907409</c:v>
                </c:pt>
                <c:pt idx="250">
                  <c:v>43129.491863425923</c:v>
                </c:pt>
                <c:pt idx="251">
                  <c:v>43129.521145833336</c:v>
                </c:pt>
                <c:pt idx="252">
                  <c:v>43129.56354166667</c:v>
                </c:pt>
                <c:pt idx="253">
                  <c:v>43129.60491898148</c:v>
                </c:pt>
                <c:pt idx="254">
                  <c:v>43129.64707175926</c:v>
                </c:pt>
                <c:pt idx="255">
                  <c:v>43129.67765046296</c:v>
                </c:pt>
                <c:pt idx="256">
                  <c:v>43129.720289351855</c:v>
                </c:pt>
                <c:pt idx="257">
                  <c:v>43129.762800925928</c:v>
                </c:pt>
                <c:pt idx="258">
                  <c:v>43129.806493055556</c:v>
                </c:pt>
                <c:pt idx="259">
                  <c:v>43129.862638888888</c:v>
                </c:pt>
                <c:pt idx="260">
                  <c:v>43129.907534722224</c:v>
                </c:pt>
                <c:pt idx="261">
                  <c:v>43129.958379629628</c:v>
                </c:pt>
                <c:pt idx="262">
                  <c:v>43130.007673611108</c:v>
                </c:pt>
                <c:pt idx="263">
                  <c:v>43130.049560185187</c:v>
                </c:pt>
                <c:pt idx="264">
                  <c:v>43130.104386574072</c:v>
                </c:pt>
                <c:pt idx="265">
                  <c:v>43130.154953703706</c:v>
                </c:pt>
                <c:pt idx="266">
                  <c:v>43130.204270833332</c:v>
                </c:pt>
                <c:pt idx="267">
                  <c:v>43130.269837962966</c:v>
                </c:pt>
                <c:pt idx="268">
                  <c:v>43130.311122685183</c:v>
                </c:pt>
                <c:pt idx="269">
                  <c:v>43130.328344907408</c:v>
                </c:pt>
                <c:pt idx="270">
                  <c:v>43130.369502314818</c:v>
                </c:pt>
                <c:pt idx="271">
                  <c:v>43130.416990740741</c:v>
                </c:pt>
                <c:pt idx="272">
                  <c:v>43130.760405092595</c:v>
                </c:pt>
                <c:pt idx="273">
                  <c:v>43130.763958333337</c:v>
                </c:pt>
                <c:pt idx="275">
                  <c:v>43130.764606481483</c:v>
                </c:pt>
                <c:pt idx="276">
                  <c:v>43130.767800925925</c:v>
                </c:pt>
                <c:pt idx="277">
                  <c:v>43130.768900462965</c:v>
                </c:pt>
                <c:pt idx="278">
                  <c:v>43130.769062500003</c:v>
                </c:pt>
                <c:pt idx="279">
                  <c:v>43130.76971064815</c:v>
                </c:pt>
                <c:pt idx="280">
                  <c:v>43130.77140046296</c:v>
                </c:pt>
                <c:pt idx="281">
                  <c:v>43130.772233796299</c:v>
                </c:pt>
                <c:pt idx="282">
                  <c:v>43130.773726851854</c:v>
                </c:pt>
                <c:pt idx="283">
                  <c:v>43130.774652777778</c:v>
                </c:pt>
                <c:pt idx="284">
                  <c:v>43130.775277777779</c:v>
                </c:pt>
                <c:pt idx="285">
                  <c:v>43130.776076388887</c:v>
                </c:pt>
                <c:pt idx="286">
                  <c:v>43130.776782407411</c:v>
                </c:pt>
                <c:pt idx="287">
                  <c:v>43130.779340277775</c:v>
                </c:pt>
                <c:pt idx="288">
                  <c:v>43130.780150462961</c:v>
                </c:pt>
                <c:pt idx="289">
                  <c:v>43130.780891203707</c:v>
                </c:pt>
                <c:pt idx="290">
                  <c:v>43130.781608796293</c:v>
                </c:pt>
                <c:pt idx="291">
                  <c:v>43130.78230324074</c:v>
                </c:pt>
                <c:pt idx="292">
                  <c:v>43130.783321759256</c:v>
                </c:pt>
                <c:pt idx="293">
                  <c:v>43130.786030092589</c:v>
                </c:pt>
                <c:pt idx="294">
                  <c:v>43130.788854166669</c:v>
                </c:pt>
                <c:pt idx="295">
                  <c:v>43130.791631944441</c:v>
                </c:pt>
                <c:pt idx="296">
                  <c:v>43130.795694444445</c:v>
                </c:pt>
                <c:pt idx="297">
                  <c:v>43130.7971875</c:v>
                </c:pt>
                <c:pt idx="298">
                  <c:v>43130.798611111109</c:v>
                </c:pt>
                <c:pt idx="299">
                  <c:v>43130.800011574072</c:v>
                </c:pt>
                <c:pt idx="300">
                  <c:v>43130.801388888889</c:v>
                </c:pt>
                <c:pt idx="301">
                  <c:v>43130.802800925929</c:v>
                </c:pt>
                <c:pt idx="302">
                  <c:v>43130.804293981484</c:v>
                </c:pt>
                <c:pt idx="303">
                  <c:v>43130.805949074071</c:v>
                </c:pt>
                <c:pt idx="304">
                  <c:v>43130.807395833333</c:v>
                </c:pt>
                <c:pt idx="305">
                  <c:v>43130.808969907404</c:v>
                </c:pt>
                <c:pt idx="306">
                  <c:v>43130.810497685183</c:v>
                </c:pt>
                <c:pt idx="307">
                  <c:v>43130.812777777777</c:v>
                </c:pt>
                <c:pt idx="308">
                  <c:v>43130.907847222225</c:v>
                </c:pt>
                <c:pt idx="309">
                  <c:v>43130.951180555552</c:v>
                </c:pt>
                <c:pt idx="310">
                  <c:v>43131.007326388892</c:v>
                </c:pt>
                <c:pt idx="311">
                  <c:v>43131.056909722225</c:v>
                </c:pt>
                <c:pt idx="312">
                  <c:v>43131.09814814815</c:v>
                </c:pt>
                <c:pt idx="313">
                  <c:v>43131.139351851853</c:v>
                </c:pt>
                <c:pt idx="314">
                  <c:v>43131.191932870373</c:v>
                </c:pt>
                <c:pt idx="315">
                  <c:v>43131.232673611114</c:v>
                </c:pt>
                <c:pt idx="316">
                  <c:v>43131.281354166669</c:v>
                </c:pt>
                <c:pt idx="317">
                  <c:v>43131.326979166668</c:v>
                </c:pt>
                <c:pt idx="318">
                  <c:v>43132.666979166665</c:v>
                </c:pt>
                <c:pt idx="319">
                  <c:v>43132.670648148145</c:v>
                </c:pt>
                <c:pt idx="320">
                  <c:v>43132.673437500001</c:v>
                </c:pt>
                <c:pt idx="322">
                  <c:v>43132.715208333335</c:v>
                </c:pt>
                <c:pt idx="323">
                  <c:v>43132.716585648152</c:v>
                </c:pt>
                <c:pt idx="324">
                  <c:v>43132.718009259261</c:v>
                </c:pt>
                <c:pt idx="325">
                  <c:v>43132.71943287037</c:v>
                </c:pt>
                <c:pt idx="326">
                  <c:v>43132.720833333333</c:v>
                </c:pt>
                <c:pt idx="327">
                  <c:v>43132.722187500003</c:v>
                </c:pt>
                <c:pt idx="328">
                  <c:v>43132.723668981482</c:v>
                </c:pt>
                <c:pt idx="330">
                  <c:v>43132.736087962963</c:v>
                </c:pt>
                <c:pt idx="331">
                  <c:v>43132.737476851849</c:v>
                </c:pt>
                <c:pt idx="332">
                  <c:v>43132.738981481481</c:v>
                </c:pt>
                <c:pt idx="333">
                  <c:v>43132.740486111114</c:v>
                </c:pt>
                <c:pt idx="334">
                  <c:v>43132.744212962964</c:v>
                </c:pt>
                <c:pt idx="335">
                  <c:v>43132.788194444445</c:v>
                </c:pt>
                <c:pt idx="336">
                  <c:v>43132.830925925926</c:v>
                </c:pt>
                <c:pt idx="337">
                  <c:v>43132.873402777775</c:v>
                </c:pt>
                <c:pt idx="338">
                  <c:v>43132.9296412037</c:v>
                </c:pt>
                <c:pt idx="339">
                  <c:v>43132.972650462965</c:v>
                </c:pt>
                <c:pt idx="340">
                  <c:v>43133.018275462964</c:v>
                </c:pt>
                <c:pt idx="341">
                  <c:v>43133.066168981481</c:v>
                </c:pt>
                <c:pt idx="342">
                  <c:v>43133.107268518521</c:v>
                </c:pt>
                <c:pt idx="343">
                  <c:v>43133.148553240739</c:v>
                </c:pt>
                <c:pt idx="344">
                  <c:v>43133.165798611109</c:v>
                </c:pt>
                <c:pt idx="345">
                  <c:v>43133.206354166665</c:v>
                </c:pt>
                <c:pt idx="346">
                  <c:v>43133.247662037036</c:v>
                </c:pt>
                <c:pt idx="347">
                  <c:v>43133.289560185185</c:v>
                </c:pt>
                <c:pt idx="348">
                  <c:v>43133.330671296295</c:v>
                </c:pt>
                <c:pt idx="349">
                  <c:v>43133.372141203705</c:v>
                </c:pt>
                <c:pt idx="350">
                  <c:v>43133.423449074071</c:v>
                </c:pt>
                <c:pt idx="351">
                  <c:v>43133.445289351854</c:v>
                </c:pt>
                <c:pt idx="352">
                  <c:v>43133.482835648145</c:v>
                </c:pt>
                <c:pt idx="353">
                  <c:v>43133.524351851855</c:v>
                </c:pt>
                <c:pt idx="354">
                  <c:v>43133.566493055558</c:v>
                </c:pt>
                <c:pt idx="355">
                  <c:v>43133.617581018516</c:v>
                </c:pt>
                <c:pt idx="356">
                  <c:v>43133.656782407408</c:v>
                </c:pt>
                <c:pt idx="357">
                  <c:v>43133.677152777775</c:v>
                </c:pt>
                <c:pt idx="358">
                  <c:v>43133.729166666664</c:v>
                </c:pt>
                <c:pt idx="359">
                  <c:v>43133.772916666669</c:v>
                </c:pt>
                <c:pt idx="360">
                  <c:v>43133.830034722225</c:v>
                </c:pt>
                <c:pt idx="362">
                  <c:v>43133.877847222226</c:v>
                </c:pt>
                <c:pt idx="363">
                  <c:v>43133.921944444446</c:v>
                </c:pt>
                <c:pt idx="364">
                  <c:v>43133.964189814818</c:v>
                </c:pt>
                <c:pt idx="365">
                  <c:v>43134.006736111114</c:v>
                </c:pt>
                <c:pt idx="366">
                  <c:v>43134.052361111113</c:v>
                </c:pt>
                <c:pt idx="367">
                  <c:v>43134.093761574077</c:v>
                </c:pt>
                <c:pt idx="368">
                  <c:v>43134.139502314814</c:v>
                </c:pt>
                <c:pt idx="369">
                  <c:v>43134.181134259263</c:v>
                </c:pt>
                <c:pt idx="370">
                  <c:v>43134.236203703702</c:v>
                </c:pt>
                <c:pt idx="371">
                  <c:v>43134.277592592596</c:v>
                </c:pt>
                <c:pt idx="372">
                  <c:v>43134.302372685182</c:v>
                </c:pt>
                <c:pt idx="373">
                  <c:v>43134.344004629631</c:v>
                </c:pt>
                <c:pt idx="374">
                  <c:v>43134.385960648149</c:v>
                </c:pt>
                <c:pt idx="375">
                  <c:v>43134.427731481483</c:v>
                </c:pt>
                <c:pt idx="376">
                  <c:v>43134.468900462962</c:v>
                </c:pt>
                <c:pt idx="377">
                  <c:v>43134.510300925926</c:v>
                </c:pt>
                <c:pt idx="378">
                  <c:v>43134.551655092589</c:v>
                </c:pt>
                <c:pt idx="379">
                  <c:v>43134.593877314815</c:v>
                </c:pt>
                <c:pt idx="380">
                  <c:v>43134.635983796295</c:v>
                </c:pt>
                <c:pt idx="381">
                  <c:v>43134.648240740738</c:v>
                </c:pt>
                <c:pt idx="382">
                  <c:v>43134.650868055556</c:v>
                </c:pt>
                <c:pt idx="383">
                  <c:v>43134.654606481483</c:v>
                </c:pt>
                <c:pt idx="384">
                  <c:v>43134.697430555556</c:v>
                </c:pt>
                <c:pt idx="385">
                  <c:v>43134.741006944445</c:v>
                </c:pt>
                <c:pt idx="386">
                  <c:v>43134.78398148148</c:v>
                </c:pt>
                <c:pt idx="387">
                  <c:v>43134.82671296296</c:v>
                </c:pt>
                <c:pt idx="388">
                  <c:v>43134.869687500002</c:v>
                </c:pt>
                <c:pt idx="389">
                  <c:v>43134.911932870367</c:v>
                </c:pt>
                <c:pt idx="390">
                  <c:v>43134.955034722225</c:v>
                </c:pt>
                <c:pt idx="391">
                  <c:v>43134.997569444444</c:v>
                </c:pt>
                <c:pt idx="392">
                  <c:v>43135.040347222224</c:v>
                </c:pt>
                <c:pt idx="393">
                  <c:v>43135.081817129627</c:v>
                </c:pt>
                <c:pt idx="394">
                  <c:v>43135.123194444444</c:v>
                </c:pt>
                <c:pt idx="395">
                  <c:v>43135.128645833334</c:v>
                </c:pt>
                <c:pt idx="396">
                  <c:v>43135.160624999997</c:v>
                </c:pt>
                <c:pt idx="397">
                  <c:v>43135.20484953704</c:v>
                </c:pt>
                <c:pt idx="398">
                  <c:v>43135.249016203707</c:v>
                </c:pt>
                <c:pt idx="399">
                  <c:v>43135.29078703704</c:v>
                </c:pt>
                <c:pt idx="400">
                  <c:v>43135.332511574074</c:v>
                </c:pt>
                <c:pt idx="401">
                  <c:v>43135.373900462961</c:v>
                </c:pt>
                <c:pt idx="402">
                  <c:v>43135.415983796294</c:v>
                </c:pt>
                <c:pt idx="403">
                  <c:v>43135.458113425928</c:v>
                </c:pt>
                <c:pt idx="404">
                  <c:v>43135.499444444446</c:v>
                </c:pt>
                <c:pt idx="406">
                  <c:v>43135.556145833332</c:v>
                </c:pt>
                <c:pt idx="407">
                  <c:v>43135.600914351853</c:v>
                </c:pt>
                <c:pt idx="408">
                  <c:v>43135.64298611111</c:v>
                </c:pt>
                <c:pt idx="409">
                  <c:v>43135.663923611108</c:v>
                </c:pt>
                <c:pt idx="410">
                  <c:v>43135.708599537036</c:v>
                </c:pt>
                <c:pt idx="411">
                  <c:v>43135.751655092594</c:v>
                </c:pt>
                <c:pt idx="412">
                  <c:v>43135.794791666667</c:v>
                </c:pt>
                <c:pt idx="413">
                  <c:v>43135.83792824074</c:v>
                </c:pt>
                <c:pt idx="414">
                  <c:v>43135.881030092591</c:v>
                </c:pt>
                <c:pt idx="415">
                  <c:v>43135.923831018517</c:v>
                </c:pt>
                <c:pt idx="416">
                  <c:v>43135.966736111113</c:v>
                </c:pt>
                <c:pt idx="417">
                  <c:v>43136.009293981479</c:v>
                </c:pt>
                <c:pt idx="418">
                  <c:v>43136.050729166665</c:v>
                </c:pt>
                <c:pt idx="419">
                  <c:v>43136.09202546296</c:v>
                </c:pt>
                <c:pt idx="420">
                  <c:v>43136.148414351854</c:v>
                </c:pt>
                <c:pt idx="421">
                  <c:v>43136.189733796295</c:v>
                </c:pt>
                <c:pt idx="422">
                  <c:v>43136.231030092589</c:v>
                </c:pt>
                <c:pt idx="423">
                  <c:v>43136.272245370368</c:v>
                </c:pt>
                <c:pt idx="424">
                  <c:v>43136.31349537037</c:v>
                </c:pt>
                <c:pt idx="425">
                  <c:v>43136.354745370372</c:v>
                </c:pt>
                <c:pt idx="426">
                  <c:v>43136.396377314813</c:v>
                </c:pt>
                <c:pt idx="427">
                  <c:v>43136.437847222223</c:v>
                </c:pt>
                <c:pt idx="428">
                  <c:v>43136.461655092593</c:v>
                </c:pt>
                <c:pt idx="429">
                  <c:v>43136.502800925926</c:v>
                </c:pt>
                <c:pt idx="430">
                  <c:v>43136.545416666668</c:v>
                </c:pt>
                <c:pt idx="431">
                  <c:v>43136.586689814816</c:v>
                </c:pt>
                <c:pt idx="432">
                  <c:v>43136.636655092596</c:v>
                </c:pt>
                <c:pt idx="433">
                  <c:v>43136.684513888889</c:v>
                </c:pt>
                <c:pt idx="434">
                  <c:v>43136.727708333332</c:v>
                </c:pt>
                <c:pt idx="435">
                  <c:v>43136.731122685182</c:v>
                </c:pt>
                <c:pt idx="436">
                  <c:v>43136.732766203706</c:v>
                </c:pt>
                <c:pt idx="454">
                  <c:v>43136.759664351855</c:v>
                </c:pt>
                <c:pt idx="455">
                  <c:v>43136.803182870368</c:v>
                </c:pt>
                <c:pt idx="456">
                  <c:v>43136.846759259257</c:v>
                </c:pt>
                <c:pt idx="457">
                  <c:v>43136.890219907407</c:v>
                </c:pt>
                <c:pt idx="458">
                  <c:v>43136.932951388888</c:v>
                </c:pt>
                <c:pt idx="459">
                  <c:v>43136.977141203701</c:v>
                </c:pt>
                <c:pt idx="460">
                  <c:v>43137.019699074073</c:v>
                </c:pt>
                <c:pt idx="461">
                  <c:v>43137.039756944447</c:v>
                </c:pt>
                <c:pt idx="462">
                  <c:v>43137.081620370373</c:v>
                </c:pt>
                <c:pt idx="463">
                  <c:v>43137.218819444446</c:v>
                </c:pt>
                <c:pt idx="464">
                  <c:v>43137.260011574072</c:v>
                </c:pt>
                <c:pt idx="465">
                  <c:v>43137.303020833337</c:v>
                </c:pt>
                <c:pt idx="466">
                  <c:v>43137.348101851851</c:v>
                </c:pt>
                <c:pt idx="467">
                  <c:v>43137.389756944445</c:v>
                </c:pt>
                <c:pt idx="468">
                  <c:v>43137.431215277778</c:v>
                </c:pt>
                <c:pt idx="469">
                  <c:v>43137.46943287037</c:v>
                </c:pt>
                <c:pt idx="470">
                  <c:v>43137.510428240741</c:v>
                </c:pt>
                <c:pt idx="471">
                  <c:v>43137.551759259259</c:v>
                </c:pt>
                <c:pt idx="472">
                  <c:v>43137.593518518515</c:v>
                </c:pt>
                <c:pt idx="473">
                  <c:v>43137.636435185188</c:v>
                </c:pt>
                <c:pt idx="474">
                  <c:v>43137.678877314815</c:v>
                </c:pt>
                <c:pt idx="475">
                  <c:v>43137.721608796295</c:v>
                </c:pt>
                <c:pt idx="476">
                  <c:v>43137.764039351852</c:v>
                </c:pt>
                <c:pt idx="477">
                  <c:v>43137.872789351852</c:v>
                </c:pt>
                <c:pt idx="478">
                  <c:v>43137.915416666663</c:v>
                </c:pt>
                <c:pt idx="479">
                  <c:v>43137.958749999998</c:v>
                </c:pt>
                <c:pt idx="480">
                  <c:v>43137.974826388891</c:v>
                </c:pt>
                <c:pt idx="481">
                  <c:v>43138.016747685186</c:v>
                </c:pt>
                <c:pt idx="482">
                  <c:v>43138.058078703703</c:v>
                </c:pt>
                <c:pt idx="483">
                  <c:v>43138.126145833332</c:v>
                </c:pt>
                <c:pt idx="484">
                  <c:v>43138.167488425926</c:v>
                </c:pt>
                <c:pt idx="485">
                  <c:v>43138.209027777775</c:v>
                </c:pt>
                <c:pt idx="486">
                  <c:v>43138.260567129626</c:v>
                </c:pt>
                <c:pt idx="487">
                  <c:v>43138.301874999997</c:v>
                </c:pt>
                <c:pt idx="488">
                  <c:v>43138.347627314812</c:v>
                </c:pt>
                <c:pt idx="489">
                  <c:v>43138.369004629632</c:v>
                </c:pt>
                <c:pt idx="490">
                  <c:v>43138.373182870368</c:v>
                </c:pt>
                <c:pt idx="493">
                  <c:v>43139.388784722221</c:v>
                </c:pt>
                <c:pt idx="494">
                  <c:v>43139.391932870371</c:v>
                </c:pt>
                <c:pt idx="495">
                  <c:v>43139.395682870374</c:v>
                </c:pt>
                <c:pt idx="496">
                  <c:v>43139.398032407407</c:v>
                </c:pt>
                <c:pt idx="498">
                  <c:v>43139.41202546296</c:v>
                </c:pt>
                <c:pt idx="499">
                  <c:v>43139.413923611108</c:v>
                </c:pt>
                <c:pt idx="500">
                  <c:v>43139.415451388886</c:v>
                </c:pt>
                <c:pt idx="501">
                  <c:v>43139.416909722226</c:v>
                </c:pt>
                <c:pt idx="502">
                  <c:v>43139.418379629627</c:v>
                </c:pt>
                <c:pt idx="503">
                  <c:v>43139.41988425926</c:v>
                </c:pt>
                <c:pt idx="504">
                  <c:v>43139.421412037038</c:v>
                </c:pt>
                <c:pt idx="505">
                  <c:v>43139.423101851855</c:v>
                </c:pt>
                <c:pt idx="506">
                  <c:v>43139.424826388888</c:v>
                </c:pt>
                <c:pt idx="507">
                  <c:v>43139.426886574074</c:v>
                </c:pt>
                <c:pt idx="508">
                  <c:v>43139.428333333337</c:v>
                </c:pt>
                <c:pt idx="510">
                  <c:v>43139.433055555557</c:v>
                </c:pt>
                <c:pt idx="511">
                  <c:v>43139.436678240738</c:v>
                </c:pt>
                <c:pt idx="512">
                  <c:v>43139.43954861111</c:v>
                </c:pt>
                <c:pt idx="513">
                  <c:v>43139.441018518519</c:v>
                </c:pt>
                <c:pt idx="515">
                  <c:v>43139.444618055553</c:v>
                </c:pt>
                <c:pt idx="516">
                  <c:v>43139.485405092593</c:v>
                </c:pt>
                <c:pt idx="517">
                  <c:v>43139.514467592591</c:v>
                </c:pt>
                <c:pt idx="518">
                  <c:v>43139.531412037039</c:v>
                </c:pt>
                <c:pt idx="519">
                  <c:v>43139.545486111114</c:v>
                </c:pt>
                <c:pt idx="520">
                  <c:v>43139.586608796293</c:v>
                </c:pt>
                <c:pt idx="521">
                  <c:v>43139.628078703703</c:v>
                </c:pt>
                <c:pt idx="522">
                  <c:v>43139.672048611108</c:v>
                </c:pt>
                <c:pt idx="523">
                  <c:v>43139.714699074073</c:v>
                </c:pt>
                <c:pt idx="524">
                  <c:v>43139.758032407408</c:v>
                </c:pt>
                <c:pt idx="525">
                  <c:v>43139.800405092596</c:v>
                </c:pt>
                <c:pt idx="526">
                  <c:v>43139.843564814815</c:v>
                </c:pt>
                <c:pt idx="527">
                  <c:v>43139.886342592596</c:v>
                </c:pt>
                <c:pt idx="528">
                  <c:v>43139.929328703707</c:v>
                </c:pt>
                <c:pt idx="529">
                  <c:v>43139.98096064815</c:v>
                </c:pt>
                <c:pt idx="530">
                  <c:v>43140.02957175926</c:v>
                </c:pt>
                <c:pt idx="531">
                  <c:v>43140.070868055554</c:v>
                </c:pt>
                <c:pt idx="532">
                  <c:v>43140.108263888891</c:v>
                </c:pt>
                <c:pt idx="533">
                  <c:v>43140.149212962962</c:v>
                </c:pt>
                <c:pt idx="534">
                  <c:v>43140.190682870372</c:v>
                </c:pt>
                <c:pt idx="535">
                  <c:v>43140.247893518521</c:v>
                </c:pt>
                <c:pt idx="536">
                  <c:v>43140.289236111108</c:v>
                </c:pt>
                <c:pt idx="537">
                  <c:v>43140.330324074072</c:v>
                </c:pt>
                <c:pt idx="538">
                  <c:v>43140.371678240743</c:v>
                </c:pt>
                <c:pt idx="539">
                  <c:v>43140.413703703707</c:v>
                </c:pt>
                <c:pt idx="540">
                  <c:v>43140.455775462964</c:v>
                </c:pt>
                <c:pt idx="541">
                  <c:v>43140.497546296298</c:v>
                </c:pt>
                <c:pt idx="542">
                  <c:v>43140.538935185185</c:v>
                </c:pt>
                <c:pt idx="543">
                  <c:v>43140.581620370373</c:v>
                </c:pt>
                <c:pt idx="544">
                  <c:v>43140.624699074076</c:v>
                </c:pt>
                <c:pt idx="545">
                  <c:v>43140.644120370373</c:v>
                </c:pt>
                <c:pt idx="546">
                  <c:v>43140.684583333335</c:v>
                </c:pt>
                <c:pt idx="547">
                  <c:v>43140.750821759262</c:v>
                </c:pt>
                <c:pt idx="548">
                  <c:v>43140.804108796299</c:v>
                </c:pt>
                <c:pt idx="549">
                  <c:v>43140.846666666665</c:v>
                </c:pt>
                <c:pt idx="550">
                  <c:v>43140.889525462961</c:v>
                </c:pt>
                <c:pt idx="551">
                  <c:v>43140.931770833333</c:v>
                </c:pt>
                <c:pt idx="552">
                  <c:v>43140.978587962964</c:v>
                </c:pt>
                <c:pt idx="553">
                  <c:v>43141.020624999997</c:v>
                </c:pt>
                <c:pt idx="554">
                  <c:v>43141.062002314815</c:v>
                </c:pt>
                <c:pt idx="555">
                  <c:v>43141.103090277778</c:v>
                </c:pt>
                <c:pt idx="556">
                  <c:v>43141.172048611108</c:v>
                </c:pt>
                <c:pt idx="557">
                  <c:v>43141.213171296295</c:v>
                </c:pt>
                <c:pt idx="558">
                  <c:v>43141.25440972222</c:v>
                </c:pt>
                <c:pt idx="559">
                  <c:v>43141.295706018522</c:v>
                </c:pt>
                <c:pt idx="560">
                  <c:v>43141.337372685186</c:v>
                </c:pt>
                <c:pt idx="561">
                  <c:v>43141.368449074071</c:v>
                </c:pt>
                <c:pt idx="562">
                  <c:v>43141.371539351851</c:v>
                </c:pt>
                <c:pt idx="563">
                  <c:v>43146.020821759259</c:v>
                </c:pt>
                <c:pt idx="564">
                  <c:v>43146.023530092592</c:v>
                </c:pt>
                <c:pt idx="566">
                  <c:v>43146.026018518518</c:v>
                </c:pt>
                <c:pt idx="567">
                  <c:v>43146.033136574071</c:v>
                </c:pt>
                <c:pt idx="568">
                  <c:v>43146.034525462965</c:v>
                </c:pt>
                <c:pt idx="569">
                  <c:v>43146.028969907406</c:v>
                </c:pt>
                <c:pt idx="570">
                  <c:v>43146.037314814814</c:v>
                </c:pt>
                <c:pt idx="571">
                  <c:v>43146.038703703707</c:v>
                </c:pt>
                <c:pt idx="572">
                  <c:v>43146.040069444447</c:v>
                </c:pt>
                <c:pt idx="573">
                  <c:v>43146.041550925926</c:v>
                </c:pt>
                <c:pt idx="574">
                  <c:v>43146.043124999997</c:v>
                </c:pt>
                <c:pt idx="575">
                  <c:v>43146.044444444444</c:v>
                </c:pt>
                <c:pt idx="576">
                  <c:v>43146.052893518521</c:v>
                </c:pt>
                <c:pt idx="577">
                  <c:v>43146.055231481485</c:v>
                </c:pt>
                <c:pt idx="578">
                  <c:v>43146.057372685187</c:v>
                </c:pt>
                <c:pt idx="579">
                  <c:v>43146.098935185182</c:v>
                </c:pt>
                <c:pt idx="580">
                  <c:v>43146.120439814818</c:v>
                </c:pt>
                <c:pt idx="581">
                  <c:v>43146.163506944446</c:v>
                </c:pt>
                <c:pt idx="582">
                  <c:v>43146.197592592594</c:v>
                </c:pt>
                <c:pt idx="583">
                  <c:v>43146.243622685186</c:v>
                </c:pt>
                <c:pt idx="584">
                  <c:v>43146.283634259256</c:v>
                </c:pt>
                <c:pt idx="585">
                  <c:v>43146.330601851849</c:v>
                </c:pt>
                <c:pt idx="586">
                  <c:v>43146.370289351849</c:v>
                </c:pt>
                <c:pt idx="587">
                  <c:v>43146.411516203705</c:v>
                </c:pt>
                <c:pt idx="588">
                  <c:v>43146.449791666666</c:v>
                </c:pt>
                <c:pt idx="589">
                  <c:v>43146.491863425923</c:v>
                </c:pt>
                <c:pt idx="590">
                  <c:v>43146.533587962964</c:v>
                </c:pt>
                <c:pt idx="591">
                  <c:v>43146.565150462964</c:v>
                </c:pt>
                <c:pt idx="592">
                  <c:v>43146.59002314815</c:v>
                </c:pt>
                <c:pt idx="593">
                  <c:v>43146.632118055553</c:v>
                </c:pt>
                <c:pt idx="594">
                  <c:v>43146.669942129629</c:v>
                </c:pt>
                <c:pt idx="595">
                  <c:v>43146.706273148149</c:v>
                </c:pt>
                <c:pt idx="596">
                  <c:v>43146.748784722222</c:v>
                </c:pt>
                <c:pt idx="597">
                  <c:v>43146.797592592593</c:v>
                </c:pt>
                <c:pt idx="598">
                  <c:v>43146.840439814812</c:v>
                </c:pt>
                <c:pt idx="599">
                  <c:v>43146.879201388889</c:v>
                </c:pt>
                <c:pt idx="600">
                  <c:v>43146.922118055554</c:v>
                </c:pt>
                <c:pt idx="601">
                  <c:v>43146.964421296296</c:v>
                </c:pt>
                <c:pt idx="602">
                  <c:v>43147.006655092591</c:v>
                </c:pt>
                <c:pt idx="603">
                  <c:v>43147.049201388887</c:v>
                </c:pt>
                <c:pt idx="604">
                  <c:v>43147.088206018518</c:v>
                </c:pt>
                <c:pt idx="605">
                  <c:v>43147.128460648149</c:v>
                </c:pt>
                <c:pt idx="606">
                  <c:v>43147.168437499997</c:v>
                </c:pt>
                <c:pt idx="607">
                  <c:v>43147.210636574076</c:v>
                </c:pt>
                <c:pt idx="608">
                  <c:v>43147.252638888887</c:v>
                </c:pt>
                <c:pt idx="609">
                  <c:v>43147.295289351852</c:v>
                </c:pt>
                <c:pt idx="610">
                  <c:v>43147.337175925924</c:v>
                </c:pt>
                <c:pt idx="611">
                  <c:v>43147.379212962966</c:v>
                </c:pt>
                <c:pt idx="612">
                  <c:v>43147.418796296297</c:v>
                </c:pt>
                <c:pt idx="613">
                  <c:v>43147.462523148148</c:v>
                </c:pt>
                <c:pt idx="614">
                  <c:v>43147.505115740743</c:v>
                </c:pt>
                <c:pt idx="615">
                  <c:v>43147.54650462963</c:v>
                </c:pt>
                <c:pt idx="616">
                  <c:v>43147.589247685188</c:v>
                </c:pt>
                <c:pt idx="617">
                  <c:v>43147.629189814812</c:v>
                </c:pt>
                <c:pt idx="619">
                  <c:v>43147.679895833331</c:v>
                </c:pt>
                <c:pt idx="620">
                  <c:v>43147.680775462963</c:v>
                </c:pt>
                <c:pt idx="621">
                  <c:v>43147.681666666664</c:v>
                </c:pt>
                <c:pt idx="622">
                  <c:v>43147.684837962966</c:v>
                </c:pt>
                <c:pt idx="623">
                  <c:v>43147.688194444447</c:v>
                </c:pt>
                <c:pt idx="624">
                  <c:v>43147.733703703707</c:v>
                </c:pt>
                <c:pt idx="626">
                  <c:v>43147.98945601852</c:v>
                </c:pt>
                <c:pt idx="627">
                  <c:v>43148.034386574072</c:v>
                </c:pt>
                <c:pt idx="630">
                  <c:v>43148.730821759258</c:v>
                </c:pt>
                <c:pt idx="631">
                  <c:v>43148.790451388886</c:v>
                </c:pt>
                <c:pt idx="632">
                  <c:v>43148.838888888888</c:v>
                </c:pt>
                <c:pt idx="633">
                  <c:v>43148.901238425926</c:v>
                </c:pt>
                <c:pt idx="634">
                  <c:v>43148.943796296298</c:v>
                </c:pt>
                <c:pt idx="635">
                  <c:v>43148.987673611111</c:v>
                </c:pt>
                <c:pt idx="636">
                  <c:v>43149.030034722222</c:v>
                </c:pt>
                <c:pt idx="637">
                  <c:v>43149.042546296296</c:v>
                </c:pt>
                <c:pt idx="638">
                  <c:v>43149.092534722222</c:v>
                </c:pt>
                <c:pt idx="639">
                  <c:v>43149.133449074077</c:v>
                </c:pt>
                <c:pt idx="640">
                  <c:v>43149.174733796295</c:v>
                </c:pt>
                <c:pt idx="641">
                  <c:v>43149.209236111114</c:v>
                </c:pt>
                <c:pt idx="642">
                  <c:v>43149.251655092594</c:v>
                </c:pt>
                <c:pt idx="643">
                  <c:v>43149.2658912037</c:v>
                </c:pt>
                <c:pt idx="644">
                  <c:v>43149.278067129628</c:v>
                </c:pt>
                <c:pt idx="645">
                  <c:v>43149.320347222223</c:v>
                </c:pt>
                <c:pt idx="646">
                  <c:v>43149.362372685187</c:v>
                </c:pt>
                <c:pt idx="647">
                  <c:v>43149.403680555559</c:v>
                </c:pt>
                <c:pt idx="648">
                  <c:v>43149.422638888886</c:v>
                </c:pt>
                <c:pt idx="649">
                  <c:v>43149.463993055557</c:v>
                </c:pt>
                <c:pt idx="650">
                  <c:v>43149.506030092591</c:v>
                </c:pt>
                <c:pt idx="651">
                  <c:v>43149.548402777778</c:v>
                </c:pt>
                <c:pt idx="652">
                  <c:v>43149.589756944442</c:v>
                </c:pt>
                <c:pt idx="653">
                  <c:v>43149.631782407407</c:v>
                </c:pt>
                <c:pt idx="654">
                  <c:v>43149.67527777778</c:v>
                </c:pt>
                <c:pt idx="655">
                  <c:v>43149.677106481482</c:v>
                </c:pt>
                <c:pt idx="656">
                  <c:v>43149.679918981485</c:v>
                </c:pt>
                <c:pt idx="657">
                  <c:v>43149.683310185188</c:v>
                </c:pt>
                <c:pt idx="658">
                  <c:v>43149.684155092589</c:v>
                </c:pt>
                <c:pt idx="659">
                  <c:v>43149.68472222222</c:v>
                </c:pt>
                <c:pt idx="660">
                  <c:v>43149.685567129629</c:v>
                </c:pt>
                <c:pt idx="661">
                  <c:v>43149.686597222222</c:v>
                </c:pt>
                <c:pt idx="662">
                  <c:v>43149.688032407408</c:v>
                </c:pt>
                <c:pt idx="663">
                  <c:v>43149.688877314817</c:v>
                </c:pt>
                <c:pt idx="664">
                  <c:v>43149.690474537034</c:v>
                </c:pt>
                <c:pt idx="665">
                  <c:v>43149.691863425927</c:v>
                </c:pt>
                <c:pt idx="666">
                  <c:v>43149.693310185183</c:v>
                </c:pt>
                <c:pt idx="667">
                  <c:v>43149.698148148149</c:v>
                </c:pt>
                <c:pt idx="668">
                  <c:v>43149.699467592596</c:v>
                </c:pt>
                <c:pt idx="669">
                  <c:v>43149.701099537036</c:v>
                </c:pt>
                <c:pt idx="670">
                  <c:v>43149.702789351853</c:v>
                </c:pt>
                <c:pt idx="671">
                  <c:v>43149.704293981478</c:v>
                </c:pt>
                <c:pt idx="672">
                  <c:v>43149.705833333333</c:v>
                </c:pt>
                <c:pt idx="673">
                  <c:v>43149.707291666666</c:v>
                </c:pt>
                <c:pt idx="674">
                  <c:v>43149.709155092591</c:v>
                </c:pt>
                <c:pt idx="675">
                  <c:v>43149.718680555554</c:v>
                </c:pt>
                <c:pt idx="676">
                  <c:v>43149.76116898148</c:v>
                </c:pt>
                <c:pt idx="677">
                  <c:v>43149.803483796299</c:v>
                </c:pt>
                <c:pt idx="678">
                  <c:v>43149.84642361111</c:v>
                </c:pt>
                <c:pt idx="679">
                  <c:v>43149.889606481483</c:v>
                </c:pt>
                <c:pt idx="680">
                  <c:v>43149.932106481479</c:v>
                </c:pt>
                <c:pt idx="681">
                  <c:v>43149.980173611111</c:v>
                </c:pt>
                <c:pt idx="682">
                  <c:v>43150.022141203706</c:v>
                </c:pt>
                <c:pt idx="683">
                  <c:v>43150.064189814817</c:v>
                </c:pt>
                <c:pt idx="684">
                  <c:v>43150.105995370373</c:v>
                </c:pt>
                <c:pt idx="685">
                  <c:v>43150.148020833331</c:v>
                </c:pt>
                <c:pt idx="686">
                  <c:v>43150.18990740741</c:v>
                </c:pt>
                <c:pt idx="687">
                  <c:v>43150.231944444444</c:v>
                </c:pt>
                <c:pt idx="688">
                  <c:v>43150.273784722223</c:v>
                </c:pt>
                <c:pt idx="689">
                  <c:v>43150.315694444442</c:v>
                </c:pt>
                <c:pt idx="690">
                  <c:v>43150.357685185183</c:v>
                </c:pt>
                <c:pt idx="691">
                  <c:v>43150.399687500001</c:v>
                </c:pt>
                <c:pt idx="692">
                  <c:v>43150.441296296296</c:v>
                </c:pt>
                <c:pt idx="693">
                  <c:v>43150.478750000002</c:v>
                </c:pt>
                <c:pt idx="694">
                  <c:v>43150.521111111113</c:v>
                </c:pt>
                <c:pt idx="695">
                  <c:v>43150.571712962963</c:v>
                </c:pt>
                <c:pt idx="696">
                  <c:v>43150.613715277781</c:v>
                </c:pt>
                <c:pt idx="697">
                  <c:v>43150.655717592592</c:v>
                </c:pt>
                <c:pt idx="698">
                  <c:v>43150.698796296296</c:v>
                </c:pt>
                <c:pt idx="699">
                  <c:v>43150.741412037038</c:v>
                </c:pt>
                <c:pt idx="700">
                  <c:v>43150.784918981481</c:v>
                </c:pt>
                <c:pt idx="701">
                  <c:v>43150.828784722224</c:v>
                </c:pt>
                <c:pt idx="702">
                  <c:v>43150.870983796296</c:v>
                </c:pt>
                <c:pt idx="703">
                  <c:v>43150.913240740738</c:v>
                </c:pt>
                <c:pt idx="704">
                  <c:v>43150.955416666664</c:v>
                </c:pt>
                <c:pt idx="705">
                  <c:v>43150.998206018521</c:v>
                </c:pt>
                <c:pt idx="706">
                  <c:v>43151.039803240739</c:v>
                </c:pt>
                <c:pt idx="707">
                  <c:v>43151.086840277778</c:v>
                </c:pt>
                <c:pt idx="708">
                  <c:v>43151.128877314812</c:v>
                </c:pt>
                <c:pt idx="709">
                  <c:v>43151.170902777776</c:v>
                </c:pt>
                <c:pt idx="710">
                  <c:v>43151.22997685185</c:v>
                </c:pt>
                <c:pt idx="711">
                  <c:v>43151.271909722222</c:v>
                </c:pt>
                <c:pt idx="712">
                  <c:v>43151.313159722224</c:v>
                </c:pt>
                <c:pt idx="713">
                  <c:v>43151.354942129627</c:v>
                </c:pt>
                <c:pt idx="714">
                  <c:v>43151.396874999999</c:v>
                </c:pt>
                <c:pt idx="715">
                  <c:v>43151.43886574074</c:v>
                </c:pt>
                <c:pt idx="716">
                  <c:v>43151.483680555553</c:v>
                </c:pt>
                <c:pt idx="717">
                  <c:v>43151.525358796294</c:v>
                </c:pt>
                <c:pt idx="718">
                  <c:v>43151.567303240743</c:v>
                </c:pt>
                <c:pt idx="719">
                  <c:v>43151.609467592592</c:v>
                </c:pt>
                <c:pt idx="720">
                  <c:v>43151.651122685187</c:v>
                </c:pt>
                <c:pt idx="722">
                  <c:v>43151.678703703707</c:v>
                </c:pt>
                <c:pt idx="723">
                  <c:v>43151.685578703706</c:v>
                </c:pt>
                <c:pt idx="724">
                  <c:v>43151.688981481479</c:v>
                </c:pt>
                <c:pt idx="725">
                  <c:v>43151.731990740744</c:v>
                </c:pt>
                <c:pt idx="726">
                  <c:v>43151.774548611109</c:v>
                </c:pt>
                <c:pt idx="727">
                  <c:v>43151.81795138889</c:v>
                </c:pt>
                <c:pt idx="728">
                  <c:v>43151.860196759262</c:v>
                </c:pt>
                <c:pt idx="729">
                  <c:v>43151.903460648151</c:v>
                </c:pt>
                <c:pt idx="730">
                  <c:v>43151.946979166663</c:v>
                </c:pt>
                <c:pt idx="731">
                  <c:v>43151.990011574075</c:v>
                </c:pt>
                <c:pt idx="732">
                  <c:v>43152.030104166668</c:v>
                </c:pt>
                <c:pt idx="733">
                  <c:v>43152.071631944447</c:v>
                </c:pt>
                <c:pt idx="734">
                  <c:v>43152.115983796299</c:v>
                </c:pt>
                <c:pt idx="735">
                  <c:v>43152.158067129632</c:v>
                </c:pt>
                <c:pt idx="736">
                  <c:v>43152.200115740743</c:v>
                </c:pt>
                <c:pt idx="737">
                  <c:v>43152.211041666669</c:v>
                </c:pt>
                <c:pt idx="738">
                  <c:v>43152.252870370372</c:v>
                </c:pt>
                <c:pt idx="739">
                  <c:v>43152.294745370367</c:v>
                </c:pt>
                <c:pt idx="740">
                  <c:v>43152.333310185182</c:v>
                </c:pt>
                <c:pt idx="741">
                  <c:v>43154.982777777775</c:v>
                </c:pt>
                <c:pt idx="742">
                  <c:v>43154.984317129631</c:v>
                </c:pt>
                <c:pt idx="743">
                  <c:v>43154.987071759257</c:v>
                </c:pt>
                <c:pt idx="745">
                  <c:v>43154.991365740738</c:v>
                </c:pt>
                <c:pt idx="746">
                  <c:v>43154.993113425924</c:v>
                </c:pt>
                <c:pt idx="747">
                  <c:v>43154.994884259257</c:v>
                </c:pt>
                <c:pt idx="748">
                  <c:v>43154.996550925927</c:v>
                </c:pt>
                <c:pt idx="749">
                  <c:v>43154.99832175926</c:v>
                </c:pt>
                <c:pt idx="750">
                  <c:v>43154.999976851854</c:v>
                </c:pt>
                <c:pt idx="751">
                  <c:v>43155.001747685186</c:v>
                </c:pt>
                <c:pt idx="752">
                  <c:v>43155.003761574073</c:v>
                </c:pt>
                <c:pt idx="753">
                  <c:v>43155.005486111113</c:v>
                </c:pt>
                <c:pt idx="754">
                  <c:v>43155.007210648146</c:v>
                </c:pt>
                <c:pt idx="755">
                  <c:v>43155.008923611109</c:v>
                </c:pt>
                <c:pt idx="756">
                  <c:v>43154.013483796298</c:v>
                </c:pt>
                <c:pt idx="757">
                  <c:v>43154.05505787037</c:v>
                </c:pt>
                <c:pt idx="758">
                  <c:v>43154.097118055557</c:v>
                </c:pt>
                <c:pt idx="759">
                  <c:v>43154.140196759261</c:v>
                </c:pt>
                <c:pt idx="760">
                  <c:v>43154.150439814817</c:v>
                </c:pt>
                <c:pt idx="762">
                  <c:v>43154.156030092592</c:v>
                </c:pt>
                <c:pt idx="763">
                  <c:v>43154.196018518516</c:v>
                </c:pt>
                <c:pt idx="764">
                  <c:v>43154.238252314812</c:v>
                </c:pt>
                <c:pt idx="765">
                  <c:v>43154.280358796299</c:v>
                </c:pt>
                <c:pt idx="766">
                  <c:v>43154.322523148148</c:v>
                </c:pt>
                <c:pt idx="767">
                  <c:v>43154.36440972222</c:v>
                </c:pt>
                <c:pt idx="768">
                  <c:v>43154.407280092593</c:v>
                </c:pt>
                <c:pt idx="769">
                  <c:v>43154.449965277781</c:v>
                </c:pt>
                <c:pt idx="770">
                  <c:v>43154.493761574071</c:v>
                </c:pt>
                <c:pt idx="771">
                  <c:v>43154.538171296299</c:v>
                </c:pt>
                <c:pt idx="772">
                  <c:v>43154.578553240739</c:v>
                </c:pt>
                <c:pt idx="773">
                  <c:v>43154.623831018522</c:v>
                </c:pt>
                <c:pt idx="774">
                  <c:v>43154.665763888886</c:v>
                </c:pt>
                <c:pt idx="775">
                  <c:v>43154.70820601852</c:v>
                </c:pt>
                <c:pt idx="776">
                  <c:v>43154.751064814816</c:v>
                </c:pt>
                <c:pt idx="777">
                  <c:v>43154.793912037036</c:v>
                </c:pt>
                <c:pt idx="778">
                  <c:v>43154.837789351855</c:v>
                </c:pt>
                <c:pt idx="779">
                  <c:v>43154.873541666668</c:v>
                </c:pt>
                <c:pt idx="780">
                  <c:v>43154.916030092594</c:v>
                </c:pt>
                <c:pt idx="781">
                  <c:v>43154.959837962961</c:v>
                </c:pt>
                <c:pt idx="782">
                  <c:v>43155.001122685186</c:v>
                </c:pt>
                <c:pt idx="783">
                  <c:v>43155.043344907404</c:v>
                </c:pt>
                <c:pt idx="784">
                  <c:v>43155.08489583333</c:v>
                </c:pt>
                <c:pt idx="785">
                  <c:v>43155.128576388888</c:v>
                </c:pt>
                <c:pt idx="786">
                  <c:v>43155.168182870373</c:v>
                </c:pt>
                <c:pt idx="787">
                  <c:v>43155.216087962966</c:v>
                </c:pt>
                <c:pt idx="788">
                  <c:v>43155.256956018522</c:v>
                </c:pt>
                <c:pt idx="789">
                  <c:v>43155.298958333333</c:v>
                </c:pt>
                <c:pt idx="790">
                  <c:v>43155.34642361111</c:v>
                </c:pt>
                <c:pt idx="791">
                  <c:v>43155.389884259261</c:v>
                </c:pt>
                <c:pt idx="792">
                  <c:v>43155.432175925926</c:v>
                </c:pt>
                <c:pt idx="793">
                  <c:v>43155.474351851852</c:v>
                </c:pt>
                <c:pt idx="794">
                  <c:v>43155.516539351855</c:v>
                </c:pt>
                <c:pt idx="795">
                  <c:v>43155.563599537039</c:v>
                </c:pt>
                <c:pt idx="796">
                  <c:v>43155.608402777776</c:v>
                </c:pt>
                <c:pt idx="797">
                  <c:v>43155.650462962964</c:v>
                </c:pt>
                <c:pt idx="798">
                  <c:v>43155.692662037036</c:v>
                </c:pt>
                <c:pt idx="799">
                  <c:v>43155.735555555555</c:v>
                </c:pt>
                <c:pt idx="800">
                  <c:v>43155.738229166665</c:v>
                </c:pt>
                <c:pt idx="801">
                  <c:v>43155.742673611108</c:v>
                </c:pt>
                <c:pt idx="802">
                  <c:v>43155.785763888889</c:v>
                </c:pt>
                <c:pt idx="803">
                  <c:v>43155.828622685185</c:v>
                </c:pt>
                <c:pt idx="804">
                  <c:v>43155.871099537035</c:v>
                </c:pt>
                <c:pt idx="805">
                  <c:v>43155.913587962961</c:v>
                </c:pt>
                <c:pt idx="806">
                  <c:v>43155.956817129627</c:v>
                </c:pt>
                <c:pt idx="807">
                  <c:v>43155.999027777776</c:v>
                </c:pt>
                <c:pt idx="808">
                  <c:v>43156.041215277779</c:v>
                </c:pt>
                <c:pt idx="809">
                  <c:v>43156.083298611113</c:v>
                </c:pt>
                <c:pt idx="810">
                  <c:v>43156.125439814816</c:v>
                </c:pt>
                <c:pt idx="811">
                  <c:v>43156.166828703703</c:v>
                </c:pt>
                <c:pt idx="812">
                  <c:v>43156.216215277775</c:v>
                </c:pt>
              </c:numCache>
            </c:numRef>
          </c:xVal>
          <c:yVal>
            <c:numRef>
              <c:f>summary!$AU$2:$AU$900</c:f>
              <c:numCache>
                <c:formatCode>General</c:formatCode>
                <c:ptCount val="899"/>
                <c:pt idx="92" formatCode="[&lt;1000000]0.0,&quot;K&quot;;[&lt;1000000000]0.0,,&quot;M&quot;;#,##0.0,,,&quot;G&quot;">
                  <c:v>139976.31359999999</c:v>
                </c:pt>
                <c:pt idx="93" formatCode="[&lt;1000000]0.0,&quot;K&quot;;[&lt;1000000000]0.0,,&quot;M&quot;;#,##0.0,,,&quot;G&quot;">
                  <c:v>139261.1232</c:v>
                </c:pt>
                <c:pt idx="94" formatCode="[&lt;1000000]0.0,&quot;K&quot;;[&lt;1000000000]0.0,,&quot;M&quot;;#,##0.0,,,&quot;G&quot;">
                  <c:v>139657.2806</c:v>
                </c:pt>
                <c:pt idx="95" formatCode="[&lt;1000000]0.0,&quot;K&quot;;[&lt;1000000000]0.0,,&quot;M&quot;;#,##0.0,,,&quot;G&quot;">
                  <c:v>140284.67740000002</c:v>
                </c:pt>
                <c:pt idx="96" formatCode="[&lt;1000000]0.0,&quot;K&quot;;[&lt;1000000000]0.0,,&quot;M&quot;;#,##0.0,,,&quot;G&quot;">
                  <c:v>140335.38750000001</c:v>
                </c:pt>
                <c:pt idx="97" formatCode="[&lt;1000000]0.0,&quot;K&quot;;[&lt;1000000000]0.0,,&quot;M&quot;;#,##0.0,,,&quot;G&quot;">
                  <c:v>140064.00279999999</c:v>
                </c:pt>
                <c:pt idx="98" formatCode="[&lt;1000000]0.0,&quot;K&quot;;[&lt;1000000000]0.0,,&quot;M&quot;;#,##0.0,,,&quot;G&quot;">
                  <c:v>139180.53819999998</c:v>
                </c:pt>
                <c:pt idx="99" formatCode="[&lt;1000000]0.0,&quot;K&quot;;[&lt;1000000000]0.0,,&quot;M&quot;;#,##0.0,,,&quot;G&quot;">
                  <c:v>123466.43399999999</c:v>
                </c:pt>
                <c:pt idx="100" formatCode="[&lt;1000000]0.0,&quot;K&quot;;[&lt;1000000000]0.0,,&quot;M&quot;;#,##0.0,,,&quot;G&quot;">
                  <c:v>139664.5012</c:v>
                </c:pt>
                <c:pt idx="103" formatCode="[&lt;1000000]0.0,&quot;K&quot;;[&lt;1000000000]0.0,,&quot;M&quot;;#,##0.0,,,&quot;G&quot;">
                  <c:v>145170.98249999998</c:v>
                </c:pt>
                <c:pt idx="104" formatCode="[&lt;1000000]0.0,&quot;K&quot;;[&lt;1000000000]0.0,,&quot;M&quot;;#,##0.0,,,&quot;G&quot;">
                  <c:v>143211.32249999998</c:v>
                </c:pt>
                <c:pt idx="105" formatCode="[&lt;1000000]0.0,&quot;K&quot;;[&lt;1000000000]0.0,,&quot;M&quot;;#,##0.0,,,&quot;G&quot;">
                  <c:v>144106.671</c:v>
                </c:pt>
                <c:pt idx="124" formatCode="[&lt;1000000]0.0,&quot;K&quot;;[&lt;1000000000]0.0,,&quot;M&quot;;#,##0.0,,,&quot;G&quot;">
                  <c:v>142307.068</c:v>
                </c:pt>
                <c:pt idx="125" formatCode="[&lt;1000000]0.0,&quot;K&quot;;[&lt;1000000000]0.0,,&quot;M&quot;;#,##0.0,,,&quot;G&quot;">
                  <c:v>139788.83609999999</c:v>
                </c:pt>
                <c:pt idx="126" formatCode="[&lt;1000000]0.0,&quot;K&quot;;[&lt;1000000000]0.0,,&quot;M&quot;;#,##0.0,,,&quot;G&quot;">
                  <c:v>139768.788</c:v>
                </c:pt>
                <c:pt idx="127" formatCode="[&lt;1000000]0.0,&quot;K&quot;;[&lt;1000000000]0.0,,&quot;M&quot;;#,##0.0,,,&quot;G&quot;">
                  <c:v>139676.94999999998</c:v>
                </c:pt>
                <c:pt idx="128" formatCode="[&lt;1000000]0.0,&quot;K&quot;;[&lt;1000000000]0.0,,&quot;M&quot;;#,##0.0,,,&quot;G&quot;">
                  <c:v>140368.92720000001</c:v>
                </c:pt>
                <c:pt idx="129" formatCode="[&lt;1000000]0.0,&quot;K&quot;;[&lt;1000000000]0.0,,&quot;M&quot;;#,##0.0,,,&quot;G&quot;">
                  <c:v>139191.4865</c:v>
                </c:pt>
                <c:pt idx="130" formatCode="[&lt;1000000]0.0,&quot;K&quot;;[&lt;1000000000]0.0,,&quot;M&quot;;#,##0.0,,,&quot;G&quot;">
                  <c:v>139426.8181</c:v>
                </c:pt>
                <c:pt idx="131" formatCode="[&lt;1000000]0.0,&quot;K&quot;;[&lt;1000000000]0.0,,&quot;M&quot;;#,##0.0,,,&quot;G&quot;">
                  <c:v>139959.70199999999</c:v>
                </c:pt>
                <c:pt idx="132" formatCode="[&lt;1000000]0.0,&quot;K&quot;;[&lt;1000000000]0.0,,&quot;M&quot;;#,##0.0,,,&quot;G&quot;">
                  <c:v>139665.57249999998</c:v>
                </c:pt>
                <c:pt idx="148" formatCode="[&lt;1000000]0.0,&quot;K&quot;;[&lt;1000000000]0.0,,&quot;M&quot;;#,##0.0,,,&quot;G&quot;">
                  <c:v>133660.92689999999</c:v>
                </c:pt>
                <c:pt idx="149" formatCode="[&lt;1000000]0.0,&quot;K&quot;;[&lt;1000000000]0.0,,&quot;M&quot;;#,##0.0,,,&quot;G&quot;">
                  <c:v>138615.38499999998</c:v>
                </c:pt>
                <c:pt idx="150" formatCode="[&lt;1000000]0.0,&quot;K&quot;;[&lt;1000000000]0.0,,&quot;M&quot;;#,##0.0,,,&quot;G&quot;">
                  <c:v>136197.91879999998</c:v>
                </c:pt>
                <c:pt idx="151" formatCode="[&lt;1000000]0.0,&quot;K&quot;;[&lt;1000000000]0.0,,&quot;M&quot;;#,##0.0,,,&quot;G&quot;">
                  <c:v>134477.84759999998</c:v>
                </c:pt>
                <c:pt idx="152" formatCode="[&lt;1000000]0.0,&quot;K&quot;;[&lt;1000000000]0.0,,&quot;M&quot;;#,##0.0,,,&quot;G&quot;">
                  <c:v>136843.61039999998</c:v>
                </c:pt>
                <c:pt idx="153" formatCode="[&lt;1000000]0.0,&quot;K&quot;;[&lt;1000000000]0.0,,&quot;M&quot;;#,##0.0,,,&quot;G&quot;">
                  <c:v>136843.61039999998</c:v>
                </c:pt>
                <c:pt idx="154" formatCode="[&lt;1000000]0.0,&quot;K&quot;;[&lt;1000000000]0.0,,&quot;M&quot;;#,##0.0,,,&quot;G&quot;">
                  <c:v>135979.8247</c:v>
                </c:pt>
                <c:pt idx="155" formatCode="[&lt;1000000]0.0,&quot;K&quot;;[&lt;1000000000]0.0,,&quot;M&quot;;#,##0.0,,,&quot;G&quot;">
                  <c:v>136750.3272</c:v>
                </c:pt>
                <c:pt idx="156" formatCode="[&lt;1000000]0.0,&quot;K&quot;;[&lt;1000000000]0.0,,&quot;M&quot;;#,##0.0,,,&quot;G&quot;">
                  <c:v>138744.88749999998</c:v>
                </c:pt>
                <c:pt idx="157" formatCode="[&lt;1000000]0.0,&quot;K&quot;;[&lt;1000000000]0.0,,&quot;M&quot;;#,##0.0,,,&quot;G&quot;">
                  <c:v>138620.62479999999</c:v>
                </c:pt>
                <c:pt idx="158" formatCode="[&lt;1000000]0.0,&quot;K&quot;;[&lt;1000000000]0.0,,&quot;M&quot;;#,##0.0,,,&quot;G&quot;">
                  <c:v>138911.84459999998</c:v>
                </c:pt>
                <c:pt idx="159" formatCode="[&lt;1000000]0.0,&quot;K&quot;;[&lt;1000000000]0.0,,&quot;M&quot;;#,##0.0,,,&quot;G&quot;">
                  <c:v>137526.872</c:v>
                </c:pt>
                <c:pt idx="188" formatCode="[&lt;1000000]0.0,&quot;K&quot;;[&lt;1000000000]0.0,,&quot;M&quot;;#,##0.0,,,&quot;G&quot;">
                  <c:v>178801.19295</c:v>
                </c:pt>
                <c:pt idx="189" formatCode="[&lt;1000000]0.0,&quot;K&quot;;[&lt;1000000000]0.0,,&quot;M&quot;;#,##0.0,,,&quot;G&quot;">
                  <c:v>169769.73340000003</c:v>
                </c:pt>
                <c:pt idx="190" formatCode="[&lt;1000000]0.0,&quot;K&quot;;[&lt;1000000000]0.0,,&quot;M&quot;;#,##0.0,,,&quot;G&quot;">
                  <c:v>177854.41440000001</c:v>
                </c:pt>
                <c:pt idx="191" formatCode="[&lt;1000000]0.0,&quot;K&quot;;[&lt;1000000000]0.0,,&quot;M&quot;;#,##0.0,,,&quot;G&quot;">
                  <c:v>181109.52</c:v>
                </c:pt>
                <c:pt idx="192" formatCode="[&lt;1000000]0.0,&quot;K&quot;;[&lt;1000000000]0.0,,&quot;M&quot;;#,##0.0,,,&quot;G&quot;">
                  <c:v>180658.84</c:v>
                </c:pt>
                <c:pt idx="194" formatCode="[&lt;1000000]0.0,&quot;K&quot;;[&lt;1000000000]0.0,,&quot;M&quot;;#,##0.0,,,&quot;G&quot;">
                  <c:v>177468.71</c:v>
                </c:pt>
                <c:pt idx="195" formatCode="[&lt;1000000]0.0,&quot;K&quot;;[&lt;1000000000]0.0,,&quot;M&quot;;#,##0.0,,,&quot;G&quot;">
                  <c:v>177353.44200000001</c:v>
                </c:pt>
                <c:pt idx="196" formatCode="[&lt;1000000]0.0,&quot;K&quot;;[&lt;1000000000]0.0,,&quot;M&quot;;#,##0.0,,,&quot;G&quot;">
                  <c:v>177509.65049999999</c:v>
                </c:pt>
                <c:pt idx="197" formatCode="[&lt;1000000]0.0,&quot;K&quot;;[&lt;1000000000]0.0,,&quot;M&quot;;#,##0.0,,,&quot;G&quot;">
                  <c:v>178113.88349999997</c:v>
                </c:pt>
                <c:pt idx="198" formatCode="[&lt;1000000]0.0,&quot;K&quot;;[&lt;1000000000]0.0,,&quot;M&quot;;#,##0.0,,,&quot;G&quot;">
                  <c:v>180302.875</c:v>
                </c:pt>
                <c:pt idx="199" formatCode="[&lt;1000000]0.0,&quot;K&quot;;[&lt;1000000000]0.0,,&quot;M&quot;;#,##0.0,,,&quot;G&quot;">
                  <c:v>180302.875</c:v>
                </c:pt>
                <c:pt idx="200" formatCode="[&lt;1000000]0.0,&quot;K&quot;;[&lt;1000000000]0.0,,&quot;M&quot;;#,##0.0,,,&quot;G&quot;">
                  <c:v>180210.3512</c:v>
                </c:pt>
                <c:pt idx="201" formatCode="[&lt;1000000]0.0,&quot;K&quot;;[&lt;1000000000]0.0,,&quot;M&quot;;#,##0.0,,,&quot;G&quot;">
                  <c:v>180972.05499999999</c:v>
                </c:pt>
                <c:pt idx="202" formatCode="[&lt;1000000]0.0,&quot;K&quot;;[&lt;1000000000]0.0,,&quot;M&quot;;#,##0.0,,,&quot;G&quot;">
                  <c:v>179351.64599999998</c:v>
                </c:pt>
                <c:pt idx="217" formatCode="[&lt;1000000]0.0,&quot;K&quot;;[&lt;1000000000]0.0,,&quot;M&quot;;#,##0.0,,,&quot;G&quot;">
                  <c:v>184701.29019999999</c:v>
                </c:pt>
                <c:pt idx="218" formatCode="[&lt;1000000]0.0,&quot;K&quot;;[&lt;1000000000]0.0,,&quot;M&quot;;#,##0.0,,,&quot;G&quot;">
                  <c:v>185094.95969999998</c:v>
                </c:pt>
                <c:pt idx="219" formatCode="[&lt;1000000]0.0,&quot;K&quot;;[&lt;1000000000]0.0,,&quot;M&quot;;#,##0.0,,,&quot;G&quot;">
                  <c:v>185181.31200000001</c:v>
                </c:pt>
                <c:pt idx="220" formatCode="[&lt;1000000]0.0,&quot;K&quot;;[&lt;1000000000]0.0,,&quot;M&quot;;#,##0.0,,,&quot;G&quot;">
                  <c:v>186369.50399999999</c:v>
                </c:pt>
                <c:pt idx="221" formatCode="[&lt;1000000]0.0,&quot;K&quot;;[&lt;1000000000]0.0,,&quot;M&quot;;#,##0.0,,,&quot;G&quot;">
                  <c:v>183907.93409999998</c:v>
                </c:pt>
                <c:pt idx="222" formatCode="[&lt;1000000]0.0,&quot;K&quot;;[&lt;1000000000]0.0,,&quot;M&quot;;#,##0.0,,,&quot;G&quot;">
                  <c:v>184972.52039999998</c:v>
                </c:pt>
                <c:pt idx="223" formatCode="[&lt;1000000]0.0,&quot;K&quot;;[&lt;1000000000]0.0,,&quot;M&quot;;#,##0.0,,,&quot;G&quot;">
                  <c:v>184618.79370000001</c:v>
                </c:pt>
                <c:pt idx="224" formatCode="[&lt;1000000]0.0,&quot;K&quot;;[&lt;1000000000]0.0,,&quot;M&quot;;#,##0.0,,,&quot;G&quot;">
                  <c:v>184447.29929999998</c:v>
                </c:pt>
                <c:pt idx="225" formatCode="[&lt;1000000]0.0,&quot;K&quot;;[&lt;1000000000]0.0,,&quot;M&quot;;#,##0.0,,,&quot;G&quot;">
                  <c:v>184752.79079999999</c:v>
                </c:pt>
                <c:pt idx="226" formatCode="[&lt;1000000]0.0,&quot;K&quot;;[&lt;1000000000]0.0,,&quot;M&quot;;#,##0.0,,,&quot;G&quot;">
                  <c:v>185277.77479999998</c:v>
                </c:pt>
                <c:pt idx="227" formatCode="[&lt;1000000]0.0,&quot;K&quot;;[&lt;1000000000]0.0,,&quot;M&quot;;#,##0.0,,,&quot;G&quot;">
                  <c:v>184967.62172</c:v>
                </c:pt>
                <c:pt idx="228" formatCode="[&lt;1000000]0.0,&quot;K&quot;;[&lt;1000000000]0.0,,&quot;M&quot;;#,##0.0,,,&quot;G&quot;">
                  <c:v>184999.4192</c:v>
                </c:pt>
                <c:pt idx="229" formatCode="[&lt;1000000]0.0,&quot;K&quot;;[&lt;1000000000]0.0,,&quot;M&quot;;#,##0.0,,,&quot;G&quot;">
                  <c:v>183967.18976000001</c:v>
                </c:pt>
                <c:pt idx="230" formatCode="[&lt;1000000]0.0,&quot;K&quot;;[&lt;1000000000]0.0,,&quot;M&quot;;#,##0.0,,,&quot;G&quot;">
                  <c:v>184707.66899999999</c:v>
                </c:pt>
                <c:pt idx="231" formatCode="[&lt;1000000]0.0,&quot;K&quot;;[&lt;1000000000]0.0,,&quot;M&quot;;#,##0.0,,,&quot;G&quot;">
                  <c:v>184449.97079999998</c:v>
                </c:pt>
                <c:pt idx="232" formatCode="[&lt;1000000]0.0,&quot;K&quot;;[&lt;1000000000]0.0,,&quot;M&quot;;#,##0.0,,,&quot;G&quot;">
                  <c:v>184327.00440000001</c:v>
                </c:pt>
                <c:pt idx="233" formatCode="[&lt;1000000]0.0,&quot;K&quot;;[&lt;1000000000]0.0,,&quot;M&quot;;#,##0.0,,,&quot;G&quot;">
                  <c:v>183337.84</c:v>
                </c:pt>
                <c:pt idx="234" formatCode="[&lt;1000000]0.0,&quot;K&quot;;[&lt;1000000000]0.0,,&quot;M&quot;;#,##0.0,,,&quot;G&quot;">
                  <c:v>183939.7065</c:v>
                </c:pt>
                <c:pt idx="235" formatCode="[&lt;1000000]0.0,&quot;K&quot;;[&lt;1000000000]0.0,,&quot;M&quot;;#,##0.0,,,&quot;G&quot;">
                  <c:v>183606.02499999999</c:v>
                </c:pt>
                <c:pt idx="236" formatCode="[&lt;1000000]0.0,&quot;K&quot;;[&lt;1000000000]0.0,,&quot;M&quot;;#,##0.0,,,&quot;G&quot;">
                  <c:v>183502.677</c:v>
                </c:pt>
                <c:pt idx="237" formatCode="[&lt;1000000]0.0,&quot;K&quot;;[&lt;1000000000]0.0,,&quot;M&quot;;#,##0.0,,,&quot;G&quot;">
                  <c:v>180482.49179999999</c:v>
                </c:pt>
                <c:pt idx="238" formatCode="[&lt;1000000]0.0,&quot;K&quot;;[&lt;1000000000]0.0,,&quot;M&quot;;#,##0.0,,,&quot;G&quot;">
                  <c:v>183923.34940000001</c:v>
                </c:pt>
                <c:pt idx="239" formatCode="[&lt;1000000]0.0,&quot;K&quot;;[&lt;1000000000]0.0,,&quot;M&quot;;#,##0.0,,,&quot;G&quot;">
                  <c:v>181914.03449999998</c:v>
                </c:pt>
                <c:pt idx="240" formatCode="[&lt;1000000]0.0,&quot;K&quot;;[&lt;1000000000]0.0,,&quot;M&quot;;#,##0.0,,,&quot;G&quot;">
                  <c:v>183232.50749999998</c:v>
                </c:pt>
                <c:pt idx="241" formatCode="[&lt;1000000]0.0,&quot;K&quot;;[&lt;1000000000]0.0,,&quot;M&quot;;#,##0.0,,,&quot;G&quot;">
                  <c:v>179093.21419999999</c:v>
                </c:pt>
                <c:pt idx="242" formatCode="[&lt;1000000]0.0,&quot;K&quot;;[&lt;1000000000]0.0,,&quot;M&quot;;#,##0.0,,,&quot;G&quot;">
                  <c:v>184454.4436</c:v>
                </c:pt>
                <c:pt idx="243" formatCode="[&lt;1000000]0.0,&quot;K&quot;;[&lt;1000000000]0.0,,&quot;M&quot;;#,##0.0,,,&quot;G&quot;">
                  <c:v>185138.59419999999</c:v>
                </c:pt>
                <c:pt idx="244" formatCode="[&lt;1000000]0.0,&quot;K&quot;;[&lt;1000000000]0.0,,&quot;M&quot;;#,##0.0,,,&quot;G&quot;">
                  <c:v>184614.59659999999</c:v>
                </c:pt>
                <c:pt idx="245" formatCode="[&lt;1000000]0.0,&quot;K&quot;;[&lt;1000000000]0.0,,&quot;M&quot;;#,##0.0,,,&quot;G&quot;">
                  <c:v>184592.42749999999</c:v>
                </c:pt>
                <c:pt idx="246" formatCode="[&lt;1000000]0.0,&quot;K&quot;;[&lt;1000000000]0.0,,&quot;M&quot;;#,##0.0,,,&quot;G&quot;">
                  <c:v>184711.35969999997</c:v>
                </c:pt>
                <c:pt idx="247" formatCode="[&lt;1000000]0.0,&quot;K&quot;;[&lt;1000000000]0.0,,&quot;M&quot;;#,##0.0,,,&quot;G&quot;">
                  <c:v>184416.60639999999</c:v>
                </c:pt>
                <c:pt idx="248" formatCode="[&lt;1000000]0.0,&quot;K&quot;;[&lt;1000000000]0.0,,&quot;M&quot;;#,##0.0,,,&quot;G&quot;">
                  <c:v>184910.25149999998</c:v>
                </c:pt>
                <c:pt idx="249" formatCode="[&lt;1000000]0.0,&quot;K&quot;;[&lt;1000000000]0.0,,&quot;M&quot;;#,##0.0,,,&quot;G&quot;">
                  <c:v>185973.6</c:v>
                </c:pt>
                <c:pt idx="250" formatCode="[&lt;1000000]0.0,&quot;K&quot;;[&lt;1000000000]0.0,,&quot;M&quot;;#,##0.0,,,&quot;G&quot;">
                  <c:v>184509.842</c:v>
                </c:pt>
                <c:pt idx="251" formatCode="[&lt;1000000]0.0,&quot;K&quot;;[&lt;1000000000]0.0,,&quot;M&quot;;#,##0.0,,,&quot;G&quot;">
                  <c:v>185435.55739999999</c:v>
                </c:pt>
                <c:pt idx="252" formatCode="[&lt;1000000]0.0,&quot;K&quot;;[&lt;1000000000]0.0,,&quot;M&quot;;#,##0.0,,,&quot;G&quot;">
                  <c:v>185725.85129999998</c:v>
                </c:pt>
                <c:pt idx="253" formatCode="[&lt;1000000]0.0,&quot;K&quot;;[&lt;1000000000]0.0,,&quot;M&quot;;#,##0.0,,,&quot;G&quot;">
                  <c:v>185248.97820000001</c:v>
                </c:pt>
                <c:pt idx="254" formatCode="[&lt;1000000]0.0,&quot;K&quot;;[&lt;1000000000]0.0,,&quot;M&quot;;#,##0.0,,,&quot;G&quot;">
                  <c:v>185005.30859999999</c:v>
                </c:pt>
                <c:pt idx="255" formatCode="[&lt;1000000]0.0,&quot;K&quot;;[&lt;1000000000]0.0,,&quot;M&quot;;#,##0.0,,,&quot;G&quot;">
                  <c:v>183640.98499999999</c:v>
                </c:pt>
                <c:pt idx="256" formatCode="[&lt;1000000]0.0,&quot;K&quot;;[&lt;1000000000]0.0,,&quot;M&quot;;#,##0.0,,,&quot;G&quot;">
                  <c:v>184858.29949999999</c:v>
                </c:pt>
                <c:pt idx="257" formatCode="[&lt;1000000]0.0,&quot;K&quot;;[&lt;1000000000]0.0,,&quot;M&quot;;#,##0.0,,,&quot;G&quot;">
                  <c:v>184946.3505</c:v>
                </c:pt>
                <c:pt idx="258" formatCode="[&lt;1000000]0.0,&quot;K&quot;;[&lt;1000000000]0.0,,&quot;M&quot;;#,##0.0,,,&quot;G&quot;">
                  <c:v>184660.62839999999</c:v>
                </c:pt>
                <c:pt idx="259" formatCode="[&lt;1000000]0.0,&quot;K&quot;;[&lt;1000000000]0.0,,&quot;M&quot;;#,##0.0,,,&quot;G&quot;">
                  <c:v>183463.55479999998</c:v>
                </c:pt>
                <c:pt idx="260" formatCode="[&lt;1000000]0.0,&quot;K&quot;;[&lt;1000000000]0.0,,&quot;M&quot;;#,##0.0,,,&quot;G&quot;">
                  <c:v>185675.73009999999</c:v>
                </c:pt>
                <c:pt idx="261" formatCode="[&lt;1000000]0.0,&quot;K&quot;;[&lt;1000000000]0.0,,&quot;M&quot;;#,##0.0,,,&quot;G&quot;">
                  <c:v>184786.5784</c:v>
                </c:pt>
                <c:pt idx="262" formatCode="[&lt;1000000]0.0,&quot;K&quot;;[&lt;1000000000]0.0,,&quot;M&quot;;#,##0.0,,,&quot;G&quot;">
                  <c:v>185067.84</c:v>
                </c:pt>
                <c:pt idx="263" formatCode="[&lt;1000000]0.0,&quot;K&quot;;[&lt;1000000000]0.0,,&quot;M&quot;;#,##0.0,,,&quot;G&quot;">
                  <c:v>184359.53320000001</c:v>
                </c:pt>
                <c:pt idx="264" formatCode="[&lt;1000000]0.0,&quot;K&quot;;[&lt;1000000000]0.0,,&quot;M&quot;;#,##0.0,,,&quot;G&quot;">
                  <c:v>185261.28</c:v>
                </c:pt>
                <c:pt idx="265" formatCode="[&lt;1000000]0.0,&quot;K&quot;;[&lt;1000000000]0.0,,&quot;M&quot;;#,##0.0,,,&quot;G&quot;">
                  <c:v>185048.92799999999</c:v>
                </c:pt>
                <c:pt idx="266" formatCode="[&lt;1000000]0.0,&quot;K&quot;;[&lt;1000000000]0.0,,&quot;M&quot;;#,##0.0,,,&quot;G&quot;">
                  <c:v>184602.14179999998</c:v>
                </c:pt>
                <c:pt idx="267" formatCode="[&lt;1000000]0.0,&quot;K&quot;;[&lt;1000000000]0.0,,&quot;M&quot;;#,##0.0,,,&quot;G&quot;">
                  <c:v>183527.9094</c:v>
                </c:pt>
                <c:pt idx="268" formatCode="[&lt;1000000]0.0,&quot;K&quot;;[&lt;1000000000]0.0,,&quot;M&quot;;#,##0.0,,,&quot;G&quot;">
                  <c:v>184400.9314</c:v>
                </c:pt>
                <c:pt idx="269" formatCode="[&lt;1000000]0.0,&quot;K&quot;;[&lt;1000000000]0.0,,&quot;M&quot;;#,##0.0,,,&quot;G&quot;">
                  <c:v>184164.20550000001</c:v>
                </c:pt>
                <c:pt idx="270" formatCode="[&lt;1000000]0.0,&quot;K&quot;;[&lt;1000000000]0.0,,&quot;M&quot;;#,##0.0,,,&quot;G&quot;">
                  <c:v>184344.60499999998</c:v>
                </c:pt>
                <c:pt idx="271" formatCode="[&lt;1000000]0.0,&quot;K&quot;;[&lt;1000000000]0.0,,&quot;M&quot;;#,##0.0,,,&quot;G&quot;">
                  <c:v>184364.37350000002</c:v>
                </c:pt>
                <c:pt idx="307" formatCode="[&lt;1000000]0.0,&quot;K&quot;;[&lt;1000000000]0.0,,&quot;M&quot;;#,##0.0,,,&quot;G&quot;">
                  <c:v>204514.9436</c:v>
                </c:pt>
                <c:pt idx="308" formatCode="[&lt;1000000]0.0,&quot;K&quot;;[&lt;1000000000]0.0,,&quot;M&quot;;#,##0.0,,,&quot;G&quot;">
                  <c:v>198151.03759999998</c:v>
                </c:pt>
                <c:pt idx="309" formatCode="[&lt;1000000]0.0,&quot;K&quot;;[&lt;1000000000]0.0,,&quot;M&quot;;#,##0.0,,,&quot;G&quot;">
                  <c:v>197765.557</c:v>
                </c:pt>
                <c:pt idx="310" formatCode="[&lt;1000000]0.0,&quot;K&quot;;[&lt;1000000000]0.0,,&quot;M&quot;;#,##0.0,,,&quot;G&quot;">
                  <c:v>197253.86559999999</c:v>
                </c:pt>
                <c:pt idx="311" formatCode="[&lt;1000000]0.0,&quot;K&quot;;[&lt;1000000000]0.0,,&quot;M&quot;;#,##0.0,,,&quot;G&quot;">
                  <c:v>196175.64479999998</c:v>
                </c:pt>
                <c:pt idx="312" formatCode="[&lt;1000000]0.0,&quot;K&quot;;[&lt;1000000000]0.0,,&quot;M&quot;;#,##0.0,,,&quot;G&quot;">
                  <c:v>194380.52059999999</c:v>
                </c:pt>
                <c:pt idx="313" formatCode="[&lt;1000000]0.0,&quot;K&quot;;[&lt;1000000000]0.0,,&quot;M&quot;;#,##0.0,,,&quot;G&quot;">
                  <c:v>199638.49359999999</c:v>
                </c:pt>
                <c:pt idx="314" formatCode="[&lt;1000000]0.0,&quot;K&quot;;[&lt;1000000000]0.0,,&quot;M&quot;;#,##0.0,,,&quot;G&quot;">
                  <c:v>201017.52889999998</c:v>
                </c:pt>
                <c:pt idx="315" formatCode="[&lt;1000000]0.0,&quot;K&quot;;[&lt;1000000000]0.0,,&quot;M&quot;;#,##0.0,,,&quot;G&quot;">
                  <c:v>200691.97679999997</c:v>
                </c:pt>
                <c:pt idx="316" formatCode="[&lt;1000000]0.0,&quot;K&quot;;[&lt;1000000000]0.0,,&quot;M&quot;;#,##0.0,,,&quot;G&quot;">
                  <c:v>200647.63939999999</c:v>
                </c:pt>
                <c:pt idx="317" formatCode="[&lt;1000000]0.0,&quot;K&quot;;[&lt;1000000000]0.0,,&quot;M&quot;;#,##0.0,,,&quot;G&quot;">
                  <c:v>200763.04229999997</c:v>
                </c:pt>
                <c:pt idx="334" formatCode="[&lt;1000000]0.0,&quot;K&quot;;[&lt;1000000000]0.0,,&quot;M&quot;;#,##0.0,,,&quot;G&quot;">
                  <c:v>198253.40729999999</c:v>
                </c:pt>
                <c:pt idx="335" formatCode="[&lt;1000000]0.0,&quot;K&quot;;[&lt;1000000000]0.0,,&quot;M&quot;;#,##0.0,,,&quot;G&quot;">
                  <c:v>197932.93</c:v>
                </c:pt>
                <c:pt idx="336" formatCode="[&lt;1000000]0.0,&quot;K&quot;;[&lt;1000000000]0.0,,&quot;M&quot;;#,##0.0,,,&quot;G&quot;">
                  <c:v>198918.25380000001</c:v>
                </c:pt>
                <c:pt idx="337" formatCode="[&lt;1000000]0.0,&quot;K&quot;;[&lt;1000000000]0.0,,&quot;M&quot;;#,##0.0,,,&quot;G&quot;">
                  <c:v>196212.03579999998</c:v>
                </c:pt>
                <c:pt idx="338" formatCode="[&lt;1000000]0.0,&quot;K&quot;;[&lt;1000000000]0.0,,&quot;M&quot;;#,##0.0,,,&quot;G&quot;">
                  <c:v>196587.03020000001</c:v>
                </c:pt>
                <c:pt idx="339" formatCode="[&lt;1000000]0.0,&quot;K&quot;;[&lt;1000000000]0.0,,&quot;M&quot;;#,##0.0,,,&quot;G&quot;">
                  <c:v>196706.29440000001</c:v>
                </c:pt>
                <c:pt idx="340" formatCode="[&lt;1000000]0.0,&quot;K&quot;;[&lt;1000000000]0.0,,&quot;M&quot;;#,##0.0,,,&quot;G&quot;">
                  <c:v>197368.95480000001</c:v>
                </c:pt>
                <c:pt idx="341" formatCode="[&lt;1000000]0.0,&quot;K&quot;;[&lt;1000000000]0.0,,&quot;M&quot;;#,##0.0,,,&quot;G&quot;">
                  <c:v>196472.03520000001</c:v>
                </c:pt>
                <c:pt idx="342" formatCode="[&lt;1000000]0.0,&quot;K&quot;;[&lt;1000000000]0.0,,&quot;M&quot;;#,##0.0,,,&quot;G&quot;">
                  <c:v>195365.43059999999</c:v>
                </c:pt>
                <c:pt idx="343" formatCode="[&lt;1000000]0.0,&quot;K&quot;;[&lt;1000000000]0.0,,&quot;M&quot;;#,##0.0,,,&quot;G&quot;">
                  <c:v>200331.82440000001</c:v>
                </c:pt>
                <c:pt idx="344" formatCode="[&lt;1000000]0.0,&quot;K&quot;;[&lt;1000000000]0.0,,&quot;M&quot;;#,##0.0,,,&quot;G&quot;">
                  <c:v>195666.655</c:v>
                </c:pt>
                <c:pt idx="345" formatCode="[&lt;1000000]0.0,&quot;K&quot;;[&lt;1000000000]0.0,,&quot;M&quot;;#,##0.0,,,&quot;G&quot;">
                  <c:v>190534.804</c:v>
                </c:pt>
                <c:pt idx="346" formatCode="[&lt;1000000]0.0,&quot;K&quot;;[&lt;1000000000]0.0,,&quot;M&quot;;#,##0.0,,,&quot;G&quot;">
                  <c:v>189258.56599999999</c:v>
                </c:pt>
                <c:pt idx="347" formatCode="[&lt;1000000]0.0,&quot;K&quot;;[&lt;1000000000]0.0,,&quot;M&quot;;#,##0.0,,,&quot;G&quot;">
                  <c:v>190839.32319999998</c:v>
                </c:pt>
                <c:pt idx="348" formatCode="[&lt;1000000]0.0,&quot;K&quot;;[&lt;1000000000]0.0,,&quot;M&quot;;#,##0.0,,,&quot;G&quot;">
                  <c:v>190490.90599999999</c:v>
                </c:pt>
                <c:pt idx="349" formatCode="[&lt;1000000]0.0,&quot;K&quot;;[&lt;1000000000]0.0,,&quot;M&quot;;#,##0.0,,,&quot;G&quot;">
                  <c:v>187188.5191</c:v>
                </c:pt>
                <c:pt idx="350" formatCode="[&lt;1000000]0.0,&quot;K&quot;;[&lt;1000000000]0.0,,&quot;M&quot;;#,##0.0,,,&quot;G&quot;">
                  <c:v>192253.78199999998</c:v>
                </c:pt>
                <c:pt idx="351" formatCode="[&lt;1000000]0.0,&quot;K&quot;;[&lt;1000000000]0.0,,&quot;M&quot;;#,##0.0,,,&quot;G&quot;">
                  <c:v>191522.274</c:v>
                </c:pt>
                <c:pt idx="352" formatCode="[&lt;1000000]0.0,&quot;K&quot;;[&lt;1000000000]0.0,,&quot;M&quot;;#,##0.0,,,&quot;G&quot;">
                  <c:v>193491.15059999999</c:v>
                </c:pt>
                <c:pt idx="353" formatCode="[&lt;1000000]0.0,&quot;K&quot;;[&lt;1000000000]0.0,,&quot;M&quot;;#,##0.0,,,&quot;G&quot;">
                  <c:v>193249.46149999998</c:v>
                </c:pt>
                <c:pt idx="354" formatCode="[&lt;1000000]0.0,&quot;K&quot;;[&lt;1000000000]0.0,,&quot;M&quot;;#,##0.0,,,&quot;G&quot;">
                  <c:v>192237.99059999999</c:v>
                </c:pt>
                <c:pt idx="355" formatCode="[&lt;1000000]0.0,&quot;K&quot;;[&lt;1000000000]0.0,,&quot;M&quot;;#,##0.0,,,&quot;G&quot;">
                  <c:v>192875.37339999998</c:v>
                </c:pt>
                <c:pt idx="356" formatCode="[&lt;1000000]0.0,&quot;K&quot;;[&lt;1000000000]0.0,,&quot;M&quot;;#,##0.0,,,&quot;G&quot;">
                  <c:v>194601.47079999998</c:v>
                </c:pt>
                <c:pt idx="357" formatCode="[&lt;1000000]0.0,&quot;K&quot;;[&lt;1000000000]0.0,,&quot;M&quot;;#,##0.0,,,&quot;G&quot;">
                  <c:v>194969.48769999997</c:v>
                </c:pt>
                <c:pt idx="358" formatCode="[&lt;1000000]0.0,&quot;K&quot;;[&lt;1000000000]0.0,,&quot;M&quot;;#,##0.0,,,&quot;G&quot;">
                  <c:v>193462.02540000001</c:v>
                </c:pt>
                <c:pt idx="359" formatCode="[&lt;1000000]0.0,&quot;K&quot;;[&lt;1000000000]0.0,,&quot;M&quot;;#,##0.0,,,&quot;G&quot;">
                  <c:v>193680.72899999999</c:v>
                </c:pt>
                <c:pt idx="360" formatCode="[&lt;1000000]0.0,&quot;K&quot;;[&lt;1000000000]0.0,,&quot;M&quot;;#,##0.0,,,&quot;G&quot;">
                  <c:v>193473.98879999999</c:v>
                </c:pt>
                <c:pt idx="362" formatCode="[&lt;1000000]0.0,&quot;K&quot;;[&lt;1000000000]0.0,,&quot;M&quot;;#,##0.0,,,&quot;G&quot;">
                  <c:v>194876.24480000001</c:v>
                </c:pt>
                <c:pt idx="363" formatCode="[&lt;1000000]0.0,&quot;K&quot;;[&lt;1000000000]0.0,,&quot;M&quot;;#,##0.0,,,&quot;G&quot;">
                  <c:v>193615.3455</c:v>
                </c:pt>
                <c:pt idx="364" formatCode="[&lt;1000000]0.0,&quot;K&quot;;[&lt;1000000000]0.0,,&quot;M&quot;;#,##0.0,,,&quot;G&quot;">
                  <c:v>194077.39049999998</c:v>
                </c:pt>
                <c:pt idx="365" formatCode="[&lt;1000000]0.0,&quot;K&quot;;[&lt;1000000000]0.0,,&quot;M&quot;;#,##0.0,,,&quot;G&quot;">
                  <c:v>194326.02</c:v>
                </c:pt>
                <c:pt idx="366" formatCode="[&lt;1000000]0.0,&quot;K&quot;;[&lt;1000000000]0.0,,&quot;M&quot;;#,##0.0,,,&quot;G&quot;">
                  <c:v>193898.89559999999</c:v>
                </c:pt>
                <c:pt idx="367" formatCode="[&lt;1000000]0.0,&quot;K&quot;;[&lt;1000000000]0.0,,&quot;M&quot;;#,##0.0,,,&quot;G&quot;">
                  <c:v>195190.4149</c:v>
                </c:pt>
                <c:pt idx="368" formatCode="[&lt;1000000]0.0,&quot;K&quot;;[&lt;1000000000]0.0,,&quot;M&quot;;#,##0.0,,,&quot;G&quot;">
                  <c:v>195487.7782</c:v>
                </c:pt>
                <c:pt idx="369" formatCode="[&lt;1000000]0.0,&quot;K&quot;;[&lt;1000000000]0.0,,&quot;M&quot;;#,##0.0,,,&quot;G&quot;">
                  <c:v>194238.18479999999</c:v>
                </c:pt>
                <c:pt idx="370" formatCode="[&lt;1000000]0.0,&quot;K&quot;;[&lt;1000000000]0.0,,&quot;M&quot;;#,##0.0,,,&quot;G&quot;">
                  <c:v>194238.18479999999</c:v>
                </c:pt>
                <c:pt idx="371" formatCode="[&lt;1000000]0.0,&quot;K&quot;;[&lt;1000000000]0.0,,&quot;M&quot;;#,##0.0,,,&quot;G&quot;">
                  <c:v>194190.41249999998</c:v>
                </c:pt>
                <c:pt idx="372" formatCode="[&lt;1000000]0.0,&quot;K&quot;;[&lt;1000000000]0.0,,&quot;M&quot;;#,##0.0,,,&quot;G&quot;">
                  <c:v>194006.25440000001</c:v>
                </c:pt>
                <c:pt idx="373" formatCode="[&lt;1000000]0.0,&quot;K&quot;;[&lt;1000000000]0.0,,&quot;M&quot;;#,##0.0,,,&quot;G&quot;">
                  <c:v>195148.4</c:v>
                </c:pt>
                <c:pt idx="374" formatCode="[&lt;1000000]0.0,&quot;K&quot;;[&lt;1000000000]0.0,,&quot;M&quot;;#,##0.0,,,&quot;G&quot;">
                  <c:v>193747.59839999999</c:v>
                </c:pt>
                <c:pt idx="375" formatCode="[&lt;1000000]0.0,&quot;K&quot;;[&lt;1000000000]0.0,,&quot;M&quot;;#,##0.0,,,&quot;G&quot;">
                  <c:v>194756.04259999999</c:v>
                </c:pt>
                <c:pt idx="376" formatCode="[&lt;1000000]0.0,&quot;K&quot;;[&lt;1000000000]0.0,,&quot;M&quot;;#,##0.0,,,&quot;G&quot;">
                  <c:v>194604.97099999999</c:v>
                </c:pt>
                <c:pt idx="377" formatCode="[&lt;1000000]0.0,&quot;K&quot;;[&lt;1000000000]0.0,,&quot;M&quot;;#,##0.0,,,&quot;G&quot;">
                  <c:v>190827.93939999997</c:v>
                </c:pt>
                <c:pt idx="378" formatCode="[&lt;1000000]0.0,&quot;K&quot;;[&lt;1000000000]0.0,,&quot;M&quot;;#,##0.0,,,&quot;G&quot;">
                  <c:v>192926.95549999998</c:v>
                </c:pt>
                <c:pt idx="379" formatCode="[&lt;1000000]0.0,&quot;K&quot;;[&lt;1000000000]0.0,,&quot;M&quot;;#,##0.0,,,&quot;G&quot;">
                  <c:v>191403.72760000001</c:v>
                </c:pt>
                <c:pt idx="380" formatCode="[&lt;1000000]0.0,&quot;K&quot;;[&lt;1000000000]0.0,,&quot;M&quot;;#,##0.0,,,&quot;G&quot;">
                  <c:v>190797.3786</c:v>
                </c:pt>
                <c:pt idx="383" formatCode="[&lt;1000000]0.0,&quot;K&quot;;[&lt;1000000000]0.0,,&quot;M&quot;;#,##0.0,,,&quot;G&quot;">
                  <c:v>198109.93779999999</c:v>
                </c:pt>
                <c:pt idx="384" formatCode="[&lt;1000000]0.0,&quot;K&quot;;[&lt;1000000000]0.0,,&quot;M&quot;;#,##0.0,,,&quot;G&quot;">
                  <c:v>198878.3505</c:v>
                </c:pt>
                <c:pt idx="385" formatCode="[&lt;1000000]0.0,&quot;K&quot;;[&lt;1000000000]0.0,,&quot;M&quot;;#,##0.0,,,&quot;G&quot;">
                  <c:v>197752.35059999998</c:v>
                </c:pt>
                <c:pt idx="386" formatCode="[&lt;1000000]0.0,&quot;K&quot;;[&lt;1000000000]0.0,,&quot;M&quot;;#,##0.0,,,&quot;G&quot;">
                  <c:v>199063.94999999998</c:v>
                </c:pt>
                <c:pt idx="387" formatCode="[&lt;1000000]0.0,&quot;K&quot;;[&lt;1000000000]0.0,,&quot;M&quot;;#,##0.0,,,&quot;G&quot;">
                  <c:v>198399.74309999999</c:v>
                </c:pt>
                <c:pt idx="388" formatCode="[&lt;1000000]0.0,&quot;K&quot;;[&lt;1000000000]0.0,,&quot;M&quot;;#,##0.0,,,&quot;G&quot;">
                  <c:v>198864.99359999999</c:v>
                </c:pt>
                <c:pt idx="389" formatCode="[&lt;1000000]0.0,&quot;K&quot;;[&lt;1000000000]0.0,,&quot;M&quot;;#,##0.0,,,&quot;G&quot;">
                  <c:v>198563.1727</c:v>
                </c:pt>
                <c:pt idx="390" formatCode="[&lt;1000000]0.0,&quot;K&quot;;[&lt;1000000000]0.0,,&quot;M&quot;;#,##0.0,,,&quot;G&quot;">
                  <c:v>197640.55679999999</c:v>
                </c:pt>
                <c:pt idx="391" formatCode="[&lt;1000000]0.0,&quot;K&quot;;[&lt;1000000000]0.0,,&quot;M&quot;;#,##0.0,,,&quot;G&quot;">
                  <c:v>197181.15599999999</c:v>
                </c:pt>
                <c:pt idx="392" formatCode="[&lt;1000000]0.0,&quot;K&quot;;[&lt;1000000000]0.0,,&quot;M&quot;;#,##0.0,,,&quot;G&quot;">
                  <c:v>197444.00519999999</c:v>
                </c:pt>
                <c:pt idx="393" formatCode="[&lt;1000000]0.0,&quot;K&quot;;[&lt;1000000000]0.0,,&quot;M&quot;;#,##0.0,,,&quot;G&quot;">
                  <c:v>197585.39449999999</c:v>
                </c:pt>
                <c:pt idx="394" formatCode="[&lt;1000000]0.0,&quot;K&quot;;[&lt;1000000000]0.0,,&quot;M&quot;;#,##0.0,,,&quot;G&quot;">
                  <c:v>196732.90509999997</c:v>
                </c:pt>
                <c:pt idx="395" formatCode="[&lt;1000000]0.0,&quot;K&quot;;[&lt;1000000000]0.0,,&quot;M&quot;;#,##0.0,,,&quot;G&quot;">
                  <c:v>196732.90509999997</c:v>
                </c:pt>
                <c:pt idx="396" formatCode="[&lt;1000000]0.0,&quot;K&quot;;[&lt;1000000000]0.0,,&quot;M&quot;;#,##0.0,,,&quot;G&quot;">
                  <c:v>197587.46</c:v>
                </c:pt>
                <c:pt idx="397" formatCode="[&lt;1000000]0.0,&quot;K&quot;;[&lt;1000000000]0.0,,&quot;M&quot;;#,##0.0,,,&quot;G&quot;">
                  <c:v>198067.4</c:v>
                </c:pt>
                <c:pt idx="398" formatCode="[&lt;1000000]0.0,&quot;K&quot;;[&lt;1000000000]0.0,,&quot;M&quot;;#,##0.0,,,&quot;G&quot;">
                  <c:v>198010.875</c:v>
                </c:pt>
                <c:pt idx="399" formatCode="[&lt;1000000]0.0,&quot;K&quot;;[&lt;1000000000]0.0,,&quot;M&quot;;#,##0.0,,,&quot;G&quot;">
                  <c:v>198412.41839999997</c:v>
                </c:pt>
                <c:pt idx="400" formatCode="[&lt;1000000]0.0,&quot;K&quot;;[&lt;1000000000]0.0,,&quot;M&quot;;#,##0.0,,,&quot;G&quot;">
                  <c:v>197078.01360000001</c:v>
                </c:pt>
                <c:pt idx="401" formatCode="[&lt;1000000]0.0,&quot;K&quot;;[&lt;1000000000]0.0,,&quot;M&quot;;#,##0.0,,,&quot;G&quot;">
                  <c:v>198337.86499999999</c:v>
                </c:pt>
                <c:pt idx="402" formatCode="[&lt;1000000]0.0,&quot;K&quot;;[&lt;1000000000]0.0,,&quot;M&quot;;#,##0.0,,,&quot;G&quot;">
                  <c:v>197966.57399999999</c:v>
                </c:pt>
                <c:pt idx="403" formatCode="[&lt;1000000]0.0,&quot;K&quot;;[&lt;1000000000]0.0,,&quot;M&quot;;#,##0.0,,,&quot;G&quot;">
                  <c:v>197955.23149999999</c:v>
                </c:pt>
                <c:pt idx="404" formatCode="[&lt;1000000]0.0,&quot;K&quot;;[&lt;1000000000]0.0,,&quot;M&quot;;#,##0.0,,,&quot;G&quot;">
                  <c:v>198092.57499999998</c:v>
                </c:pt>
                <c:pt idx="406" formatCode="[&lt;1000000]0.0,&quot;K&quot;;[&lt;1000000000]0.0,,&quot;M&quot;;#,##0.0,,,&quot;G&quot;">
                  <c:v>202039.326</c:v>
                </c:pt>
                <c:pt idx="407" formatCode="[&lt;1000000]0.0,&quot;K&quot;;[&lt;1000000000]0.0,,&quot;M&quot;;#,##0.0,,,&quot;G&quot;">
                  <c:v>202613.87649999998</c:v>
                </c:pt>
                <c:pt idx="408" formatCode="[&lt;1000000]0.0,&quot;K&quot;;[&lt;1000000000]0.0,,&quot;M&quot;;#,##0.0,,,&quot;G&quot;">
                  <c:v>201380.98839999997</c:v>
                </c:pt>
                <c:pt idx="409" formatCode="[&lt;1000000]0.0,&quot;K&quot;;[&lt;1000000000]0.0,,&quot;M&quot;;#,##0.0,,,&quot;G&quot;">
                  <c:v>202249.45260000002</c:v>
                </c:pt>
                <c:pt idx="410" formatCode="[&lt;1000000]0.0,&quot;K&quot;;[&lt;1000000000]0.0,,&quot;M&quot;;#,##0.0,,,&quot;G&quot;">
                  <c:v>201167.64180000001</c:v>
                </c:pt>
                <c:pt idx="411" formatCode="[&lt;1000000]0.0,&quot;K&quot;;[&lt;1000000000]0.0,,&quot;M&quot;;#,##0.0,,,&quot;G&quot;">
                  <c:v>198855.48059999998</c:v>
                </c:pt>
                <c:pt idx="412" formatCode="[&lt;1000000]0.0,&quot;K&quot;;[&lt;1000000000]0.0,,&quot;M&quot;;#,##0.0,,,&quot;G&quot;">
                  <c:v>198976.66320000001</c:v>
                </c:pt>
                <c:pt idx="413" formatCode="[&lt;1000000]0.0,&quot;K&quot;;[&lt;1000000000]0.0,,&quot;M&quot;;#,##0.0,,,&quot;G&quot;">
                  <c:v>202486.08</c:v>
                </c:pt>
                <c:pt idx="414" formatCode="[&lt;1000000]0.0,&quot;K&quot;;[&lt;1000000000]0.0,,&quot;M&quot;;#,##0.0,,,&quot;G&quot;">
                  <c:v>201229.36379999999</c:v>
                </c:pt>
                <c:pt idx="415" formatCode="[&lt;1000000]0.0,&quot;K&quot;;[&lt;1000000000]0.0,,&quot;M&quot;;#,##0.0,,,&quot;G&quot;">
                  <c:v>201961.2763</c:v>
                </c:pt>
                <c:pt idx="416" formatCode="[&lt;1000000]0.0,&quot;K&quot;;[&lt;1000000000]0.0,,&quot;M&quot;;#,##0.0,,,&quot;G&quot;">
                  <c:v>200421.92609999998</c:v>
                </c:pt>
                <c:pt idx="417" formatCode="[&lt;1000000]0.0,&quot;K&quot;;[&lt;1000000000]0.0,,&quot;M&quot;;#,##0.0,,,&quot;G&quot;">
                  <c:v>200485.05600000001</c:v>
                </c:pt>
                <c:pt idx="418" formatCode="[&lt;1000000]0.0,&quot;K&quot;;[&lt;1000000000]0.0,,&quot;M&quot;;#,##0.0,,,&quot;G&quot;">
                  <c:v>204658.37820000001</c:v>
                </c:pt>
                <c:pt idx="419" formatCode="[&lt;1000000]0.0,&quot;K&quot;;[&lt;1000000000]0.0,,&quot;M&quot;;#,##0.0,,,&quot;G&quot;">
                  <c:v>201090.70799999998</c:v>
                </c:pt>
                <c:pt idx="420" formatCode="[&lt;1000000]0.0,&quot;K&quot;;[&lt;1000000000]0.0,,&quot;M&quot;;#,##0.0,,,&quot;G&quot;">
                  <c:v>201490.948</c:v>
                </c:pt>
                <c:pt idx="421" formatCode="[&lt;1000000]0.0,&quot;K&quot;;[&lt;1000000000]0.0,,&quot;M&quot;;#,##0.0,,,&quot;G&quot;">
                  <c:v>200903.71280000001</c:v>
                </c:pt>
                <c:pt idx="422" formatCode="[&lt;1000000]0.0,&quot;K&quot;;[&lt;1000000000]0.0,,&quot;M&quot;;#,##0.0,,,&quot;G&quot;">
                  <c:v>201216</c:v>
                </c:pt>
                <c:pt idx="423" formatCode="[&lt;1000000]0.0,&quot;K&quot;;[&lt;1000000000]0.0,,&quot;M&quot;;#,##0.0,,,&quot;G&quot;">
                  <c:v>200923.73419999998</c:v>
                </c:pt>
                <c:pt idx="424" formatCode="[&lt;1000000]0.0,&quot;K&quot;;[&lt;1000000000]0.0,,&quot;M&quot;;#,##0.0,,,&quot;G&quot;">
                  <c:v>201615.97409999999</c:v>
                </c:pt>
                <c:pt idx="425" formatCode="[&lt;1000000]0.0,&quot;K&quot;;[&lt;1000000000]0.0,,&quot;M&quot;;#,##0.0,,,&quot;G&quot;">
                  <c:v>200668.73639999999</c:v>
                </c:pt>
                <c:pt idx="426" formatCode="[&lt;1000000]0.0,&quot;K&quot;;[&lt;1000000000]0.0,,&quot;M&quot;;#,##0.0,,,&quot;G&quot;">
                  <c:v>200389.7458</c:v>
                </c:pt>
                <c:pt idx="427" formatCode="[&lt;1000000]0.0,&quot;K&quot;;[&lt;1000000000]0.0,,&quot;M&quot;;#,##0.0,,,&quot;G&quot;">
                  <c:v>201790.36799999999</c:v>
                </c:pt>
                <c:pt idx="428" formatCode="[&lt;1000000]0.0,&quot;K&quot;;[&lt;1000000000]0.0,,&quot;M&quot;;#,##0.0,,,&quot;G&quot;">
                  <c:v>200760.70419999998</c:v>
                </c:pt>
                <c:pt idx="429" formatCode="[&lt;1000000]0.0,&quot;K&quot;;[&lt;1000000000]0.0,,&quot;M&quot;;#,##0.0,,,&quot;G&quot;">
                  <c:v>201393.53819999998</c:v>
                </c:pt>
                <c:pt idx="430" formatCode="[&lt;1000000]0.0,&quot;K&quot;;[&lt;1000000000]0.0,,&quot;M&quot;;#,##0.0,,,&quot;G&quot;">
                  <c:v>201061.82399999999</c:v>
                </c:pt>
                <c:pt idx="431" formatCode="[&lt;1000000]0.0,&quot;K&quot;;[&lt;1000000000]0.0,,&quot;M&quot;;#,##0.0,,,&quot;G&quot;">
                  <c:v>201173.4578</c:v>
                </c:pt>
                <c:pt idx="432" formatCode="[&lt;1000000]0.0,&quot;K&quot;;[&lt;1000000000]0.0,,&quot;M&quot;;#,##0.0,,,&quot;G&quot;">
                  <c:v>200740.18219999998</c:v>
                </c:pt>
                <c:pt idx="433" formatCode="[&lt;1000000]0.0,&quot;K&quot;;[&lt;1000000000]0.0,,&quot;M&quot;;#,##0.0,,,&quot;G&quot;">
                  <c:v>201045.0288</c:v>
                </c:pt>
                <c:pt idx="454" formatCode="[&lt;1000000]0.0,&quot;K&quot;;[&lt;1000000000]0.0,,&quot;M&quot;;#,##0.0,,,&quot;G&quot;">
                  <c:v>201424.12799999997</c:v>
                </c:pt>
                <c:pt idx="455" formatCode="[&lt;1000000]0.0,&quot;K&quot;;[&lt;1000000000]0.0,,&quot;M&quot;;#,##0.0,,,&quot;G&quot;">
                  <c:v>199875.68299999999</c:v>
                </c:pt>
                <c:pt idx="456" formatCode="[&lt;1000000]0.0,&quot;K&quot;;[&lt;1000000000]0.0,,&quot;M&quot;;#,##0.0,,,&quot;G&quot;">
                  <c:v>199750.56949999998</c:v>
                </c:pt>
                <c:pt idx="457" formatCode="[&lt;1000000]0.0,&quot;K&quot;;[&lt;1000000000]0.0,,&quot;M&quot;;#,##0.0,,,&quot;G&quot;">
                  <c:v>200036.83199999999</c:v>
                </c:pt>
                <c:pt idx="458" formatCode="[&lt;1000000]0.0,&quot;K&quot;;[&lt;1000000000]0.0,,&quot;M&quot;;#,##0.0,,,&quot;G&quot;">
                  <c:v>201073.24230000001</c:v>
                </c:pt>
                <c:pt idx="459" formatCode="[&lt;1000000]0.0,&quot;K&quot;;[&lt;1000000000]0.0,,&quot;M&quot;;#,##0.0,,,&quot;G&quot;">
                  <c:v>200608.26560000001</c:v>
                </c:pt>
                <c:pt idx="460" formatCode="[&lt;1000000]0.0,&quot;K&quot;;[&lt;1000000000]0.0,,&quot;M&quot;;#,##0.0,,,&quot;G&quot;">
                  <c:v>199745.87520000001</c:v>
                </c:pt>
                <c:pt idx="461" formatCode="[&lt;1000000]0.0,&quot;K&quot;;[&lt;1000000000]0.0,,&quot;M&quot;;#,##0.0,,,&quot;G&quot;">
                  <c:v>200143.77600000001</c:v>
                </c:pt>
                <c:pt idx="462" formatCode="[&lt;1000000]0.0,&quot;K&quot;;[&lt;1000000000]0.0,,&quot;M&quot;;#,##0.0,,,&quot;G&quot;">
                  <c:v>200413.85920000001</c:v>
                </c:pt>
                <c:pt idx="463" formatCode="[&lt;1000000]0.0,&quot;K&quot;;[&lt;1000000000]0.0,,&quot;M&quot;;#,##0.0,,,&quot;G&quot;">
                  <c:v>199754.78339999999</c:v>
                </c:pt>
                <c:pt idx="464" formatCode="[&lt;1000000]0.0,&quot;K&quot;;[&lt;1000000000]0.0,,&quot;M&quot;;#,##0.0,,,&quot;G&quot;">
                  <c:v>198924.96959999998</c:v>
                </c:pt>
                <c:pt idx="465" formatCode="[&lt;1000000]0.0,&quot;K&quot;;[&lt;1000000000]0.0,,&quot;M&quot;;#,##0.0,,,&quot;G&quot;">
                  <c:v>201684.109</c:v>
                </c:pt>
                <c:pt idx="466" formatCode="[&lt;1000000]0.0,&quot;K&quot;;[&lt;1000000000]0.0,,&quot;M&quot;;#,##0.0,,,&quot;G&quot;">
                  <c:v>200528.2426</c:v>
                </c:pt>
                <c:pt idx="467" formatCode="[&lt;1000000]0.0,&quot;K&quot;;[&lt;1000000000]0.0,,&quot;M&quot;;#,##0.0,,,&quot;G&quot;">
                  <c:v>200222.22569999998</c:v>
                </c:pt>
                <c:pt idx="468" formatCode="[&lt;1000000]0.0,&quot;K&quot;;[&lt;1000000000]0.0,,&quot;M&quot;;#,##0.0,,,&quot;G&quot;">
                  <c:v>200335.125</c:v>
                </c:pt>
                <c:pt idx="469" formatCode="[&lt;1000000]0.0,&quot;K&quot;;[&lt;1000000000]0.0,,&quot;M&quot;;#,##0.0,,,&quot;G&quot;">
                  <c:v>200544.76799999998</c:v>
                </c:pt>
                <c:pt idx="470" formatCode="[&lt;1000000]0.0,&quot;K&quot;;[&lt;1000000000]0.0,,&quot;M&quot;;#,##0.0,,,&quot;G&quot;">
                  <c:v>200592.11199999999</c:v>
                </c:pt>
                <c:pt idx="471" formatCode="[&lt;1000000]0.0,&quot;K&quot;;[&lt;1000000000]0.0,,&quot;M&quot;;#,##0.0,,,&quot;G&quot;">
                  <c:v>200850.144</c:v>
                </c:pt>
                <c:pt idx="472" formatCode="[&lt;1000000]0.0,&quot;K&quot;;[&lt;1000000000]0.0,,&quot;M&quot;;#,##0.0,,,&quot;G&quot;">
                  <c:v>200011.14980000001</c:v>
                </c:pt>
                <c:pt idx="473" formatCode="[&lt;1000000]0.0,&quot;K&quot;;[&lt;1000000000]0.0,,&quot;M&quot;;#,##0.0,,,&quot;G&quot;">
                  <c:v>201247.296</c:v>
                </c:pt>
                <c:pt idx="474" formatCode="[&lt;1000000]0.0,&quot;K&quot;;[&lt;1000000000]0.0,,&quot;M&quot;;#,##0.0,,,&quot;G&quot;">
                  <c:v>200349.35449999999</c:v>
                </c:pt>
                <c:pt idx="475" formatCode="[&lt;1000000]0.0,&quot;K&quot;;[&lt;1000000000]0.0,,&quot;M&quot;;#,##0.0,,,&quot;G&quot;">
                  <c:v>200292.00999999998</c:v>
                </c:pt>
                <c:pt idx="476" formatCode="[&lt;1000000]0.0,&quot;K&quot;;[&lt;1000000000]0.0,,&quot;M&quot;;#,##0.0,,,&quot;G&quot;">
                  <c:v>200595.27669999999</c:v>
                </c:pt>
                <c:pt idx="477" formatCode="[&lt;1000000]0.0,&quot;K&quot;;[&lt;1000000000]0.0,,&quot;M&quot;;#,##0.0,,,&quot;G&quot;">
                  <c:v>206459.47839999999</c:v>
                </c:pt>
                <c:pt idx="478" formatCode="[&lt;1000000]0.0,&quot;K&quot;;[&lt;1000000000]0.0,,&quot;M&quot;;#,##0.0,,,&quot;G&quot;">
                  <c:v>207723.03089999998</c:v>
                </c:pt>
                <c:pt idx="479" formatCode="[&lt;1000000]0.0,&quot;K&quot;;[&lt;1000000000]0.0,,&quot;M&quot;;#,##0.0,,,&quot;G&quot;">
                  <c:v>206689.4841</c:v>
                </c:pt>
                <c:pt idx="480" formatCode="[&lt;1000000]0.0,&quot;K&quot;;[&lt;1000000000]0.0,,&quot;M&quot;;#,##0.0,,,&quot;G&quot;">
                  <c:v>206612.16779999997</c:v>
                </c:pt>
                <c:pt idx="481" formatCode="[&lt;1000000]0.0,&quot;K&quot;;[&lt;1000000000]0.0,,&quot;M&quot;;#,##0.0,,,&quot;G&quot;">
                  <c:v>206972.97719999999</c:v>
                </c:pt>
                <c:pt idx="482" formatCode="[&lt;1000000]0.0,&quot;K&quot;;[&lt;1000000000]0.0,,&quot;M&quot;;#,##0.0,,,&quot;G&quot;">
                  <c:v>207957.4038</c:v>
                </c:pt>
                <c:pt idx="483" formatCode="[&lt;1000000]0.0,&quot;K&quot;;[&lt;1000000000]0.0,,&quot;M&quot;;#,##0.0,,,&quot;G&quot;">
                  <c:v>207354.40710000001</c:v>
                </c:pt>
                <c:pt idx="484" formatCode="[&lt;1000000]0.0,&quot;K&quot;;[&lt;1000000000]0.0,,&quot;M&quot;;#,##0.0,,,&quot;G&quot;">
                  <c:v>206905.6188</c:v>
                </c:pt>
                <c:pt idx="485" formatCode="[&lt;1000000]0.0,&quot;K&quot;;[&lt;1000000000]0.0,,&quot;M&quot;;#,##0.0,,,&quot;G&quot;">
                  <c:v>207036.82499999998</c:v>
                </c:pt>
                <c:pt idx="486" formatCode="[&lt;1000000]0.0,&quot;K&quot;;[&lt;1000000000]0.0,,&quot;M&quot;;#,##0.0,,,&quot;G&quot;">
                  <c:v>206394.815</c:v>
                </c:pt>
                <c:pt idx="487" formatCode="[&lt;1000000]0.0,&quot;K&quot;;[&lt;1000000000]0.0,,&quot;M&quot;;#,##0.0,,,&quot;G&quot;">
                  <c:v>206355.29499999998</c:v>
                </c:pt>
                <c:pt idx="488" formatCode="[&lt;1000000]0.0,&quot;K&quot;;[&lt;1000000000]0.0,,&quot;M&quot;;#,##0.0,,,&quot;G&quot;">
                  <c:v>206578.0024</c:v>
                </c:pt>
                <c:pt idx="515" formatCode="[&lt;1000000]0.0,&quot;K&quot;;[&lt;1000000000]0.0,,&quot;M&quot;;#,##0.0,,,&quot;G&quot;">
                  <c:v>204563.23509999999</c:v>
                </c:pt>
                <c:pt idx="516" formatCode="[&lt;1000000]0.0,&quot;K&quot;;[&lt;1000000000]0.0,,&quot;M&quot;;#,##0.0,,,&quot;G&quot;">
                  <c:v>203574.85829999999</c:v>
                </c:pt>
                <c:pt idx="517" formatCode="[&lt;1000000]0.0,&quot;K&quot;;[&lt;1000000000]0.0,,&quot;M&quot;;#,##0.0,,,&quot;G&quot;">
                  <c:v>203951.3982</c:v>
                </c:pt>
                <c:pt idx="518" formatCode="[&lt;1000000]0.0,&quot;K&quot;;[&lt;1000000000]0.0,,&quot;M&quot;;#,##0.0,,,&quot;G&quot;">
                  <c:v>208348.644</c:v>
                </c:pt>
                <c:pt idx="519" formatCode="[&lt;1000000]0.0,&quot;K&quot;;[&lt;1000000000]0.0,,&quot;M&quot;;#,##0.0,,,&quot;G&quot;">
                  <c:v>204666.50279999999</c:v>
                </c:pt>
                <c:pt idx="520" formatCode="[&lt;1000000]0.0,&quot;K&quot;;[&lt;1000000000]0.0,,&quot;M&quot;;#,##0.0,,,&quot;G&quot;">
                  <c:v>204766.61149999997</c:v>
                </c:pt>
                <c:pt idx="521" formatCode="[&lt;1000000]0.0,&quot;K&quot;;[&lt;1000000000]0.0,,&quot;M&quot;;#,##0.0,,,&quot;G&quot;">
                  <c:v>204401.78639999998</c:v>
                </c:pt>
                <c:pt idx="522" formatCode="[&lt;1000000]0.0,&quot;K&quot;;[&lt;1000000000]0.0,,&quot;M&quot;;#,##0.0,,,&quot;G&quot;">
                  <c:v>202936.22159999999</c:v>
                </c:pt>
                <c:pt idx="523" formatCode="[&lt;1000000]0.0,&quot;K&quot;;[&lt;1000000000]0.0,,&quot;M&quot;;#,##0.0,,,&quot;G&quot;">
                  <c:v>204689.2556</c:v>
                </c:pt>
                <c:pt idx="524" formatCode="[&lt;1000000]0.0,&quot;K&quot;;[&lt;1000000000]0.0,,&quot;M&quot;;#,##0.0,,,&quot;G&quot;">
                  <c:v>205277.48239999998</c:v>
                </c:pt>
                <c:pt idx="525" formatCode="[&lt;1000000]0.0,&quot;K&quot;;[&lt;1000000000]0.0,,&quot;M&quot;;#,##0.0,,,&quot;G&quot;">
                  <c:v>204870.24</c:v>
                </c:pt>
                <c:pt idx="526" formatCode="[&lt;1000000]0.0,&quot;K&quot;;[&lt;1000000000]0.0,,&quot;M&quot;;#,##0.0,,,&quot;G&quot;">
                  <c:v>204349.83039999998</c:v>
                </c:pt>
                <c:pt idx="527" formatCode="[&lt;1000000]0.0,&quot;K&quot;;[&lt;1000000000]0.0,,&quot;M&quot;;#,##0.0,,,&quot;G&quot;">
                  <c:v>204970.0429</c:v>
                </c:pt>
                <c:pt idx="528" formatCode="[&lt;1000000]0.0,&quot;K&quot;;[&lt;1000000000]0.0,,&quot;M&quot;;#,##0.0,,,&quot;G&quot;">
                  <c:v>204725.68969999999</c:v>
                </c:pt>
                <c:pt idx="529" formatCode="[&lt;1000000]0.0,&quot;K&quot;;[&lt;1000000000]0.0,,&quot;M&quot;;#,##0.0,,,&quot;G&quot;">
                  <c:v>203381.07579999999</c:v>
                </c:pt>
                <c:pt idx="530" formatCode="[&lt;1000000]0.0,&quot;K&quot;;[&lt;1000000000]0.0,,&quot;M&quot;;#,##0.0,,,&quot;G&quot;">
                  <c:v>204017.30439999999</c:v>
                </c:pt>
                <c:pt idx="531" formatCode="[&lt;1000000]0.0,&quot;K&quot;;[&lt;1000000000]0.0,,&quot;M&quot;;#,##0.0,,,&quot;G&quot;">
                  <c:v>204351.20010000002</c:v>
                </c:pt>
                <c:pt idx="532" formatCode="[&lt;1000000]0.0,&quot;K&quot;;[&lt;1000000000]0.0,,&quot;M&quot;;#,##0.0,,,&quot;G&quot;">
                  <c:v>203961.94209999999</c:v>
                </c:pt>
                <c:pt idx="533" formatCode="[&lt;1000000]0.0,&quot;K&quot;;[&lt;1000000000]0.0,,&quot;M&quot;;#,##0.0,,,&quot;G&quot;">
                  <c:v>203604.12319999997</c:v>
                </c:pt>
                <c:pt idx="534" formatCode="[&lt;1000000]0.0,&quot;K&quot;;[&lt;1000000000]0.0,,&quot;M&quot;;#,##0.0,,,&quot;G&quot;">
                  <c:v>204438.0723</c:v>
                </c:pt>
                <c:pt idx="535" formatCode="[&lt;1000000]0.0,&quot;K&quot;;[&lt;1000000000]0.0,,&quot;M&quot;;#,##0.0,,,&quot;G&quot;">
                  <c:v>201044.59410000002</c:v>
                </c:pt>
                <c:pt idx="536" formatCode="[&lt;1000000]0.0,&quot;K&quot;;[&lt;1000000000]0.0,,&quot;M&quot;;#,##0.0,,,&quot;G&quot;">
                  <c:v>200597.66339999999</c:v>
                </c:pt>
                <c:pt idx="537" formatCode="[&lt;1000000]0.0,&quot;K&quot;;[&lt;1000000000]0.0,,&quot;M&quot;;#,##0.0,,,&quot;G&quot;">
                  <c:v>201282.26579999999</c:v>
                </c:pt>
                <c:pt idx="538" formatCode="[&lt;1000000]0.0,&quot;K&quot;;[&lt;1000000000]0.0,,&quot;M&quot;;#,##0.0,,,&quot;G&quot;">
                  <c:v>201977.29519999999</c:v>
                </c:pt>
                <c:pt idx="539" formatCode="[&lt;1000000]0.0,&quot;K&quot;;[&lt;1000000000]0.0,,&quot;M&quot;;#,##0.0,,,&quot;G&quot;">
                  <c:v>201707.6544</c:v>
                </c:pt>
                <c:pt idx="540" formatCode="[&lt;1000000]0.0,&quot;K&quot;;[&lt;1000000000]0.0,,&quot;M&quot;;#,##0.0,,,&quot;G&quot;">
                  <c:v>202802.58960000001</c:v>
                </c:pt>
                <c:pt idx="541" formatCode="[&lt;1000000]0.0,&quot;K&quot;;[&lt;1000000000]0.0,,&quot;M&quot;;#,##0.0,,,&quot;G&quot;">
                  <c:v>200566.66079999998</c:v>
                </c:pt>
                <c:pt idx="542" formatCode="[&lt;1000000]0.0,&quot;K&quot;;[&lt;1000000000]0.0,,&quot;M&quot;;#,##0.0,,,&quot;G&quot;">
                  <c:v>200007.67919999998</c:v>
                </c:pt>
                <c:pt idx="543" formatCode="[&lt;1000000]0.0,&quot;K&quot;;[&lt;1000000000]0.0,,&quot;M&quot;;#,##0.0,,,&quot;G&quot;">
                  <c:v>200979.98069999999</c:v>
                </c:pt>
                <c:pt idx="544" formatCode="[&lt;1000000]0.0,&quot;K&quot;;[&lt;1000000000]0.0,,&quot;M&quot;;#,##0.0,,,&quot;G&quot;">
                  <c:v>201070.31039999999</c:v>
                </c:pt>
                <c:pt idx="545" formatCode="[&lt;1000000]0.0,&quot;K&quot;;[&lt;1000000000]0.0,,&quot;M&quot;;#,##0.0,,,&quot;G&quot;">
                  <c:v>201283.45439999999</c:v>
                </c:pt>
                <c:pt idx="546" formatCode="[&lt;1000000]0.0,&quot;K&quot;;[&lt;1000000000]0.0,,&quot;M&quot;;#,##0.0,,,&quot;G&quot;">
                  <c:v>200378.00719999999</c:v>
                </c:pt>
                <c:pt idx="547" formatCode="[&lt;1000000]0.0,&quot;K&quot;;[&lt;1000000000]0.0,,&quot;M&quot;;#,##0.0,,,&quot;G&quot;">
                  <c:v>200720.47879999998</c:v>
                </c:pt>
                <c:pt idx="548" formatCode="[&lt;1000000]0.0,&quot;K&quot;;[&lt;1000000000]0.0,,&quot;M&quot;;#,##0.0,,,&quot;G&quot;">
                  <c:v>201269.63999999998</c:v>
                </c:pt>
                <c:pt idx="549" formatCode="[&lt;1000000]0.0,&quot;K&quot;;[&lt;1000000000]0.0,,&quot;M&quot;;#,##0.0,,,&quot;G&quot;">
                  <c:v>201379.47839999999</c:v>
                </c:pt>
                <c:pt idx="550" formatCode="[&lt;1000000]0.0,&quot;K&quot;;[&lt;1000000000]0.0,,&quot;M&quot;;#,##0.0,,,&quot;G&quot;">
                  <c:v>201026.5938</c:v>
                </c:pt>
                <c:pt idx="551" formatCode="[&lt;1000000]0.0,&quot;K&quot;;[&lt;1000000000]0.0,,&quot;M&quot;;#,##0.0,,,&quot;G&quot;">
                  <c:v>201494.81699999998</c:v>
                </c:pt>
                <c:pt idx="552" formatCode="[&lt;1000000]0.0,&quot;K&quot;;[&lt;1000000000]0.0,,&quot;M&quot;;#,##0.0,,,&quot;G&quot;">
                  <c:v>201408.64050000001</c:v>
                </c:pt>
                <c:pt idx="553" formatCode="[&lt;1000000]0.0,&quot;K&quot;;[&lt;1000000000]0.0,,&quot;M&quot;;#,##0.0,,,&quot;G&quot;">
                  <c:v>200449.63619999998</c:v>
                </c:pt>
                <c:pt idx="554" formatCode="[&lt;1000000]0.0,&quot;K&quot;;[&lt;1000000000]0.0,,&quot;M&quot;;#,##0.0,,,&quot;G&quot;">
                  <c:v>201594.00599999999</c:v>
                </c:pt>
                <c:pt idx="555" formatCode="[&lt;1000000]0.0,&quot;K&quot;;[&lt;1000000000]0.0,,&quot;M&quot;;#,##0.0,,,&quot;G&quot;">
                  <c:v>200849.3406</c:v>
                </c:pt>
                <c:pt idx="556" formatCode="[&lt;1000000]0.0,&quot;K&quot;;[&lt;1000000000]0.0,,&quot;M&quot;;#,##0.0,,,&quot;G&quot;">
                  <c:v>202323.34679999997</c:v>
                </c:pt>
                <c:pt idx="557" formatCode="[&lt;1000000]0.0,&quot;K&quot;;[&lt;1000000000]0.0,,&quot;M&quot;;#,##0.0,,,&quot;G&quot;">
                  <c:v>201195.93599999999</c:v>
                </c:pt>
                <c:pt idx="558" formatCode="[&lt;1000000]0.0,&quot;K&quot;;[&lt;1000000000]0.0,,&quot;M&quot;;#,##0.0,,,&quot;G&quot;">
                  <c:v>201853.8817</c:v>
                </c:pt>
                <c:pt idx="559" formatCode="[&lt;1000000]0.0,&quot;K&quot;;[&lt;1000000000]0.0,,&quot;M&quot;;#,##0.0,,,&quot;G&quot;">
                  <c:v>201357.99599999998</c:v>
                </c:pt>
                <c:pt idx="560" formatCode="[&lt;1000000]0.0,&quot;K&quot;;[&lt;1000000000]0.0,,&quot;M&quot;;#,##0.0,,,&quot;G&quot;">
                  <c:v>202098.69899999999</c:v>
                </c:pt>
                <c:pt idx="578" formatCode="[&lt;1000000]0.0,&quot;K&quot;;[&lt;1000000000]0.0,,&quot;M&quot;;#,##0.0,,,&quot;G&quot;">
                  <c:v>189794.016</c:v>
                </c:pt>
                <c:pt idx="579" formatCode="[&lt;1000000]0.0,&quot;K&quot;;[&lt;1000000000]0.0,,&quot;M&quot;;#,##0.0,,,&quot;G&quot;">
                  <c:v>185420.37359999999</c:v>
                </c:pt>
                <c:pt idx="580" formatCode="[&lt;1000000]0.0,&quot;K&quot;;[&lt;1000000000]0.0,,&quot;M&quot;;#,##0.0,,,&quot;G&quot;">
                  <c:v>187035.03899999999</c:v>
                </c:pt>
                <c:pt idx="581" formatCode="[&lt;1000000]0.0,&quot;K&quot;;[&lt;1000000000]0.0,,&quot;M&quot;;#,##0.0,,,&quot;G&quot;">
                  <c:v>186569.755</c:v>
                </c:pt>
                <c:pt idx="582" formatCode="[&lt;1000000]0.0,&quot;K&quot;;[&lt;1000000000]0.0,,&quot;M&quot;;#,##0.0,,,&quot;G&quot;">
                  <c:v>185821.59599999999</c:v>
                </c:pt>
                <c:pt idx="583" formatCode="[&lt;1000000]0.0,&quot;K&quot;;[&lt;1000000000]0.0,,&quot;M&quot;;#,##0.0,,,&quot;G&quot;">
                  <c:v>183697.4424</c:v>
                </c:pt>
                <c:pt idx="584" formatCode="[&lt;1000000]0.0,&quot;K&quot;;[&lt;1000000000]0.0,,&quot;M&quot;;#,##0.0,,,&quot;G&quot;">
                  <c:v>185121.315</c:v>
                </c:pt>
                <c:pt idx="585" formatCode="[&lt;1000000]0.0,&quot;K&quot;;[&lt;1000000000]0.0,,&quot;M&quot;;#,##0.0,,,&quot;G&quot;">
                  <c:v>185147.4105</c:v>
                </c:pt>
                <c:pt idx="586" formatCode="[&lt;1000000]0.0,&quot;K&quot;;[&lt;1000000000]0.0,,&quot;M&quot;;#,##0.0,,,&quot;G&quot;">
                  <c:v>183688.21770000001</c:v>
                </c:pt>
                <c:pt idx="587" formatCode="[&lt;1000000]0.0,&quot;K&quot;;[&lt;1000000000]0.0,,&quot;M&quot;;#,##0.0,,,&quot;G&quot;">
                  <c:v>183118.94509999998</c:v>
                </c:pt>
                <c:pt idx="588" formatCode="[&lt;1000000]0.0,&quot;K&quot;;[&lt;1000000000]0.0,,&quot;M&quot;;#,##0.0,,,&quot;G&quot;">
                  <c:v>183645.04229999997</c:v>
                </c:pt>
                <c:pt idx="589" formatCode="[&lt;1000000]0.0,&quot;K&quot;;[&lt;1000000000]0.0,,&quot;M&quot;;#,##0.0,,,&quot;G&quot;">
                  <c:v>181618.992</c:v>
                </c:pt>
                <c:pt idx="590" formatCode="[&lt;1000000]0.0,&quot;K&quot;;[&lt;1000000000]0.0,,&quot;M&quot;;#,##0.0,,,&quot;G&quot;">
                  <c:v>187317.82079999999</c:v>
                </c:pt>
                <c:pt idx="591" formatCode="[&lt;1000000]0.0,&quot;K&quot;;[&lt;1000000000]0.0,,&quot;M&quot;;#,##0.0,,,&quot;G&quot;">
                  <c:v>201423.94199999998</c:v>
                </c:pt>
                <c:pt idx="592" formatCode="[&lt;1000000]0.0,&quot;K&quot;;[&lt;1000000000]0.0,,&quot;M&quot;;#,##0.0,,,&quot;G&quot;">
                  <c:v>201133.06019999998</c:v>
                </c:pt>
                <c:pt idx="593" formatCode="[&lt;1000000]0.0,&quot;K&quot;;[&lt;1000000000]0.0,,&quot;M&quot;;#,##0.0,,,&quot;G&quot;">
                  <c:v>200179.55599999998</c:v>
                </c:pt>
                <c:pt idx="594" formatCode="[&lt;1000000]0.0,&quot;K&quot;;[&lt;1000000000]0.0,,&quot;M&quot;;#,##0.0,,,&quot;G&quot;">
                  <c:v>200937.72999999998</c:v>
                </c:pt>
                <c:pt idx="595" formatCode="[&lt;1000000]0.0,&quot;K&quot;;[&lt;1000000000]0.0,,&quot;M&quot;;#,##0.0,,,&quot;G&quot;">
                  <c:v>199614.5196</c:v>
                </c:pt>
                <c:pt idx="596" formatCode="[&lt;1000000]0.0,&quot;K&quot;;[&lt;1000000000]0.0,,&quot;M&quot;;#,##0.0,,,&quot;G&quot;">
                  <c:v>200327.50259999998</c:v>
                </c:pt>
                <c:pt idx="597" formatCode="[&lt;1000000]0.0,&quot;K&quot;;[&lt;1000000000]0.0,,&quot;M&quot;;#,##0.0,,,&quot;G&quot;">
                  <c:v>199945.48499999999</c:v>
                </c:pt>
                <c:pt idx="598" formatCode="[&lt;1000000]0.0,&quot;K&quot;;[&lt;1000000000]0.0,,&quot;M&quot;;#,##0.0,,,&quot;G&quot;">
                  <c:v>199407.39179999998</c:v>
                </c:pt>
                <c:pt idx="599" formatCode="[&lt;1000000]0.0,&quot;K&quot;;[&lt;1000000000]0.0,,&quot;M&quot;;#,##0.0,,,&quot;G&quot;">
                  <c:v>199915.02049999998</c:v>
                </c:pt>
                <c:pt idx="600" formatCode="[&lt;1000000]0.0,&quot;K&quot;;[&lt;1000000000]0.0,,&quot;M&quot;;#,##0.0,,,&quot;G&quot;">
                  <c:v>199655.6004</c:v>
                </c:pt>
                <c:pt idx="601" formatCode="[&lt;1000000]0.0,&quot;K&quot;;[&lt;1000000000]0.0,,&quot;M&quot;;#,##0.0,,,&quot;G&quot;">
                  <c:v>199173.82620000001</c:v>
                </c:pt>
                <c:pt idx="602" formatCode="[&lt;1000000]0.0,&quot;K&quot;;[&lt;1000000000]0.0,,&quot;M&quot;;#,##0.0,,,&quot;G&quot;">
                  <c:v>199903.902</c:v>
                </c:pt>
                <c:pt idx="603" formatCode="[&lt;1000000]0.0,&quot;K&quot;;[&lt;1000000000]0.0,,&quot;M&quot;;#,##0.0,,,&quot;G&quot;">
                  <c:v>199731.93189999997</c:v>
                </c:pt>
                <c:pt idx="604" formatCode="[&lt;1000000]0.0,&quot;K&quot;;[&lt;1000000000]0.0,,&quot;M&quot;;#,##0.0,,,&quot;G&quot;">
                  <c:v>201022.05649999998</c:v>
                </c:pt>
                <c:pt idx="605" formatCode="[&lt;1000000]0.0,&quot;K&quot;;[&lt;1000000000]0.0,,&quot;M&quot;;#,##0.0,,,&quot;G&quot;">
                  <c:v>200277.72949999999</c:v>
                </c:pt>
                <c:pt idx="606" formatCode="[&lt;1000000]0.0,&quot;K&quot;;[&lt;1000000000]0.0,,&quot;M&quot;;#,##0.0,,,&quot;G&quot;">
                  <c:v>200138.48169999997</c:v>
                </c:pt>
                <c:pt idx="607" formatCode="[&lt;1000000]0.0,&quot;K&quot;;[&lt;1000000000]0.0,,&quot;M&quot;;#,##0.0,,,&quot;G&quot;">
                  <c:v>200344.67499999999</c:v>
                </c:pt>
                <c:pt idx="608" formatCode="[&lt;1000000]0.0,&quot;K&quot;;[&lt;1000000000]0.0,,&quot;M&quot;;#,##0.0,,,&quot;G&quot;">
                  <c:v>201293.7138</c:v>
                </c:pt>
                <c:pt idx="609" formatCode="[&lt;1000000]0.0,&quot;K&quot;;[&lt;1000000000]0.0,,&quot;M&quot;;#,##0.0,,,&quot;G&quot;">
                  <c:v>200162.26980000001</c:v>
                </c:pt>
                <c:pt idx="610" formatCode="[&lt;1000000]0.0,&quot;K&quot;;[&lt;1000000000]0.0,,&quot;M&quot;;#,##0.0,,,&quot;G&quot;">
                  <c:v>200672.81279999999</c:v>
                </c:pt>
                <c:pt idx="611" formatCode="[&lt;1000000]0.0,&quot;K&quot;;[&lt;1000000000]0.0,,&quot;M&quot;;#,##0.0,,,&quot;G&quot;">
                  <c:v>200011.93</c:v>
                </c:pt>
                <c:pt idx="612" formatCode="[&lt;1000000]0.0,&quot;K&quot;;[&lt;1000000000]0.0,,&quot;M&quot;;#,##0.0,,,&quot;G&quot;">
                  <c:v>200816.49960000001</c:v>
                </c:pt>
                <c:pt idx="613" formatCode="[&lt;1000000]0.0,&quot;K&quot;;[&lt;1000000000]0.0,,&quot;M&quot;;#,##0.0,,,&quot;G&quot;">
                  <c:v>200936.21789999999</c:v>
                </c:pt>
                <c:pt idx="614" formatCode="[&lt;1000000]0.0,&quot;K&quot;;[&lt;1000000000]0.0,,&quot;M&quot;;#,##0.0,,,&quot;G&quot;">
                  <c:v>201670.14119999998</c:v>
                </c:pt>
                <c:pt idx="615" formatCode="[&lt;1000000]0.0,&quot;K&quot;;[&lt;1000000000]0.0,,&quot;M&quot;;#,##0.0,,,&quot;G&quot;">
                  <c:v>201423.93599999999</c:v>
                </c:pt>
                <c:pt idx="616" formatCode="[&lt;1000000]0.0,&quot;K&quot;;[&lt;1000000000]0.0,,&quot;M&quot;;#,##0.0,,,&quot;G&quot;">
                  <c:v>200165.03639999998</c:v>
                </c:pt>
                <c:pt idx="617" formatCode="[&lt;1000000]0.0,&quot;K&quot;;[&lt;1000000000]0.0,,&quot;M&quot;;#,##0.0,,,&quot;G&quot;">
                  <c:v>197417.125</c:v>
                </c:pt>
                <c:pt idx="623" formatCode="[&lt;1000000]0.0,&quot;K&quot;;[&lt;1000000000]0.0,,&quot;M&quot;;#,##0.0,,,&quot;G&quot;">
                  <c:v>197827.25940000001</c:v>
                </c:pt>
                <c:pt idx="624" formatCode="[&lt;1000000]0.0,&quot;K&quot;;[&lt;1000000000]0.0,,&quot;M&quot;;#,##0.0,,,&quot;G&quot;">
                  <c:v>197461.20959999997</c:v>
                </c:pt>
                <c:pt idx="626" formatCode="[&lt;1000000]0.0,&quot;K&quot;;[&lt;1000000000]0.0,,&quot;M&quot;;#,##0.0,,,&quot;G&quot;">
                  <c:v>202195.56049999999</c:v>
                </c:pt>
                <c:pt idx="627" formatCode="[&lt;1000000]0.0,&quot;K&quot;;[&lt;1000000000]0.0,,&quot;M&quot;;#,##0.0,,,&quot;G&quot;">
                  <c:v>200623.726</c:v>
                </c:pt>
                <c:pt idx="630" formatCode="[&lt;1000000]0.0,&quot;K&quot;;[&lt;1000000000]0.0,,&quot;M&quot;;#,##0.0,,,&quot;G&quot;">
                  <c:v>202363.02079999997</c:v>
                </c:pt>
                <c:pt idx="631" formatCode="[&lt;1000000]0.0,&quot;K&quot;;[&lt;1000000000]0.0,,&quot;M&quot;;#,##0.0,,,&quot;G&quot;">
                  <c:v>197834.8034</c:v>
                </c:pt>
                <c:pt idx="632" formatCode="[&lt;1000000]0.0,&quot;K&quot;;[&lt;1000000000]0.0,,&quot;M&quot;;#,##0.0,,,&quot;G&quot;">
                  <c:v>197139.18640000001</c:v>
                </c:pt>
                <c:pt idx="633" formatCode="[&lt;1000000]0.0,&quot;K&quot;;[&lt;1000000000]0.0,,&quot;M&quot;;#,##0.0,,,&quot;G&quot;">
                  <c:v>197775.39599999998</c:v>
                </c:pt>
                <c:pt idx="634" formatCode="[&lt;1000000]0.0,&quot;K&quot;;[&lt;1000000000]0.0,,&quot;M&quot;;#,##0.0,,,&quot;G&quot;">
                  <c:v>196942.38149999999</c:v>
                </c:pt>
                <c:pt idx="635" formatCode="[&lt;1000000]0.0,&quot;K&quot;;[&lt;1000000000]0.0,,&quot;M&quot;;#,##0.0,,,&quot;G&quot;">
                  <c:v>196486.77979999999</c:v>
                </c:pt>
                <c:pt idx="636" formatCode="[&lt;1000000]0.0,&quot;K&quot;;[&lt;1000000000]0.0,,&quot;M&quot;;#,##0.0,,,&quot;G&quot;">
                  <c:v>197441.15999999997</c:v>
                </c:pt>
                <c:pt idx="637" formatCode="[&lt;1000000]0.0,&quot;K&quot;;[&lt;1000000000]0.0,,&quot;M&quot;;#,##0.0,,,&quot;G&quot;">
                  <c:v>196243.9632</c:v>
                </c:pt>
                <c:pt idx="638" formatCode="[&lt;1000000]0.0,&quot;K&quot;;[&lt;1000000000]0.0,,&quot;M&quot;;#,##0.0,,,&quot;G&quot;">
                  <c:v>196848.78719999999</c:v>
                </c:pt>
                <c:pt idx="639" formatCode="[&lt;1000000]0.0,&quot;K&quot;;[&lt;1000000000]0.0,,&quot;M&quot;;#,##0.0,,,&quot;G&quot;">
                  <c:v>198178.22429999997</c:v>
                </c:pt>
                <c:pt idx="640" formatCode="[&lt;1000000]0.0,&quot;K&quot;;[&lt;1000000000]0.0,,&quot;M&quot;;#,##0.0,,,&quot;G&quot;">
                  <c:v>196130.86679999999</c:v>
                </c:pt>
                <c:pt idx="641" formatCode="[&lt;1000000]0.0,&quot;K&quot;;[&lt;1000000000]0.0,,&quot;M&quot;;#,##0.0,,,&quot;G&quot;">
                  <c:v>197613.99599999998</c:v>
                </c:pt>
                <c:pt idx="642" formatCode="[&lt;1000000]0.0,&quot;K&quot;;[&lt;1000000000]0.0,,&quot;M&quot;;#,##0.0,,,&quot;G&quot;">
                  <c:v>197714.75999999998</c:v>
                </c:pt>
                <c:pt idx="643" formatCode="[&lt;1000000]0.0,&quot;K&quot;;[&lt;1000000000]0.0,,&quot;M&quot;;#,##0.0,,,&quot;G&quot;">
                  <c:v>198048.59</c:v>
                </c:pt>
                <c:pt idx="644" formatCode="[&lt;1000000]0.0,&quot;K&quot;;[&lt;1000000000]0.0,,&quot;M&quot;;#,##0.0,,,&quot;G&quot;">
                  <c:v>197224.66919999997</c:v>
                </c:pt>
                <c:pt idx="645" formatCode="[&lt;1000000]0.0,&quot;K&quot;;[&lt;1000000000]0.0,,&quot;M&quot;;#,##0.0,,,&quot;G&quot;">
                  <c:v>198584.19999999998</c:v>
                </c:pt>
                <c:pt idx="646" formatCode="[&lt;1000000]0.0,&quot;K&quot;;[&lt;1000000000]0.0,,&quot;M&quot;;#,##0.0,,,&quot;G&quot;">
                  <c:v>198608.81040000002</c:v>
                </c:pt>
                <c:pt idx="647" formatCode="[&lt;1000000]0.0,&quot;K&quot;;[&lt;1000000000]0.0,,&quot;M&quot;;#,##0.0,,,&quot;G&quot;">
                  <c:v>197346.25499999998</c:v>
                </c:pt>
                <c:pt idx="648" formatCode="[&lt;1000000]0.0,&quot;K&quot;;[&lt;1000000000]0.0,,&quot;M&quot;;#,##0.0,,,&quot;G&quot;">
                  <c:v>197845.21119999999</c:v>
                </c:pt>
                <c:pt idx="649" formatCode="[&lt;1000000]0.0,&quot;K&quot;;[&lt;1000000000]0.0,,&quot;M&quot;;#,##0.0,,,&quot;G&quot;">
                  <c:v>199739.17079999999</c:v>
                </c:pt>
                <c:pt idx="650" formatCode="[&lt;1000000]0.0,&quot;K&quot;;[&lt;1000000000]0.0,,&quot;M&quot;;#,##0.0,,,&quot;G&quot;">
                  <c:v>199646.63279999999</c:v>
                </c:pt>
                <c:pt idx="651" formatCode="[&lt;1000000]0.0,&quot;K&quot;;[&lt;1000000000]0.0,,&quot;M&quot;;#,##0.0,,,&quot;G&quot;">
                  <c:v>201088.10399999999</c:v>
                </c:pt>
                <c:pt idx="652" formatCode="[&lt;1000000]0.0,&quot;K&quot;;[&lt;1000000000]0.0,,&quot;M&quot;;#,##0.0,,,&quot;G&quot;">
                  <c:v>201187.06760000001</c:v>
                </c:pt>
                <c:pt idx="653" formatCode="[&lt;1000000]0.0,&quot;K&quot;;[&lt;1000000000]0.0,,&quot;M&quot;;#,##0.0,,,&quot;G&quot;">
                  <c:v>200199.76499999998</c:v>
                </c:pt>
                <c:pt idx="674" formatCode="[&lt;1000000]0.0,&quot;K&quot;;[&lt;1000000000]0.0,,&quot;M&quot;;#,##0.0,,,&quot;G&quot;">
                  <c:v>200926.04370000001</c:v>
                </c:pt>
                <c:pt idx="675" formatCode="[&lt;1000000]0.0,&quot;K&quot;;[&lt;1000000000]0.0,,&quot;M&quot;;#,##0.0,,,&quot;G&quot;">
                  <c:v>201279.42899999997</c:v>
                </c:pt>
                <c:pt idx="676" formatCode="[&lt;1000000]0.0,&quot;K&quot;;[&lt;1000000000]0.0,,&quot;M&quot;;#,##0.0,,,&quot;G&quot;">
                  <c:v>200914.14149999997</c:v>
                </c:pt>
                <c:pt idx="677" formatCode="[&lt;1000000]0.0,&quot;K&quot;;[&lt;1000000000]0.0,,&quot;M&quot;;#,##0.0,,,&quot;G&quot;">
                  <c:v>200956.63219999999</c:v>
                </c:pt>
                <c:pt idx="678" formatCode="[&lt;1000000]0.0,&quot;K&quot;;[&lt;1000000000]0.0,,&quot;M&quot;;#,##0.0,,,&quot;G&quot;">
                  <c:v>200851.63019999999</c:v>
                </c:pt>
                <c:pt idx="679" formatCode="[&lt;1000000]0.0,&quot;K&quot;;[&lt;1000000000]0.0,,&quot;M&quot;;#,##0.0,,,&quot;G&quot;">
                  <c:v>200128.96399999998</c:v>
                </c:pt>
                <c:pt idx="680" formatCode="[&lt;1000000]0.0,&quot;K&quot;;[&lt;1000000000]0.0,,&quot;M&quot;;#,##0.0,,,&quot;G&quot;">
                  <c:v>200428.86079999999</c:v>
                </c:pt>
                <c:pt idx="681" formatCode="[&lt;1000000]0.0,&quot;K&quot;;[&lt;1000000000]0.0,,&quot;M&quot;;#,##0.0,,,&quot;G&quot;">
                  <c:v>200672.65119999999</c:v>
                </c:pt>
                <c:pt idx="682" formatCode="[&lt;1000000]0.0,&quot;K&quot;;[&lt;1000000000]0.0,,&quot;M&quot;;#,##0.0,,,&quot;G&quot;">
                  <c:v>202046.81640000001</c:v>
                </c:pt>
                <c:pt idx="683" formatCode="[&lt;1000000]0.0,&quot;K&quot;;[&lt;1000000000]0.0,,&quot;M&quot;;#,##0.0,,,&quot;G&quot;">
                  <c:v>200538.0625</c:v>
                </c:pt>
                <c:pt idx="684" formatCode="[&lt;1000000]0.0,&quot;K&quot;;[&lt;1000000000]0.0,,&quot;M&quot;;#,##0.0,,,&quot;G&quot;">
                  <c:v>200157.90479999999</c:v>
                </c:pt>
                <c:pt idx="685" formatCode="[&lt;1000000]0.0,&quot;K&quot;;[&lt;1000000000]0.0,,&quot;M&quot;;#,##0.0,,,&quot;G&quot;">
                  <c:v>199348</c:v>
                </c:pt>
                <c:pt idx="686" formatCode="[&lt;1000000]0.0,&quot;K&quot;;[&lt;1000000000]0.0,,&quot;M&quot;;#,##0.0,,,&quot;G&quot;">
                  <c:v>199638.77009999999</c:v>
                </c:pt>
                <c:pt idx="687" formatCode="[&lt;1000000]0.0,&quot;K&quot;;[&lt;1000000000]0.0,,&quot;M&quot;;#,##0.0,,,&quot;G&quot;">
                  <c:v>201149.56999999998</c:v>
                </c:pt>
                <c:pt idx="688" formatCode="[&lt;1000000]0.0,&quot;K&quot;;[&lt;1000000000]0.0,,&quot;M&quot;;#,##0.0,,,&quot;G&quot;">
                  <c:v>200406.65589999998</c:v>
                </c:pt>
                <c:pt idx="689" formatCode="[&lt;1000000]0.0,&quot;K&quot;;[&lt;1000000000]0.0,,&quot;M&quot;;#,##0.0,,,&quot;G&quot;">
                  <c:v>200116.56269999998</c:v>
                </c:pt>
                <c:pt idx="690" formatCode="[&lt;1000000]0.0,&quot;K&quot;;[&lt;1000000000]0.0,,&quot;M&quot;;#,##0.0,,,&quot;G&quot;">
                  <c:v>200148.47999999998</c:v>
                </c:pt>
                <c:pt idx="691" formatCode="[&lt;1000000]0.0,&quot;K&quot;;[&lt;1000000000]0.0,,&quot;M&quot;;#,##0.0,,,&quot;G&quot;">
                  <c:v>199553.0454</c:v>
                </c:pt>
                <c:pt idx="692" formatCode="[&lt;1000000]0.0,&quot;K&quot;;[&lt;1000000000]0.0,,&quot;M&quot;;#,##0.0,,,&quot;G&quot;">
                  <c:v>197316</c:v>
                </c:pt>
                <c:pt idx="693" formatCode="[&lt;1000000]0.0,&quot;K&quot;;[&lt;1000000000]0.0,,&quot;M&quot;;#,##0.0,,,&quot;G&quot;">
                  <c:v>198396.70199999999</c:v>
                </c:pt>
                <c:pt idx="694" formatCode="[&lt;1000000]0.0,&quot;K&quot;;[&lt;1000000000]0.0,,&quot;M&quot;;#,##0.0,,,&quot;G&quot;">
                  <c:v>200449.62</c:v>
                </c:pt>
                <c:pt idx="695" formatCode="[&lt;1000000]0.0,&quot;K&quot;;[&lt;1000000000]0.0,,&quot;M&quot;;#,##0.0,,,&quot;G&quot;">
                  <c:v>203340.60550000001</c:v>
                </c:pt>
                <c:pt idx="696" formatCode="[&lt;1000000]0.0,&quot;K&quot;;[&lt;1000000000]0.0,,&quot;M&quot;;#,##0.0,,,&quot;G&quot;">
                  <c:v>202370.47759999998</c:v>
                </c:pt>
                <c:pt idx="697" formatCode="[&lt;1000000]0.0,&quot;K&quot;;[&lt;1000000000]0.0,,&quot;M&quot;;#,##0.0,,,&quot;G&quot;">
                  <c:v>199282.11360000001</c:v>
                </c:pt>
                <c:pt idx="698" formatCode="[&lt;1000000]0.0,&quot;K&quot;;[&lt;1000000000]0.0,,&quot;M&quot;;#,##0.0,,,&quot;G&quot;">
                  <c:v>192094.98599999998</c:v>
                </c:pt>
                <c:pt idx="699" formatCode="[&lt;1000000]0.0,&quot;K&quot;;[&lt;1000000000]0.0,,&quot;M&quot;;#,##0.0,,,&quot;G&quot;">
                  <c:v>201792.2145</c:v>
                </c:pt>
                <c:pt idx="700" formatCode="[&lt;1000000]0.0,&quot;K&quot;;[&lt;1000000000]0.0,,&quot;M&quot;;#,##0.0,,,&quot;G&quot;">
                  <c:v>202665.47039999999</c:v>
                </c:pt>
                <c:pt idx="701" formatCode="[&lt;1000000]0.0,&quot;K&quot;;[&lt;1000000000]0.0,,&quot;M&quot;;#,##0.0,,,&quot;G&quot;">
                  <c:v>202956.25349999999</c:v>
                </c:pt>
                <c:pt idx="702" formatCode="[&lt;1000000]0.0,&quot;K&quot;;[&lt;1000000000]0.0,,&quot;M&quot;;#,##0.0,,,&quot;G&quot;">
                  <c:v>203095.1979</c:v>
                </c:pt>
                <c:pt idx="703" formatCode="[&lt;1000000]0.0,&quot;K&quot;;[&lt;1000000000]0.0,,&quot;M&quot;;#,##0.0,,,&quot;G&quot;">
                  <c:v>201589.99919999999</c:v>
                </c:pt>
                <c:pt idx="704" formatCode="[&lt;1000000]0.0,&quot;K&quot;;[&lt;1000000000]0.0,,&quot;M&quot;;#,##0.0,,,&quot;G&quot;">
                  <c:v>202111.3823</c:v>
                </c:pt>
                <c:pt idx="705" formatCode="[&lt;1000000]0.0,&quot;K&quot;;[&lt;1000000000]0.0,,&quot;M&quot;;#,##0.0,,,&quot;G&quot;">
                  <c:v>201636.981</c:v>
                </c:pt>
                <c:pt idx="706" formatCode="[&lt;1000000]0.0,&quot;K&quot;;[&lt;1000000000]0.0,,&quot;M&quot;;#,##0.0,,,&quot;G&quot;">
                  <c:v>202061.11139999999</c:v>
                </c:pt>
                <c:pt idx="707" formatCode="[&lt;1000000]0.0,&quot;K&quot;;[&lt;1000000000]0.0,,&quot;M&quot;;#,##0.0,,,&quot;G&quot;">
                  <c:v>202418.2776</c:v>
                </c:pt>
                <c:pt idx="708" formatCode="[&lt;1000000]0.0,&quot;K&quot;;[&lt;1000000000]0.0,,&quot;M&quot;;#,##0.0,,,&quot;G&quot;">
                  <c:v>203199.606</c:v>
                </c:pt>
                <c:pt idx="709" formatCode="[&lt;1000000]0.0,&quot;K&quot;;[&lt;1000000000]0.0,,&quot;M&quot;;#,##0.0,,,&quot;G&quot;">
                  <c:v>201349.84</c:v>
                </c:pt>
                <c:pt idx="710" formatCode="[&lt;1000000]0.0,&quot;K&quot;;[&lt;1000000000]0.0,,&quot;M&quot;;#,##0.0,,,&quot;G&quot;">
                  <c:v>201892.158</c:v>
                </c:pt>
                <c:pt idx="711" formatCode="[&lt;1000000]0.0,&quot;K&quot;;[&lt;1000000000]0.0,,&quot;M&quot;;#,##0.0,,,&quot;G&quot;">
                  <c:v>200311.46239999999</c:v>
                </c:pt>
                <c:pt idx="712" formatCode="[&lt;1000000]0.0,&quot;K&quot;;[&lt;1000000000]0.0,,&quot;M&quot;;#,##0.0,,,&quot;G&quot;">
                  <c:v>203118.45199999999</c:v>
                </c:pt>
                <c:pt idx="713" formatCode="[&lt;1000000]0.0,&quot;K&quot;;[&lt;1000000000]0.0,,&quot;M&quot;;#,##0.0,,,&quot;G&quot;">
                  <c:v>200967.49639999997</c:v>
                </c:pt>
                <c:pt idx="714" formatCode="[&lt;1000000]0.0,&quot;K&quot;;[&lt;1000000000]0.0,,&quot;M&quot;;#,##0.0,,,&quot;G&quot;">
                  <c:v>198526.57749999998</c:v>
                </c:pt>
                <c:pt idx="715" formatCode="[&lt;1000000]0.0,&quot;K&quot;;[&lt;1000000000]0.0,,&quot;M&quot;;#,##0.0,,,&quot;G&quot;">
                  <c:v>199290.88619999998</c:v>
                </c:pt>
                <c:pt idx="716" formatCode="[&lt;1000000]0.0,&quot;K&quot;;[&lt;1000000000]0.0,,&quot;M&quot;;#,##0.0,,,&quot;G&quot;">
                  <c:v>199818.04079999999</c:v>
                </c:pt>
                <c:pt idx="717" formatCode="[&lt;1000000]0.0,&quot;K&quot;;[&lt;1000000000]0.0,,&quot;M&quot;;#,##0.0,,,&quot;G&quot;">
                  <c:v>200376.25519999999</c:v>
                </c:pt>
                <c:pt idx="718" formatCode="[&lt;1000000]0.0,&quot;K&quot;;[&lt;1000000000]0.0,,&quot;M&quot;;#,##0.0,,,&quot;G&quot;">
                  <c:v>202061.20409999997</c:v>
                </c:pt>
                <c:pt idx="719" formatCode="[&lt;1000000]0.0,&quot;K&quot;;[&lt;1000000000]0.0,,&quot;M&quot;;#,##0.0,,,&quot;G&quot;">
                  <c:v>201403.49389999997</c:v>
                </c:pt>
                <c:pt idx="720" formatCode="[&lt;1000000]0.0,&quot;K&quot;;[&lt;1000000000]0.0,,&quot;M&quot;;#,##0.0,,,&quot;G&quot;">
                  <c:v>200200.90319999997</c:v>
                </c:pt>
                <c:pt idx="724" formatCode="[&lt;1000000]0.0,&quot;K&quot;;[&lt;1000000000]0.0,,&quot;M&quot;;#,##0.0,,,&quot;G&quot;">
                  <c:v>198034.34</c:v>
                </c:pt>
                <c:pt idx="725" formatCode="[&lt;1000000]0.0,&quot;K&quot;;[&lt;1000000000]0.0,,&quot;M&quot;;#,##0.0,,,&quot;G&quot;">
                  <c:v>196734.63599999997</c:v>
                </c:pt>
                <c:pt idx="726" formatCode="[&lt;1000000]0.0,&quot;K&quot;;[&lt;1000000000]0.0,,&quot;M&quot;;#,##0.0,,,&quot;G&quot;">
                  <c:v>196620.51859999998</c:v>
                </c:pt>
                <c:pt idx="727" formatCode="[&lt;1000000]0.0,&quot;K&quot;;[&lt;1000000000]0.0,,&quot;M&quot;;#,##0.0,,,&quot;G&quot;">
                  <c:v>197653.1648</c:v>
                </c:pt>
                <c:pt idx="728" formatCode="[&lt;1000000]0.0,&quot;K&quot;;[&lt;1000000000]0.0,,&quot;M&quot;;#,##0.0,,,&quot;G&quot;">
                  <c:v>198957.8976</c:v>
                </c:pt>
                <c:pt idx="729" formatCode="[&lt;1000000]0.0,&quot;K&quot;;[&lt;1000000000]0.0,,&quot;M&quot;;#,##0.0,,,&quot;G&quot;">
                  <c:v>198891.80999999997</c:v>
                </c:pt>
                <c:pt idx="730" formatCode="[&lt;1000000]0.0,&quot;K&quot;;[&lt;1000000000]0.0,,&quot;M&quot;;#,##0.0,,,&quot;G&quot;">
                  <c:v>197744.83679999999</c:v>
                </c:pt>
                <c:pt idx="731" formatCode="[&lt;1000000]0.0,&quot;K&quot;;[&lt;1000000000]0.0,,&quot;M&quot;;#,##0.0,,,&quot;G&quot;">
                  <c:v>198296.9664</c:v>
                </c:pt>
                <c:pt idx="732" formatCode="[&lt;1000000]0.0,&quot;K&quot;;[&lt;1000000000]0.0,,&quot;M&quot;;#,##0.0,,,&quot;G&quot;">
                  <c:v>198548.25839999999</c:v>
                </c:pt>
                <c:pt idx="733" formatCode="[&lt;1000000]0.0,&quot;K&quot;;[&lt;1000000000]0.0,,&quot;M&quot;;#,##0.0,,,&quot;G&quot;">
                  <c:v>198553.29870000001</c:v>
                </c:pt>
                <c:pt idx="734" formatCode="[&lt;1000000]0.0,&quot;K&quot;;[&lt;1000000000]0.0,,&quot;M&quot;;#,##0.0,,,&quot;G&quot;">
                  <c:v>198747.97999999998</c:v>
                </c:pt>
                <c:pt idx="735" formatCode="[&lt;1000000]0.0,&quot;K&quot;;[&lt;1000000000]0.0,,&quot;M&quot;;#,##0.0,,,&quot;G&quot;">
                  <c:v>201066.84840000002</c:v>
                </c:pt>
                <c:pt idx="736" formatCode="[&lt;1000000]0.0,&quot;K&quot;;[&lt;1000000000]0.0,,&quot;M&quot;;#,##0.0,,,&quot;G&quot;">
                  <c:v>198341.57399999999</c:v>
                </c:pt>
                <c:pt idx="737" formatCode="[&lt;1000000]0.0,&quot;K&quot;;[&lt;1000000000]0.0,,&quot;M&quot;;#,##0.0,,,&quot;G&quot;">
                  <c:v>198744.9013</c:v>
                </c:pt>
                <c:pt idx="738" formatCode="[&lt;1000000]0.0,&quot;K&quot;;[&lt;1000000000]0.0,,&quot;M&quot;;#,##0.0,,,&quot;G&quot;">
                  <c:v>199345.65840000001</c:v>
                </c:pt>
                <c:pt idx="739" formatCode="[&lt;1000000]0.0,&quot;K&quot;;[&lt;1000000000]0.0,,&quot;M&quot;;#,##0.0,,,&quot;G&quot;">
                  <c:v>199774.62959999999</c:v>
                </c:pt>
                <c:pt idx="740" formatCode="[&lt;1000000]0.0,&quot;K&quot;;[&lt;1000000000]0.0,,&quot;M&quot;;#,##0.0,,,&quot;G&quot;">
                  <c:v>198598.54499999998</c:v>
                </c:pt>
                <c:pt idx="756" formatCode="[&lt;1000000]0.0,&quot;K&quot;;[&lt;1000000000]0.0,,&quot;M&quot;;#,##0.0,,,&quot;G&quot;">
                  <c:v>192235.21599999999</c:v>
                </c:pt>
                <c:pt idx="757" formatCode="[&lt;1000000]0.0,&quot;K&quot;;[&lt;1000000000]0.0,,&quot;M&quot;;#,##0.0,,,&quot;G&quot;">
                  <c:v>192315.15009999997</c:v>
                </c:pt>
                <c:pt idx="758" formatCode="[&lt;1000000]0.0,&quot;K&quot;;[&lt;1000000000]0.0,,&quot;M&quot;;#,##0.0,,,&quot;G&quot;">
                  <c:v>192058.64110000001</c:v>
                </c:pt>
                <c:pt idx="762" formatCode="[&lt;1000000]0.0,&quot;K&quot;;[&lt;1000000000]0.0,,&quot;M&quot;;#,##0.0,,,&quot;G&quot;">
                  <c:v>193950.84599999999</c:v>
                </c:pt>
                <c:pt idx="763" formatCode="[&lt;1000000]0.0,&quot;K&quot;;[&lt;1000000000]0.0,,&quot;M&quot;;#,##0.0,,,&quot;G&quot;">
                  <c:v>194297.21609999999</c:v>
                </c:pt>
                <c:pt idx="764" formatCode="[&lt;1000000]0.0,&quot;K&quot;;[&lt;1000000000]0.0,,&quot;M&quot;;#,##0.0,,,&quot;G&quot;">
                  <c:v>194553.82569999999</c:v>
                </c:pt>
                <c:pt idx="765" formatCode="[&lt;1000000]0.0,&quot;K&quot;;[&lt;1000000000]0.0,,&quot;M&quot;;#,##0.0,,,&quot;G&quot;">
                  <c:v>193801.93299999999</c:v>
                </c:pt>
                <c:pt idx="766" formatCode="[&lt;1000000]0.0,&quot;K&quot;;[&lt;1000000000]0.0,,&quot;M&quot;;#,##0.0,,,&quot;G&quot;">
                  <c:v>194714.27359999999</c:v>
                </c:pt>
                <c:pt idx="767" formatCode="[&lt;1000000]0.0,&quot;K&quot;;[&lt;1000000000]0.0,,&quot;M&quot;;#,##0.0,,,&quot;G&quot;">
                  <c:v>194568.16999999998</c:v>
                </c:pt>
                <c:pt idx="768" formatCode="[&lt;1000000]0.0,&quot;K&quot;;[&lt;1000000000]0.0,,&quot;M&quot;;#,##0.0,,,&quot;G&quot;">
                  <c:v>195302.21219999998</c:v>
                </c:pt>
                <c:pt idx="769" formatCode="[&lt;1000000]0.0,&quot;K&quot;;[&lt;1000000000]0.0,,&quot;M&quot;;#,##0.0,,,&quot;G&quot;">
                  <c:v>192172.0624</c:v>
                </c:pt>
                <c:pt idx="770" formatCode="[&lt;1000000]0.0,&quot;K&quot;;[&lt;1000000000]0.0,,&quot;M&quot;;#,##0.0,,,&quot;G&quot;">
                  <c:v>188215.56479999999</c:v>
                </c:pt>
                <c:pt idx="771" formatCode="[&lt;1000000]0.0,&quot;K&quot;;[&lt;1000000000]0.0,,&quot;M&quot;;#,##0.0,,,&quot;G&quot;">
                  <c:v>198075.11849999998</c:v>
                </c:pt>
                <c:pt idx="772" formatCode="[&lt;1000000]0.0,&quot;K&quot;;[&lt;1000000000]0.0,,&quot;M&quot;;#,##0.0,,,&quot;G&quot;">
                  <c:v>197843.86799999999</c:v>
                </c:pt>
                <c:pt idx="773" formatCode="[&lt;1000000]0.0,&quot;K&quot;;[&lt;1000000000]0.0,,&quot;M&quot;;#,##0.0,,,&quot;G&quot;">
                  <c:v>196980.41519999999</c:v>
                </c:pt>
                <c:pt idx="774" formatCode="[&lt;1000000]0.0,&quot;K&quot;;[&lt;1000000000]0.0,,&quot;M&quot;;#,##0.0,,,&quot;G&quot;">
                  <c:v>197655.07389999999</c:v>
                </c:pt>
                <c:pt idx="775" formatCode="[&lt;1000000]0.0,&quot;K&quot;;[&lt;1000000000]0.0,,&quot;M&quot;;#,##0.0,,,&quot;G&quot;">
                  <c:v>196145.83199999999</c:v>
                </c:pt>
                <c:pt idx="776" formatCode="[&lt;1000000]0.0,&quot;K&quot;;[&lt;1000000000]0.0,,&quot;M&quot;;#,##0.0,,,&quot;G&quot;">
                  <c:v>196228.08840000001</c:v>
                </c:pt>
                <c:pt idx="777" formatCode="[&lt;1000000]0.0,&quot;K&quot;;[&lt;1000000000]0.0,,&quot;M&quot;;#,##0.0,,,&quot;G&quot;">
                  <c:v>198013.21460000001</c:v>
                </c:pt>
                <c:pt idx="778" formatCode="[&lt;1000000]0.0,&quot;K&quot;;[&lt;1000000000]0.0,,&quot;M&quot;;#,##0.0,,,&quot;G&quot;">
                  <c:v>197621.52059999999</c:v>
                </c:pt>
                <c:pt idx="779" formatCode="[&lt;1000000]0.0,&quot;K&quot;;[&lt;1000000000]0.0,,&quot;M&quot;;#,##0.0,,,&quot;G&quot;">
                  <c:v>197411.73129999998</c:v>
                </c:pt>
                <c:pt idx="780" formatCode="[&lt;1000000]0.0,&quot;K&quot;;[&lt;1000000000]0.0,,&quot;M&quot;;#,##0.0,,,&quot;G&quot;">
                  <c:v>198091.22559999998</c:v>
                </c:pt>
                <c:pt idx="781" formatCode="[&lt;1000000]0.0,&quot;K&quot;;[&lt;1000000000]0.0,,&quot;M&quot;;#,##0.0,,,&quot;G&quot;">
                  <c:v>196327.04060000001</c:v>
                </c:pt>
                <c:pt idx="782" formatCode="[&lt;1000000]0.0,&quot;K&quot;;[&lt;1000000000]0.0,,&quot;M&quot;;#,##0.0,,,&quot;G&quot;">
                  <c:v>198717.10560000001</c:v>
                </c:pt>
                <c:pt idx="783" formatCode="[&lt;1000000]0.0,&quot;K&quot;;[&lt;1000000000]0.0,,&quot;M&quot;;#,##0.0,,,&quot;G&quot;">
                  <c:v>197566.80299999999</c:v>
                </c:pt>
                <c:pt idx="784" formatCode="[&lt;1000000]0.0,&quot;K&quot;;[&lt;1000000000]0.0,,&quot;M&quot;;#,##0.0,,,&quot;G&quot;">
                  <c:v>196978.60559999998</c:v>
                </c:pt>
                <c:pt idx="785" formatCode="[&lt;1000000]0.0,&quot;K&quot;;[&lt;1000000000]0.0,,&quot;M&quot;;#,##0.0,,,&quot;G&quot;">
                  <c:v>195572.52000000002</c:v>
                </c:pt>
                <c:pt idx="786" formatCode="[&lt;1000000]0.0,&quot;K&quot;;[&lt;1000000000]0.0,,&quot;M&quot;;#,##0.0,,,&quot;G&quot;">
                  <c:v>194319.0736</c:v>
                </c:pt>
                <c:pt idx="787" formatCode="[&lt;1000000]0.0,&quot;K&quot;;[&lt;1000000000]0.0,,&quot;M&quot;;#,##0.0,,,&quot;G&quot;">
                  <c:v>194689.698</c:v>
                </c:pt>
                <c:pt idx="788" formatCode="[&lt;1000000]0.0,&quot;K&quot;;[&lt;1000000000]0.0,,&quot;M&quot;;#,##0.0,,,&quot;G&quot;">
                  <c:v>191963.772</c:v>
                </c:pt>
                <c:pt idx="789" formatCode="[&lt;1000000]0.0,&quot;K&quot;;[&lt;1000000000]0.0,,&quot;M&quot;;#,##0.0,,,&quot;G&quot;">
                  <c:v>190580.35530000002</c:v>
                </c:pt>
                <c:pt idx="790" formatCode="[&lt;1000000]0.0,&quot;K&quot;;[&lt;1000000000]0.0,,&quot;M&quot;;#,##0.0,,,&quot;G&quot;">
                  <c:v>201766.49419999999</c:v>
                </c:pt>
                <c:pt idx="791" formatCode="[&lt;1000000]0.0,&quot;K&quot;;[&lt;1000000000]0.0,,&quot;M&quot;;#,##0.0,,,&quot;G&quot;">
                  <c:v>201742.42879999999</c:v>
                </c:pt>
                <c:pt idx="792" formatCode="[&lt;1000000]0.0,&quot;K&quot;;[&lt;1000000000]0.0,,&quot;M&quot;;#,##0.0,,,&quot;G&quot;">
                  <c:v>200756.834</c:v>
                </c:pt>
                <c:pt idx="793" formatCode="[&lt;1000000]0.0,&quot;K&quot;;[&lt;1000000000]0.0,,&quot;M&quot;;#,##0.0,,,&quot;G&quot;">
                  <c:v>198394.092</c:v>
                </c:pt>
                <c:pt idx="794" formatCode="[&lt;1000000]0.0,&quot;K&quot;;[&lt;1000000000]0.0,,&quot;M&quot;;#,##0.0,,,&quot;G&quot;">
                  <c:v>198009.18359999999</c:v>
                </c:pt>
                <c:pt idx="795" formatCode="[&lt;1000000]0.0,&quot;K&quot;;[&lt;1000000000]0.0,,&quot;M&quot;;#,##0.0,,,&quot;G&quot;">
                  <c:v>204559.87239999999</c:v>
                </c:pt>
                <c:pt idx="796" formatCode="[&lt;1000000]0.0,&quot;K&quot;;[&lt;1000000000]0.0,,&quot;M&quot;;#,##0.0,,,&quot;G&quot;">
                  <c:v>205159.5655</c:v>
                </c:pt>
                <c:pt idx="797" formatCode="[&lt;1000000]0.0,&quot;K&quot;;[&lt;1000000000]0.0,,&quot;M&quot;;#,##0.0,,,&quot;G&quot;">
                  <c:v>205634.10869999998</c:v>
                </c:pt>
                <c:pt idx="798" formatCode="[&lt;1000000]0.0,&quot;K&quot;;[&lt;1000000000]0.0,,&quot;M&quot;;#,##0.0,,,&quot;G&quot;">
                  <c:v>203198.11199999999</c:v>
                </c:pt>
                <c:pt idx="801" formatCode="[&lt;1000000]0.0,&quot;K&quot;;[&lt;1000000000]0.0,,&quot;M&quot;;#,##0.0,,,&quot;G&quot;">
                  <c:v>202451.84179999999</c:v>
                </c:pt>
                <c:pt idx="802" formatCode="[&lt;1000000]0.0,&quot;K&quot;;[&lt;1000000000]0.0,,&quot;M&quot;;#,##0.0,,,&quot;G&quot;">
                  <c:v>202790.41219999999</c:v>
                </c:pt>
                <c:pt idx="803" formatCode="[&lt;1000000]0.0,&quot;K&quot;;[&lt;1000000000]0.0,,&quot;M&quot;;#,##0.0,,,&quot;G&quot;">
                  <c:v>203580.06589999999</c:v>
                </c:pt>
                <c:pt idx="804" formatCode="[&lt;1000000]0.0,&quot;K&quot;;[&lt;1000000000]0.0,,&quot;M&quot;;#,##0.0,,,&quot;G&quot;">
                  <c:v>204135.72659999999</c:v>
                </c:pt>
                <c:pt idx="805" formatCode="[&lt;1000000]0.0,&quot;K&quot;;[&lt;1000000000]0.0,,&quot;M&quot;;#,##0.0,,,&quot;G&quot;">
                  <c:v>203934.60629999998</c:v>
                </c:pt>
                <c:pt idx="806" formatCode="[&lt;1000000]0.0,&quot;K&quot;;[&lt;1000000000]0.0,,&quot;M&quot;;#,##0.0,,,&quot;G&quot;">
                  <c:v>203754.432</c:v>
                </c:pt>
                <c:pt idx="807" formatCode="[&lt;1000000]0.0,&quot;K&quot;;[&lt;1000000000]0.0,,&quot;M&quot;;#,##0.0,,,&quot;G&quot;">
                  <c:v>202740.96</c:v>
                </c:pt>
                <c:pt idx="808" formatCode="[&lt;1000000]0.0,&quot;K&quot;;[&lt;1000000000]0.0,,&quot;M&quot;;#,##0.0,,,&quot;G&quot;">
                  <c:v>203953.995</c:v>
                </c:pt>
                <c:pt idx="809" formatCode="[&lt;1000000]0.0,&quot;K&quot;;[&lt;1000000000]0.0,,&quot;M&quot;;#,##0.0,,,&quot;G&quot;">
                  <c:v>202995.87399999998</c:v>
                </c:pt>
                <c:pt idx="810" formatCode="[&lt;1000000]0.0,&quot;K&quot;;[&lt;1000000000]0.0,,&quot;M&quot;;#,##0.0,,,&quot;G&quot;">
                  <c:v>202612.12799999997</c:v>
                </c:pt>
                <c:pt idx="811" formatCode="[&lt;1000000]0.0,&quot;K&quot;;[&lt;1000000000]0.0,,&quot;M&quot;;#,##0.0,,,&quot;G&quot;">
                  <c:v>202826.63699999999</c:v>
                </c:pt>
                <c:pt idx="812" formatCode="[&lt;1000000]0.0,&quot;K&quot;;[&lt;1000000000]0.0,,&quot;M&quot;;#,##0.0,,,&quot;G&quot;">
                  <c:v>201911.8248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205632"/>
        <c:axId val="306292992"/>
      </c:scatterChart>
      <c:valAx>
        <c:axId val="223275264"/>
        <c:scaling>
          <c:orientation val="minMax"/>
          <c:max val="43159"/>
          <c:min val="43117"/>
        </c:scaling>
        <c:delete val="0"/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altLang="ja-JP" sz="2400"/>
                  <a:t>date</a:t>
                </a:r>
                <a:endParaRPr lang="ja-JP" altLang="en-US" sz="2400"/>
              </a:p>
            </c:rich>
          </c:tx>
          <c:layout>
            <c:manualLayout>
              <c:xMode val="edge"/>
              <c:yMode val="edge"/>
              <c:x val="0.51889364794889548"/>
              <c:y val="0.91354502818295247"/>
            </c:manualLayout>
          </c:layout>
          <c:overlay val="0"/>
        </c:title>
        <c:numFmt formatCode="m/d/yyyy" sourceLinked="0"/>
        <c:majorTickMark val="out"/>
        <c:minorTickMark val="none"/>
        <c:tickLblPos val="nextTo"/>
        <c:txPr>
          <a:bodyPr rot="540000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23277440"/>
        <c:crosses val="autoZero"/>
        <c:crossBetween val="midCat"/>
        <c:majorUnit val="7"/>
        <c:minorUnit val="1"/>
      </c:valAx>
      <c:valAx>
        <c:axId val="22327744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2400">
                    <a:solidFill>
                      <a:srgbClr val="0070C0"/>
                    </a:solidFill>
                  </a:defRPr>
                </a:pPr>
                <a:r>
                  <a:rPr lang="en-US" altLang="ja-JP" sz="2400">
                    <a:solidFill>
                      <a:srgbClr val="0070C0"/>
                    </a:solidFill>
                  </a:rPr>
                  <a:t>K/pi</a:t>
                </a:r>
                <a:r>
                  <a:rPr lang="en-US" altLang="ja-JP" sz="2400" baseline="0">
                    <a:solidFill>
                      <a:srgbClr val="0070C0"/>
                    </a:solidFill>
                  </a:rPr>
                  <a:t> ratio</a:t>
                </a:r>
                <a:endParaRPr lang="ja-JP" altLang="en-US" sz="2400">
                  <a:solidFill>
                    <a:srgbClr val="0070C0"/>
                  </a:solidFill>
                </a:endParaRPr>
              </a:p>
            </c:rich>
          </c:tx>
          <c:layout>
            <c:manualLayout>
              <c:xMode val="edge"/>
              <c:yMode val="edge"/>
              <c:x val="2.6777979644038905E-3"/>
              <c:y val="0.31707715592717217"/>
            </c:manualLayout>
          </c:layout>
          <c:overlay val="0"/>
        </c:title>
        <c:numFmt formatCode="#,##0.0_);[Red]\(#,##0.0\)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>
              <a:defRPr sz="1600">
                <a:solidFill>
                  <a:srgbClr val="0070C0"/>
                </a:solidFill>
              </a:defRPr>
            </a:pPr>
            <a:endParaRPr lang="ja-JP"/>
          </a:p>
        </c:txPr>
        <c:crossAx val="223275264"/>
        <c:crosses val="autoZero"/>
        <c:crossBetween val="midCat"/>
        <c:majorUnit val="0.1"/>
      </c:valAx>
      <c:valAx>
        <c:axId val="3062929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400">
                    <a:solidFill>
                      <a:srgbClr val="FF0000"/>
                    </a:solidFill>
                  </a:defRPr>
                </a:pPr>
                <a:r>
                  <a:rPr lang="en-US" altLang="ja-JP" sz="2400">
                    <a:solidFill>
                      <a:srgbClr val="FF0000"/>
                    </a:solidFill>
                  </a:rPr>
                  <a:t>K</a:t>
                </a:r>
                <a:r>
                  <a:rPr lang="en-US" altLang="ja-JP" sz="2400" baseline="0">
                    <a:solidFill>
                      <a:srgbClr val="FF0000"/>
                    </a:solidFill>
                  </a:rPr>
                  <a:t> yield / spill</a:t>
                </a:r>
                <a:endParaRPr lang="ja-JP" altLang="en-US" sz="2400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95581918815292799"/>
              <c:y val="0.27202367353944024"/>
            </c:manualLayout>
          </c:layout>
          <c:overlay val="0"/>
        </c:title>
        <c:numFmt formatCode="[&lt;1000000]0,&quot;K&quot;;[&lt;1000000000]0,,&quot;M&quot;;#,##0,,,&quot;G&quot;" sourceLinked="0"/>
        <c:majorTickMark val="out"/>
        <c:minorTickMark val="none"/>
        <c:tickLblPos val="nextTo"/>
        <c:txPr>
          <a:bodyPr/>
          <a:lstStyle/>
          <a:p>
            <a:pPr>
              <a:defRPr sz="1600">
                <a:solidFill>
                  <a:srgbClr val="FF0000"/>
                </a:solidFill>
              </a:defRPr>
            </a:pPr>
            <a:endParaRPr lang="ja-JP"/>
          </a:p>
        </c:txPr>
        <c:crossAx val="307205632"/>
        <c:crosses val="max"/>
        <c:crossBetween val="midCat"/>
      </c:valAx>
      <c:valAx>
        <c:axId val="307205632"/>
        <c:scaling>
          <c:orientation val="minMax"/>
        </c:scaling>
        <c:delete val="1"/>
        <c:axPos val="b"/>
        <c:numFmt formatCode="yyyy/m/d\ h:mm;@" sourceLinked="1"/>
        <c:majorTickMark val="out"/>
        <c:minorTickMark val="none"/>
        <c:tickLblPos val="nextTo"/>
        <c:crossAx val="306292992"/>
        <c:crossBetween val="midCat"/>
      </c:valAx>
      <c:spPr>
        <a:ln>
          <a:prstDash val="dash"/>
        </a:ln>
      </c:spPr>
    </c:plotArea>
    <c:legend>
      <c:legendPos val="r"/>
      <c:layout>
        <c:manualLayout>
          <c:xMode val="edge"/>
          <c:yMode val="edge"/>
          <c:x val="0.71056579213548865"/>
          <c:y val="0.33772150089001429"/>
          <c:w val="0.16141146527113956"/>
          <c:h val="0.1161180784652125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800"/>
          </a:pPr>
          <a:endParaRPr lang="ja-JP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7" workbookViewId="0"/>
  </sheetViews>
  <pageMargins left="0.7" right="0.7" top="0.75" bottom="0.75" header="0.3" footer="0.3"/>
  <pageSetup paperSize="9" orientation="landscape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7" workbookViewId="0"/>
  </sheetViews>
  <pageMargins left="0.7" right="0.7" top="0.75" bottom="0.75" header="0.3" footer="0.3"/>
  <pageSetup paperSize="9" orientation="landscape" verticalDpi="30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7" workbookViewId="0"/>
  </sheetViews>
  <pageMargins left="0.7" right="0.7" top="0.75" bottom="0.75" header="0.3" footer="0.3"/>
  <pageSetup paperSize="9" orientation="landscape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3374" cy="6071251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0.11577</cdr:x>
      <cdr:y>0.17404</cdr:y>
    </cdr:from>
    <cdr:to>
      <cdr:x>0.89084</cdr:x>
      <cdr:y>0.17404</cdr:y>
    </cdr:to>
    <cdr:cxnSp macro="">
      <cdr:nvCxnSpPr>
        <cdr:cNvPr id="7" name="直線コネクタ 6"/>
        <cdr:cNvCxnSpPr/>
      </cdr:nvCxnSpPr>
      <cdr:spPr>
        <a:xfrm xmlns:a="http://schemas.openxmlformats.org/drawingml/2006/main">
          <a:off x="1074615" y="1051877"/>
          <a:ext cx="71946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  <a:effectLst xmlns:a="http://schemas.openxmlformats.org/drawingml/2006/main">
          <a:glow rad="101600">
            <a:schemeClr val="tx1">
              <a:alpha val="40000"/>
            </a:schemeClr>
          </a:glow>
        </a:effec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0.36681</cdr:x>
      <cdr:y>0.07952</cdr:y>
    </cdr:from>
    <cdr:to>
      <cdr:x>0.65813</cdr:x>
      <cdr:y>0.16392</cdr:y>
    </cdr:to>
    <cdr:sp macro="" textlink="">
      <cdr:nvSpPr>
        <cdr:cNvPr id="8" name="テキスト ボックス 2"/>
        <cdr:cNvSpPr txBox="1"/>
      </cdr:nvSpPr>
      <cdr:spPr>
        <a:xfrm xmlns:a="http://schemas.openxmlformats.org/drawingml/2006/main">
          <a:off x="3404901" y="480646"/>
          <a:ext cx="2704191" cy="510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2400" b="1" i="1"/>
            <a:t>Goal of E31-2</a:t>
          </a:r>
          <a:r>
            <a:rPr lang="en-US" altLang="ja-JP" sz="2400" b="1" i="1" baseline="30000"/>
            <a:t>nd</a:t>
          </a:r>
          <a:r>
            <a:rPr lang="en-US" altLang="ja-JP" sz="2400" b="1" i="1"/>
            <a:t> (37G K-)</a:t>
          </a:r>
          <a:endParaRPr lang="ja-JP" altLang="en-US" sz="2400" b="1" i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0769" cy="6043897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0.11577</cdr:x>
      <cdr:y>0.19128</cdr:y>
    </cdr:from>
    <cdr:to>
      <cdr:x>0.89084</cdr:x>
      <cdr:y>0.19128</cdr:y>
    </cdr:to>
    <cdr:cxnSp macro="">
      <cdr:nvCxnSpPr>
        <cdr:cNvPr id="7" name="直線コネクタ 6"/>
        <cdr:cNvCxnSpPr/>
      </cdr:nvCxnSpPr>
      <cdr:spPr>
        <a:xfrm xmlns:a="http://schemas.openxmlformats.org/drawingml/2006/main">
          <a:off x="1074435" y="1156086"/>
          <a:ext cx="719324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  <a:effectLst xmlns:a="http://schemas.openxmlformats.org/drawingml/2006/main">
          <a:glow rad="101600">
            <a:schemeClr val="tx1">
              <a:alpha val="40000"/>
            </a:schemeClr>
          </a:glow>
        </a:effec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0.29242</cdr:x>
      <cdr:y>0.08706</cdr:y>
    </cdr:from>
    <cdr:to>
      <cdr:x>0.58374</cdr:x>
      <cdr:y>0.17146</cdr:y>
    </cdr:to>
    <cdr:sp macro="" textlink="">
      <cdr:nvSpPr>
        <cdr:cNvPr id="8" name="テキスト ボックス 2"/>
        <cdr:cNvSpPr txBox="1"/>
      </cdr:nvSpPr>
      <cdr:spPr>
        <a:xfrm xmlns:a="http://schemas.openxmlformats.org/drawingml/2006/main">
          <a:off x="2713920" y="526201"/>
          <a:ext cx="2703674" cy="510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2400" b="1" i="1"/>
            <a:t>Goal of E31-2</a:t>
          </a:r>
          <a:r>
            <a:rPr lang="en-US" altLang="ja-JP" sz="2400" b="1" i="1" baseline="30000"/>
            <a:t>nd</a:t>
          </a:r>
          <a:r>
            <a:rPr lang="en-US" altLang="ja-JP" sz="2400" b="1" i="1"/>
            <a:t> (110.4kW*week)</a:t>
          </a:r>
          <a:endParaRPr lang="ja-JP" altLang="en-US" sz="2400" b="1" i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3374" cy="6071251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08"/>
  <sheetViews>
    <sheetView topLeftCell="A2" workbookViewId="0">
      <selection activeCell="A9" sqref="A9"/>
    </sheetView>
  </sheetViews>
  <sheetFormatPr defaultRowHeight="13.2"/>
  <cols>
    <col min="1" max="1" width="7.6640625" customWidth="1"/>
    <col min="2" max="2" width="11.6640625" style="3" bestFit="1" customWidth="1"/>
    <col min="3" max="3" width="8.5546875" style="3" customWidth="1"/>
    <col min="4" max="4" width="14.6640625" style="3" customWidth="1"/>
    <col min="5" max="5" width="24.5546875" style="3" customWidth="1"/>
    <col min="6" max="11" width="11.109375" customWidth="1"/>
    <col min="12" max="12" width="15.77734375" customWidth="1"/>
    <col min="13" max="13" width="12.44140625" customWidth="1"/>
    <col min="14" max="16" width="9.88671875" customWidth="1"/>
    <col min="17" max="17" width="9.88671875" style="215" customWidth="1"/>
    <col min="18" max="18" width="11.77734375" style="215" customWidth="1"/>
    <col min="19" max="20" width="9.88671875" style="2" customWidth="1"/>
    <col min="21" max="21" width="9.88671875" style="215" customWidth="1"/>
    <col min="22" max="22" width="11.109375" style="215" customWidth="1"/>
    <col min="23" max="23" width="9.88671875" style="215" customWidth="1"/>
    <col min="24" max="25" width="9.88671875" customWidth="1"/>
    <col min="26" max="26" width="9.88671875" style="215" customWidth="1"/>
    <col min="27" max="30" width="9.88671875" customWidth="1"/>
    <col min="31" max="31" width="9.88671875" style="215" customWidth="1"/>
    <col min="32" max="36" width="9.88671875" customWidth="1"/>
    <col min="37" max="37" width="13.5546875" customWidth="1"/>
    <col min="38" max="40" width="9.88671875" customWidth="1"/>
    <col min="41" max="41" width="9.88671875" style="215" customWidth="1"/>
    <col min="42" max="42" width="12.33203125" customWidth="1"/>
    <col min="43" max="46" width="9.88671875" customWidth="1"/>
    <col min="47" max="47" width="12.6640625" customWidth="1"/>
    <col min="48" max="51" width="9.88671875" customWidth="1"/>
    <col min="52" max="52" width="13.109375" customWidth="1"/>
    <col min="53" max="56" width="9.88671875" customWidth="1"/>
    <col min="57" max="57" width="12.6640625" customWidth="1"/>
    <col min="58" max="62" width="9.88671875" customWidth="1"/>
    <col min="63" max="63" width="13.109375" customWidth="1"/>
    <col min="64" max="68" width="9.88671875" customWidth="1"/>
    <col min="69" max="69" width="12.109375" customWidth="1"/>
    <col min="70" max="73" width="10.44140625" customWidth="1"/>
    <col min="74" max="74" width="12.33203125" customWidth="1"/>
    <col min="79" max="79" width="11.44140625" customWidth="1"/>
  </cols>
  <sheetData>
    <row r="1" spans="1:92" ht="16.2">
      <c r="B1" s="1" t="s">
        <v>79</v>
      </c>
      <c r="C1" s="1"/>
      <c r="D1" s="1"/>
      <c r="E1" s="1"/>
    </row>
    <row r="2" spans="1:92" ht="13.8" thickBot="1"/>
    <row r="3" spans="1:92" s="11" customFormat="1" ht="27" thickBot="1">
      <c r="B3" s="4" t="s">
        <v>0</v>
      </c>
      <c r="C3" s="5" t="s">
        <v>1</v>
      </c>
      <c r="D3" s="6" t="s">
        <v>2</v>
      </c>
      <c r="E3" s="7" t="s">
        <v>3</v>
      </c>
      <c r="F3" s="8" t="s">
        <v>4</v>
      </c>
      <c r="G3" s="8" t="s">
        <v>5</v>
      </c>
      <c r="H3" s="9" t="s">
        <v>6</v>
      </c>
      <c r="I3" s="8" t="s">
        <v>7</v>
      </c>
      <c r="J3" s="8" t="s">
        <v>8</v>
      </c>
      <c r="K3" s="10" t="s">
        <v>9</v>
      </c>
      <c r="M3" s="12" t="s">
        <v>0</v>
      </c>
      <c r="N3" s="11" t="s">
        <v>14</v>
      </c>
      <c r="O3" s="11" t="s">
        <v>15</v>
      </c>
      <c r="P3" s="11" t="s">
        <v>16</v>
      </c>
      <c r="Q3" s="216"/>
      <c r="R3" s="12" t="s">
        <v>0</v>
      </c>
      <c r="S3" s="11" t="s">
        <v>14</v>
      </c>
      <c r="T3" s="11" t="s">
        <v>15</v>
      </c>
      <c r="U3" s="11" t="s">
        <v>16</v>
      </c>
      <c r="V3" s="216"/>
      <c r="W3" s="12" t="s">
        <v>0</v>
      </c>
      <c r="X3" s="11" t="s">
        <v>14</v>
      </c>
      <c r="Y3" s="11" t="s">
        <v>15</v>
      </c>
      <c r="Z3" s="11" t="s">
        <v>16</v>
      </c>
      <c r="AA3" s="216"/>
      <c r="AB3" s="12"/>
    </row>
    <row r="4" spans="1:92" ht="13.8" thickTop="1">
      <c r="A4" s="57" t="s">
        <v>80</v>
      </c>
      <c r="B4" s="78">
        <v>43117</v>
      </c>
      <c r="C4" s="79" t="s">
        <v>81</v>
      </c>
      <c r="D4" s="80" t="s">
        <v>68</v>
      </c>
      <c r="E4" s="81" t="s">
        <v>69</v>
      </c>
      <c r="F4" s="82">
        <v>0.76535879629629633</v>
      </c>
      <c r="G4" s="82">
        <v>0.87152777777777779</v>
      </c>
      <c r="H4" s="82">
        <f t="shared" ref="H4:H10" si="0">G4-F4</f>
        <v>0.10616898148148146</v>
      </c>
      <c r="I4" s="82">
        <f>E46</f>
        <v>5.2488425925926174E-2</v>
      </c>
      <c r="J4" s="82">
        <f t="shared" ref="J4:J10" si="1">H4-I4</f>
        <v>5.3680555555555287E-2</v>
      </c>
      <c r="K4" s="83">
        <f t="shared" ref="K4:K10" si="2">J4/H4</f>
        <v>0.5056143028453044</v>
      </c>
      <c r="L4" s="2"/>
      <c r="M4" s="58">
        <v>43154</v>
      </c>
      <c r="N4" s="44">
        <v>8.9120370370370378E-3</v>
      </c>
      <c r="O4" s="127">
        <v>1.300925925925926E-2</v>
      </c>
      <c r="P4" s="44">
        <f>O4-N4</f>
        <v>4.0972222222222226E-3</v>
      </c>
      <c r="Q4" s="249"/>
      <c r="R4" s="58">
        <v>43155</v>
      </c>
      <c r="S4" s="44">
        <v>1.1736111111111109E-2</v>
      </c>
      <c r="T4" s="127">
        <v>1.2511574074074073E-2</v>
      </c>
      <c r="U4" s="44">
        <f t="shared" ref="U4:U39" si="3">T4-S4</f>
        <v>7.7546296296296391E-4</v>
      </c>
      <c r="V4" s="249" t="s">
        <v>866</v>
      </c>
      <c r="W4" s="58">
        <v>43156</v>
      </c>
      <c r="X4" s="44">
        <v>8.4027777777777781E-3</v>
      </c>
      <c r="Y4" s="127">
        <v>8.9120370370370378E-3</v>
      </c>
      <c r="Z4" s="44">
        <f t="shared" ref="Z4:Z9" si="4">Y4-X4</f>
        <v>5.0925925925925965E-4</v>
      </c>
      <c r="AA4" s="249" t="s">
        <v>888</v>
      </c>
      <c r="AB4" s="58"/>
      <c r="CE4" s="65"/>
      <c r="CF4" s="65"/>
      <c r="CG4" s="65"/>
      <c r="CH4" s="65"/>
      <c r="CI4" s="65"/>
      <c r="CJ4" s="65"/>
      <c r="CK4" s="65"/>
      <c r="CL4" s="65"/>
      <c r="CM4" s="65"/>
      <c r="CN4" s="65"/>
    </row>
    <row r="5" spans="1:92">
      <c r="A5" s="57"/>
      <c r="B5" s="39">
        <v>43118</v>
      </c>
      <c r="C5" s="40" t="s">
        <v>85</v>
      </c>
      <c r="D5" s="41" t="s">
        <v>82</v>
      </c>
      <c r="E5" s="40" t="s">
        <v>83</v>
      </c>
      <c r="F5" s="13">
        <v>0.4583564814814815</v>
      </c>
      <c r="G5" s="42">
        <v>1</v>
      </c>
      <c r="H5" s="42">
        <f t="shared" si="0"/>
        <v>0.54164351851851844</v>
      </c>
      <c r="I5" s="42">
        <f>E75</f>
        <v>0.14743055555555473</v>
      </c>
      <c r="J5" s="42">
        <f t="shared" si="1"/>
        <v>0.39421296296296371</v>
      </c>
      <c r="K5" s="43">
        <f t="shared" si="2"/>
        <v>0.72780888072139982</v>
      </c>
      <c r="L5" s="2"/>
      <c r="M5" s="44"/>
      <c r="N5">
        <v>3.4374999999999996E-2</v>
      </c>
      <c r="O5" s="127">
        <v>3.4814814814814812E-2</v>
      </c>
      <c r="P5" s="44">
        <f>O5-N5</f>
        <v>4.3981481481481649E-4</v>
      </c>
      <c r="Q5" s="249" t="s">
        <v>833</v>
      </c>
      <c r="R5" s="44"/>
      <c r="S5">
        <v>1.3194444444444444E-2</v>
      </c>
      <c r="T5" s="127">
        <v>1.357638888888889E-2</v>
      </c>
      <c r="U5" s="44">
        <f t="shared" si="3"/>
        <v>3.8194444444444517E-4</v>
      </c>
      <c r="V5" s="249" t="s">
        <v>866</v>
      </c>
      <c r="W5" s="44"/>
      <c r="X5">
        <v>6.267361111111111E-2</v>
      </c>
      <c r="Y5" s="127">
        <v>6.3078703703703706E-2</v>
      </c>
      <c r="Z5" s="44">
        <f t="shared" si="4"/>
        <v>4.0509259259259578E-4</v>
      </c>
      <c r="AA5" s="249" t="s">
        <v>889</v>
      </c>
      <c r="AB5" s="44"/>
      <c r="CE5" s="65"/>
      <c r="CF5" s="65"/>
      <c r="CG5" s="65"/>
      <c r="CH5" s="65"/>
      <c r="CI5" s="65"/>
      <c r="CJ5" s="65"/>
      <c r="CK5" s="65"/>
      <c r="CL5" s="65"/>
      <c r="CM5" s="65"/>
      <c r="CN5" s="65"/>
    </row>
    <row r="6" spans="1:92" ht="13.2" customHeight="1">
      <c r="A6" s="57"/>
      <c r="B6" s="265">
        <v>43119</v>
      </c>
      <c r="C6" s="266" t="s">
        <v>86</v>
      </c>
      <c r="D6" s="267" t="s">
        <v>82</v>
      </c>
      <c r="E6" s="266" t="s">
        <v>84</v>
      </c>
      <c r="F6" s="268">
        <v>0</v>
      </c>
      <c r="G6" s="269">
        <v>3.9918981481481479E-2</v>
      </c>
      <c r="H6" s="269">
        <f t="shared" si="0"/>
        <v>3.9918981481481479E-2</v>
      </c>
      <c r="I6" s="269">
        <f>E81</f>
        <v>8.3564814814814821E-3</v>
      </c>
      <c r="J6" s="269">
        <f t="shared" si="1"/>
        <v>3.1562499999999993E-2</v>
      </c>
      <c r="K6" s="270">
        <f t="shared" si="2"/>
        <v>0.79066396056828059</v>
      </c>
      <c r="L6" s="2"/>
      <c r="M6" s="44"/>
      <c r="N6" s="127">
        <v>4.0185185185185185E-2</v>
      </c>
      <c r="O6" s="127">
        <v>4.0451388888888891E-2</v>
      </c>
      <c r="P6" s="44">
        <f t="shared" ref="P6:P44" si="5">O6-N6</f>
        <v>2.66203703703706E-4</v>
      </c>
      <c r="Q6" s="249" t="s">
        <v>833</v>
      </c>
      <c r="R6" s="44"/>
      <c r="S6" s="127">
        <v>6.8692129629629631E-2</v>
      </c>
      <c r="T6" s="127">
        <v>6.9062500000000013E-2</v>
      </c>
      <c r="U6" s="44">
        <f t="shared" si="3"/>
        <v>3.7037037037038201E-4</v>
      </c>
      <c r="V6" s="249" t="s">
        <v>867</v>
      </c>
      <c r="W6" s="44"/>
      <c r="X6" s="127">
        <v>0.15403935185185186</v>
      </c>
      <c r="Y6" s="127">
        <v>0.15443287037037037</v>
      </c>
      <c r="Z6" s="44">
        <f t="shared" si="4"/>
        <v>3.9351851851851527E-4</v>
      </c>
      <c r="AA6" s="249" t="s">
        <v>890</v>
      </c>
      <c r="AB6" s="44"/>
      <c r="CE6" s="65"/>
      <c r="CF6" s="65"/>
      <c r="CG6" s="65"/>
      <c r="CH6" s="65"/>
      <c r="CI6" s="65"/>
      <c r="CJ6" s="65"/>
      <c r="CK6" s="65"/>
      <c r="CL6" s="65"/>
      <c r="CM6" s="65"/>
      <c r="CN6" s="65"/>
    </row>
    <row r="7" spans="1:92" ht="13.8" customHeight="1">
      <c r="A7" s="57"/>
      <c r="B7" s="39"/>
      <c r="C7" s="40" t="s">
        <v>85</v>
      </c>
      <c r="D7" s="41" t="s">
        <v>68</v>
      </c>
      <c r="E7" s="40" t="s">
        <v>803</v>
      </c>
      <c r="F7" s="13">
        <v>0.83702546296296287</v>
      </c>
      <c r="G7" s="42">
        <v>1</v>
      </c>
      <c r="H7" s="42">
        <f t="shared" si="0"/>
        <v>0.16297453703703713</v>
      </c>
      <c r="I7" s="42">
        <f>E88</f>
        <v>2.2638888888888542E-2</v>
      </c>
      <c r="J7" s="42">
        <f t="shared" si="1"/>
        <v>0.14033564814814858</v>
      </c>
      <c r="K7" s="43">
        <f t="shared" si="2"/>
        <v>0.86108941126340677</v>
      </c>
      <c r="L7" s="2"/>
      <c r="M7" s="44"/>
      <c r="N7" s="127">
        <v>7.0451388888888897E-2</v>
      </c>
      <c r="O7" s="127">
        <v>7.0856481481481479E-2</v>
      </c>
      <c r="P7" s="44">
        <f t="shared" si="5"/>
        <v>4.050925925925819E-4</v>
      </c>
      <c r="Q7" s="249" t="s">
        <v>834</v>
      </c>
      <c r="R7" s="44"/>
      <c r="S7" s="127">
        <v>8.6296296296296301E-2</v>
      </c>
      <c r="T7" s="127">
        <v>8.6539351851851853E-2</v>
      </c>
      <c r="U7" s="44">
        <f t="shared" si="3"/>
        <v>2.4305555555555192E-4</v>
      </c>
      <c r="V7" s="249" t="s">
        <v>868</v>
      </c>
      <c r="W7" s="44"/>
      <c r="X7" s="127">
        <v>0.19332175925925923</v>
      </c>
      <c r="Y7" s="127">
        <v>0.19376157407407404</v>
      </c>
      <c r="Z7" s="44">
        <f t="shared" si="4"/>
        <v>4.3981481481480955E-4</v>
      </c>
      <c r="AA7" s="249" t="s">
        <v>891</v>
      </c>
      <c r="AB7" s="44"/>
      <c r="CE7" s="65"/>
      <c r="CF7" s="65"/>
      <c r="CG7" s="65"/>
      <c r="CH7" s="65"/>
      <c r="CI7" s="65"/>
      <c r="CJ7" s="65"/>
      <c r="CK7" s="65"/>
      <c r="CL7" s="65"/>
      <c r="CM7" s="65"/>
      <c r="CN7" s="65"/>
    </row>
    <row r="8" spans="1:92">
      <c r="A8" s="57"/>
      <c r="B8" s="265">
        <v>43120</v>
      </c>
      <c r="C8" s="266" t="s">
        <v>177</v>
      </c>
      <c r="D8" s="267" t="s">
        <v>68</v>
      </c>
      <c r="E8" s="266" t="s">
        <v>803</v>
      </c>
      <c r="F8" s="268">
        <v>0</v>
      </c>
      <c r="G8" s="269">
        <v>0.37498842592592596</v>
      </c>
      <c r="H8" s="269">
        <f t="shared" si="0"/>
        <v>0.37498842592592596</v>
      </c>
      <c r="I8" s="269">
        <f>E107</f>
        <v>2.060185185185185E-2</v>
      </c>
      <c r="J8" s="269">
        <f t="shared" si="1"/>
        <v>0.35438657407407409</v>
      </c>
      <c r="K8" s="270">
        <f t="shared" si="2"/>
        <v>0.94506003271705907</v>
      </c>
      <c r="L8" s="14"/>
      <c r="M8" s="44"/>
      <c r="N8" s="44">
        <v>0.12690972222222222</v>
      </c>
      <c r="O8" s="44">
        <v>0.12778935185185183</v>
      </c>
      <c r="P8" s="44">
        <f t="shared" si="5"/>
        <v>8.796296296296191E-4</v>
      </c>
      <c r="Q8" s="249" t="s">
        <v>835</v>
      </c>
      <c r="R8" s="44"/>
      <c r="S8" s="44">
        <v>9.347222222222222E-2</v>
      </c>
      <c r="T8" s="44">
        <v>0.12857638888888889</v>
      </c>
      <c r="U8" s="44">
        <f t="shared" si="3"/>
        <v>3.5104166666666672E-2</v>
      </c>
      <c r="V8" s="249" t="s">
        <v>869</v>
      </c>
      <c r="W8" s="44"/>
      <c r="X8" s="44">
        <v>0.20180555555555557</v>
      </c>
      <c r="Y8" s="44">
        <v>0.20212962962962963</v>
      </c>
      <c r="Z8" s="44">
        <f t="shared" si="4"/>
        <v>3.2407407407405997E-4</v>
      </c>
      <c r="AA8" s="249" t="s">
        <v>891</v>
      </c>
      <c r="AB8" s="44"/>
      <c r="CE8" s="65"/>
      <c r="CF8" s="65"/>
      <c r="CG8" s="65"/>
      <c r="CH8" s="65"/>
      <c r="CI8" s="65"/>
      <c r="CJ8" s="65"/>
      <c r="CK8" s="65"/>
      <c r="CL8" s="65"/>
      <c r="CM8" s="65"/>
      <c r="CN8" s="65"/>
    </row>
    <row r="9" spans="1:92">
      <c r="A9" s="57"/>
      <c r="B9" s="39">
        <v>43125</v>
      </c>
      <c r="C9" s="40" t="s">
        <v>239</v>
      </c>
      <c r="D9" s="41" t="s">
        <v>68</v>
      </c>
      <c r="E9" s="40" t="s">
        <v>176</v>
      </c>
      <c r="F9" s="84">
        <v>0.97462962962962962</v>
      </c>
      <c r="G9" s="42">
        <v>1</v>
      </c>
      <c r="H9" s="42">
        <f t="shared" si="0"/>
        <v>2.5370370370370376E-2</v>
      </c>
      <c r="I9" s="42">
        <f>E112</f>
        <v>0</v>
      </c>
      <c r="J9" s="42">
        <f t="shared" si="1"/>
        <v>2.5370370370370376E-2</v>
      </c>
      <c r="K9" s="43">
        <f t="shared" si="2"/>
        <v>1</v>
      </c>
      <c r="L9" s="16" t="s">
        <v>434</v>
      </c>
      <c r="M9" s="44"/>
      <c r="N9" s="44">
        <v>0.16896990740740739</v>
      </c>
      <c r="O9" s="127">
        <v>0.1694097222222222</v>
      </c>
      <c r="P9" s="44">
        <f t="shared" si="5"/>
        <v>4.3981481481480955E-4</v>
      </c>
      <c r="Q9" s="249" t="s">
        <v>843</v>
      </c>
      <c r="R9" s="44"/>
      <c r="S9" s="44">
        <v>0.13872685185185185</v>
      </c>
      <c r="T9" s="127">
        <v>0.13907407407407407</v>
      </c>
      <c r="U9" s="44">
        <f t="shared" si="3"/>
        <v>3.4722222222222099E-4</v>
      </c>
      <c r="V9" s="249" t="s">
        <v>870</v>
      </c>
      <c r="W9" s="44"/>
      <c r="X9" s="44">
        <v>0.2074884259259259</v>
      </c>
      <c r="Y9" s="127">
        <v>0.2162152777777778</v>
      </c>
      <c r="Z9" s="44">
        <f t="shared" si="4"/>
        <v>8.7268518518519023E-3</v>
      </c>
      <c r="AA9" s="249" t="s">
        <v>892</v>
      </c>
      <c r="AB9" s="44"/>
      <c r="CE9" s="65"/>
      <c r="CF9" s="65"/>
      <c r="CG9" s="65"/>
      <c r="CH9" s="65"/>
      <c r="CI9" s="65"/>
      <c r="CJ9" s="65"/>
      <c r="CK9" s="65"/>
      <c r="CL9" s="65"/>
      <c r="CM9" s="65"/>
      <c r="CN9" s="65"/>
    </row>
    <row r="10" spans="1:92">
      <c r="A10" s="57"/>
      <c r="B10" s="39">
        <v>43126</v>
      </c>
      <c r="C10" s="40" t="s">
        <v>239</v>
      </c>
      <c r="D10" s="41" t="s">
        <v>68</v>
      </c>
      <c r="E10" s="40" t="s">
        <v>176</v>
      </c>
      <c r="F10" s="84">
        <v>0</v>
      </c>
      <c r="G10" s="42">
        <v>0.42759259259259258</v>
      </c>
      <c r="H10" s="42">
        <f t="shared" si="0"/>
        <v>0.42759259259259258</v>
      </c>
      <c r="I10" s="42">
        <f>E134</f>
        <v>5.1828703703703474E-2</v>
      </c>
      <c r="J10" s="42">
        <f t="shared" si="1"/>
        <v>0.37576388888888912</v>
      </c>
      <c r="K10" s="43">
        <f t="shared" si="2"/>
        <v>0.87878951927241289</v>
      </c>
      <c r="L10" s="15"/>
      <c r="M10" s="44"/>
      <c r="N10" s="127">
        <v>0.1939814814814815</v>
      </c>
      <c r="O10" s="52">
        <v>0.19575231481481481</v>
      </c>
      <c r="P10" s="44">
        <f t="shared" si="5"/>
        <v>1.7708333333333048E-3</v>
      </c>
      <c r="Q10" s="249" t="s">
        <v>844</v>
      </c>
      <c r="R10" s="44"/>
      <c r="S10" s="127">
        <v>0.14341435185185183</v>
      </c>
      <c r="T10" s="52">
        <v>0.14385416666666667</v>
      </c>
      <c r="U10" s="44">
        <f t="shared" si="3"/>
        <v>4.3981481481483731E-4</v>
      </c>
      <c r="V10" s="249" t="s">
        <v>870</v>
      </c>
      <c r="W10" s="44"/>
      <c r="X10" s="127"/>
      <c r="Y10" s="222" t="s">
        <v>70</v>
      </c>
      <c r="Z10" s="223">
        <f>SUM(Z4:Z9)</f>
        <v>1.0798611111111142E-2</v>
      </c>
      <c r="AA10" s="249"/>
      <c r="AB10" s="44"/>
      <c r="CE10" s="65"/>
      <c r="CF10" s="65"/>
      <c r="CG10" s="65"/>
      <c r="CH10" s="65"/>
      <c r="CI10" s="65"/>
      <c r="CJ10" s="65"/>
      <c r="CK10" s="65"/>
      <c r="CL10" s="65"/>
      <c r="CM10" s="65"/>
      <c r="CN10" s="65"/>
    </row>
    <row r="11" spans="1:92">
      <c r="A11" s="57"/>
      <c r="B11" s="39"/>
      <c r="C11" s="40" t="s">
        <v>278</v>
      </c>
      <c r="D11" s="41" t="s">
        <v>68</v>
      </c>
      <c r="E11" s="40" t="s">
        <v>176</v>
      </c>
      <c r="F11" s="228">
        <v>0.97362268518518524</v>
      </c>
      <c r="G11" s="42">
        <v>1</v>
      </c>
      <c r="H11" s="42">
        <f t="shared" ref="H11:H13" si="6">G11-F11</f>
        <v>2.6377314814814756E-2</v>
      </c>
      <c r="I11" s="42">
        <f>E137</f>
        <v>1.4537037037037126E-2</v>
      </c>
      <c r="J11" s="42">
        <f t="shared" ref="J11:J12" si="7">H11-I11</f>
        <v>1.184027777777763E-2</v>
      </c>
      <c r="K11" s="43">
        <f t="shared" ref="K11:K12" si="8">J11/H11</f>
        <v>0.44888108819657285</v>
      </c>
      <c r="M11" s="44"/>
      <c r="N11" s="44">
        <v>0.23982638888888888</v>
      </c>
      <c r="O11" s="127">
        <v>0.24026620370370369</v>
      </c>
      <c r="P11" s="44">
        <f t="shared" si="5"/>
        <v>4.3981481481480955E-4</v>
      </c>
      <c r="Q11" s="249" t="s">
        <v>845</v>
      </c>
      <c r="R11" s="44"/>
      <c r="S11" s="44">
        <v>0.15596064814814814</v>
      </c>
      <c r="T11" s="127">
        <v>0.15635416666666666</v>
      </c>
      <c r="U11" s="44">
        <f t="shared" si="3"/>
        <v>3.9351851851851527E-4</v>
      </c>
      <c r="V11" s="249" t="s">
        <v>870</v>
      </c>
      <c r="W11" s="44"/>
      <c r="X11" s="44"/>
      <c r="Y11" s="127"/>
      <c r="Z11" s="44"/>
      <c r="AA11" s="249"/>
      <c r="AB11" s="44"/>
      <c r="CE11" s="65"/>
      <c r="CF11" s="65"/>
      <c r="CG11" s="65"/>
      <c r="CH11" s="65"/>
      <c r="CI11" s="65"/>
      <c r="CJ11" s="65"/>
      <c r="CK11" s="65"/>
      <c r="CL11" s="65"/>
      <c r="CM11" s="65"/>
      <c r="CN11" s="65"/>
    </row>
    <row r="12" spans="1:92">
      <c r="A12" s="57"/>
      <c r="B12" s="39">
        <v>43127</v>
      </c>
      <c r="C12" s="40" t="s">
        <v>278</v>
      </c>
      <c r="D12" s="41" t="s">
        <v>68</v>
      </c>
      <c r="E12" s="40" t="s">
        <v>176</v>
      </c>
      <c r="F12" s="84">
        <v>0</v>
      </c>
      <c r="G12" s="229">
        <v>0.44570601851851849</v>
      </c>
      <c r="H12" s="42">
        <f t="shared" si="6"/>
        <v>0.44570601851851849</v>
      </c>
      <c r="I12" s="42">
        <f>E159</f>
        <v>8.3530092592592503E-2</v>
      </c>
      <c r="J12" s="42">
        <f t="shared" si="7"/>
        <v>0.36217592592592596</v>
      </c>
      <c r="K12" s="43">
        <f t="shared" si="8"/>
        <v>0.81258926484717875</v>
      </c>
      <c r="M12" s="44"/>
      <c r="N12" s="44">
        <v>0.25922453703703702</v>
      </c>
      <c r="O12" s="127">
        <v>0.25950231481481484</v>
      </c>
      <c r="P12" s="44">
        <f t="shared" si="5"/>
        <v>2.777777777778212E-4</v>
      </c>
      <c r="Q12" s="249" t="s">
        <v>845</v>
      </c>
      <c r="R12" s="44"/>
      <c r="S12" s="44">
        <v>0.16899305555555555</v>
      </c>
      <c r="T12" s="127">
        <v>0.17487268518518517</v>
      </c>
      <c r="U12" s="44">
        <f t="shared" si="3"/>
        <v>5.8796296296296235E-3</v>
      </c>
      <c r="V12" s="249" t="s">
        <v>871</v>
      </c>
      <c r="W12" s="44"/>
      <c r="X12" s="44"/>
      <c r="Y12" s="127"/>
      <c r="Z12" s="44"/>
      <c r="AA12" s="249"/>
      <c r="AB12" s="44"/>
      <c r="CE12" s="65"/>
      <c r="CF12" s="65"/>
      <c r="CG12" s="65"/>
      <c r="CH12" s="65"/>
      <c r="CI12" s="65"/>
      <c r="CJ12" s="65"/>
      <c r="CK12" s="65"/>
      <c r="CL12" s="65"/>
      <c r="CM12" s="65"/>
      <c r="CN12" s="65"/>
    </row>
    <row r="13" spans="1:92">
      <c r="A13" s="57"/>
      <c r="B13" s="39">
        <v>43128</v>
      </c>
      <c r="C13" s="40" t="s">
        <v>278</v>
      </c>
      <c r="D13" s="41" t="s">
        <v>68</v>
      </c>
      <c r="E13" s="40" t="s">
        <v>176</v>
      </c>
      <c r="F13" s="84">
        <v>1.5972222222222221E-3</v>
      </c>
      <c r="G13" s="42">
        <v>1</v>
      </c>
      <c r="H13" s="42">
        <f t="shared" si="6"/>
        <v>0.99840277777777775</v>
      </c>
      <c r="I13" s="42">
        <f>E191</f>
        <v>0.14377314814814846</v>
      </c>
      <c r="J13" s="42">
        <f t="shared" ref="J13" si="9">H13-I13</f>
        <v>0.85462962962962929</v>
      </c>
      <c r="K13" s="43">
        <f t="shared" ref="K13" si="10">J13/H13</f>
        <v>0.85599684681551524</v>
      </c>
      <c r="L13" s="50"/>
      <c r="M13" s="44"/>
      <c r="N13" s="127">
        <v>0.27043981481481483</v>
      </c>
      <c r="O13" s="44">
        <v>0.27078703703703705</v>
      </c>
      <c r="P13" s="44">
        <f t="shared" si="5"/>
        <v>3.4722222222222099E-4</v>
      </c>
      <c r="Q13" s="249" t="s">
        <v>845</v>
      </c>
      <c r="R13" s="44"/>
      <c r="S13" s="127">
        <v>0.18502314814814813</v>
      </c>
      <c r="T13" s="44">
        <v>0.18534722222222222</v>
      </c>
      <c r="U13" s="44">
        <f t="shared" si="3"/>
        <v>3.2407407407408773E-4</v>
      </c>
      <c r="V13" s="249" t="s">
        <v>871</v>
      </c>
      <c r="W13" s="44"/>
      <c r="X13" s="127"/>
      <c r="Y13" s="44"/>
      <c r="Z13" s="44"/>
      <c r="AA13" s="249"/>
      <c r="AB13" s="44"/>
      <c r="CE13" s="65"/>
      <c r="CF13" s="65"/>
      <c r="CG13" s="65"/>
      <c r="CH13" s="65"/>
      <c r="CI13" s="65"/>
      <c r="CJ13" s="65"/>
      <c r="CK13" s="65"/>
      <c r="CL13" s="65"/>
      <c r="CM13" s="65"/>
      <c r="CN13" s="65"/>
    </row>
    <row r="14" spans="1:92">
      <c r="A14" s="57"/>
      <c r="B14" s="39">
        <v>43129</v>
      </c>
      <c r="C14" s="40" t="s">
        <v>278</v>
      </c>
      <c r="D14" s="41" t="s">
        <v>68</v>
      </c>
      <c r="E14" s="40" t="s">
        <v>176</v>
      </c>
      <c r="F14" s="84">
        <v>0</v>
      </c>
      <c r="G14" s="42">
        <v>1</v>
      </c>
      <c r="H14" s="42">
        <f t="shared" ref="H14" si="11">G14-F14</f>
        <v>1</v>
      </c>
      <c r="I14" s="42">
        <f>J80</f>
        <v>0.10299768518518504</v>
      </c>
      <c r="J14" s="42">
        <f t="shared" ref="J14" si="12">H14-I14</f>
        <v>0.89700231481481496</v>
      </c>
      <c r="K14" s="43">
        <f t="shared" ref="K14" si="13">J14/H14</f>
        <v>0.89700231481481496</v>
      </c>
      <c r="L14" s="50"/>
      <c r="M14" s="44"/>
      <c r="N14" s="127">
        <v>0.27805555555555556</v>
      </c>
      <c r="O14" s="44">
        <v>0.27855324074074073</v>
      </c>
      <c r="P14" s="44">
        <f t="shared" si="5"/>
        <v>4.9768518518517046E-4</v>
      </c>
      <c r="Q14" s="249" t="s">
        <v>845</v>
      </c>
      <c r="R14" s="44"/>
      <c r="S14" s="127">
        <v>0.20723379629629632</v>
      </c>
      <c r="T14" s="44">
        <v>0.20754629629629628</v>
      </c>
      <c r="U14" s="44">
        <f t="shared" si="3"/>
        <v>3.1249999999996558E-4</v>
      </c>
      <c r="V14" s="249" t="s">
        <v>871</v>
      </c>
      <c r="W14" s="44"/>
      <c r="X14" s="127"/>
      <c r="Y14" s="44"/>
      <c r="Z14" s="44"/>
      <c r="AA14" s="249"/>
      <c r="AB14" s="44"/>
      <c r="CE14" s="65"/>
      <c r="CF14" s="65"/>
      <c r="CG14" s="65"/>
      <c r="CH14" s="65"/>
      <c r="CI14" s="65"/>
      <c r="CJ14" s="65"/>
      <c r="CK14" s="65"/>
      <c r="CL14" s="65"/>
      <c r="CM14" s="65"/>
      <c r="CN14" s="65"/>
    </row>
    <row r="15" spans="1:92">
      <c r="A15" s="57"/>
      <c r="B15" s="39">
        <v>43130</v>
      </c>
      <c r="C15" s="40" t="s">
        <v>278</v>
      </c>
      <c r="D15" s="41" t="s">
        <v>68</v>
      </c>
      <c r="E15" s="40" t="s">
        <v>176</v>
      </c>
      <c r="F15" s="84">
        <v>0</v>
      </c>
      <c r="G15" s="42">
        <v>0.42703703703703705</v>
      </c>
      <c r="H15" s="42">
        <f t="shared" ref="H15" si="14">G15-F15</f>
        <v>0.42703703703703705</v>
      </c>
      <c r="I15" s="42">
        <f>J99</f>
        <v>6.0821759259259242E-2</v>
      </c>
      <c r="J15" s="42">
        <f t="shared" ref="J15" si="15">H15-I15</f>
        <v>0.36621527777777779</v>
      </c>
      <c r="K15" s="43">
        <f t="shared" ref="K15" si="16">J15/H15</f>
        <v>0.85757263660017347</v>
      </c>
      <c r="L15" s="51"/>
      <c r="M15" s="44"/>
      <c r="N15" s="127">
        <v>0.30122685185185188</v>
      </c>
      <c r="O15" s="127">
        <v>0.30173611111111109</v>
      </c>
      <c r="P15" s="44">
        <f t="shared" si="5"/>
        <v>5.0925925925920934E-4</v>
      </c>
      <c r="Q15" s="215" t="s">
        <v>846</v>
      </c>
      <c r="R15" s="44"/>
      <c r="S15" s="127">
        <v>0.25247685185185187</v>
      </c>
      <c r="T15" s="127">
        <v>0.25284722222222222</v>
      </c>
      <c r="U15" s="44">
        <f t="shared" si="3"/>
        <v>3.7037037037035425E-4</v>
      </c>
      <c r="V15" s="215" t="s">
        <v>873</v>
      </c>
      <c r="W15" s="44"/>
      <c r="X15" s="127"/>
      <c r="Y15" s="127"/>
      <c r="Z15" s="44"/>
      <c r="AA15" s="215"/>
      <c r="AB15" s="44"/>
      <c r="CE15" s="65"/>
      <c r="CF15" s="65"/>
      <c r="CG15" s="65"/>
      <c r="CH15" s="65"/>
      <c r="CI15" s="65"/>
      <c r="CJ15" s="65"/>
      <c r="CK15" s="65"/>
      <c r="CL15" s="65"/>
      <c r="CM15" s="65"/>
      <c r="CN15" s="65"/>
    </row>
    <row r="16" spans="1:92">
      <c r="A16" s="57"/>
      <c r="B16" s="39"/>
      <c r="C16" s="40" t="s">
        <v>398</v>
      </c>
      <c r="D16" s="41" t="s">
        <v>68</v>
      </c>
      <c r="E16" s="40" t="s">
        <v>176</v>
      </c>
      <c r="F16" s="228">
        <v>0.76025462962962964</v>
      </c>
      <c r="G16" s="42">
        <v>1</v>
      </c>
      <c r="H16" s="42">
        <f t="shared" ref="H16:H17" si="17">G16-F16</f>
        <v>0.23974537037037036</v>
      </c>
      <c r="I16" s="42">
        <f>J106</f>
        <v>7.0833333333333415E-2</v>
      </c>
      <c r="J16" s="42">
        <f t="shared" ref="J16" si="18">H16-I16</f>
        <v>0.16891203703703694</v>
      </c>
      <c r="K16" s="43">
        <f t="shared" ref="K16" si="19">J16/H16</f>
        <v>0.70454764893308841</v>
      </c>
      <c r="L16" s="51"/>
      <c r="M16" s="44"/>
      <c r="N16" s="44">
        <v>0.30185185185185187</v>
      </c>
      <c r="O16" s="44">
        <v>0.30322916666666666</v>
      </c>
      <c r="P16" s="44">
        <f t="shared" si="5"/>
        <v>1.3773148148147896E-3</v>
      </c>
      <c r="Q16" s="215" t="s">
        <v>846</v>
      </c>
      <c r="R16" s="44"/>
      <c r="S16" s="44">
        <v>0.25872685185185185</v>
      </c>
      <c r="T16" s="44">
        <v>0.25916666666666666</v>
      </c>
      <c r="U16" s="44">
        <f t="shared" si="3"/>
        <v>4.3981481481480955E-4</v>
      </c>
      <c r="V16" s="215" t="s">
        <v>874</v>
      </c>
      <c r="W16" s="44"/>
      <c r="X16" s="44"/>
      <c r="Y16" s="44"/>
      <c r="Z16" s="44"/>
      <c r="AA16" s="215"/>
      <c r="AB16" s="44"/>
      <c r="CE16" s="65"/>
      <c r="CF16" s="65"/>
      <c r="CG16" s="65"/>
      <c r="CH16" s="65"/>
      <c r="CI16" s="65"/>
      <c r="CJ16" s="65"/>
      <c r="CK16" s="65"/>
      <c r="CL16" s="65"/>
      <c r="CM16" s="65"/>
      <c r="CN16" s="65"/>
    </row>
    <row r="17" spans="1:92">
      <c r="A17" s="57"/>
      <c r="B17" s="39">
        <v>43131</v>
      </c>
      <c r="C17" s="40" t="s">
        <v>398</v>
      </c>
      <c r="D17" s="41" t="s">
        <v>68</v>
      </c>
      <c r="E17" s="40" t="s">
        <v>176</v>
      </c>
      <c r="F17" s="84">
        <v>0</v>
      </c>
      <c r="G17" s="42">
        <v>0.37502314814814813</v>
      </c>
      <c r="H17" s="42">
        <f t="shared" si="17"/>
        <v>0.37502314814814813</v>
      </c>
      <c r="I17" s="42">
        <f>J125</f>
        <v>4.0312499999999987E-2</v>
      </c>
      <c r="J17" s="42">
        <f t="shared" ref="J17" si="20">H17-I17</f>
        <v>0.33471064814814816</v>
      </c>
      <c r="K17" s="43">
        <f t="shared" ref="K17" si="21">J17/H17</f>
        <v>0.892506635392877</v>
      </c>
      <c r="L17" s="51"/>
      <c r="M17" s="44"/>
      <c r="N17" s="44">
        <v>0.30709490740740741</v>
      </c>
      <c r="O17" s="44">
        <v>0.30756944444444445</v>
      </c>
      <c r="P17" s="44">
        <f t="shared" si="5"/>
        <v>4.745370370370372E-4</v>
      </c>
      <c r="Q17" s="215" t="s">
        <v>846</v>
      </c>
      <c r="R17" s="44"/>
      <c r="S17" s="44">
        <v>0.26913194444444444</v>
      </c>
      <c r="T17" s="44">
        <v>0.26968750000000002</v>
      </c>
      <c r="U17" s="44">
        <f t="shared" si="3"/>
        <v>5.5555555555558689E-4</v>
      </c>
      <c r="V17" s="215" t="s">
        <v>874</v>
      </c>
      <c r="W17" s="44"/>
      <c r="X17" s="44"/>
      <c r="Y17" s="44"/>
      <c r="Z17" s="44"/>
      <c r="AA17" s="215"/>
      <c r="AB17" s="44"/>
      <c r="CE17" s="65"/>
      <c r="CF17" s="65"/>
      <c r="CG17" s="65"/>
      <c r="CH17" s="65"/>
      <c r="CI17" s="65"/>
      <c r="CJ17" s="65"/>
      <c r="CK17" s="65"/>
      <c r="CL17" s="65"/>
      <c r="CM17" s="65"/>
      <c r="CN17" s="65"/>
    </row>
    <row r="18" spans="1:92">
      <c r="A18" s="57"/>
      <c r="B18" s="39">
        <v>43132</v>
      </c>
      <c r="C18" s="40" t="s">
        <v>435</v>
      </c>
      <c r="D18" s="41" t="s">
        <v>68</v>
      </c>
      <c r="E18" s="40" t="s">
        <v>176</v>
      </c>
      <c r="F18" s="84">
        <v>0.66680555555555554</v>
      </c>
      <c r="G18" s="42">
        <v>1</v>
      </c>
      <c r="H18" s="42">
        <f t="shared" ref="H18" si="22">G18-F18</f>
        <v>0.33319444444444446</v>
      </c>
      <c r="I18" s="42">
        <f>J143</f>
        <v>6.8831018518518805E-2</v>
      </c>
      <c r="J18" s="42">
        <f t="shared" ref="J18" si="23">H18-I18</f>
        <v>0.26436342592592565</v>
      </c>
      <c r="K18" s="43">
        <f t="shared" ref="K18" si="24">J18/H18</f>
        <v>0.7934208698068631</v>
      </c>
      <c r="L18" t="s">
        <v>437</v>
      </c>
      <c r="M18" s="44"/>
      <c r="N18" s="44">
        <v>0.34113425925925928</v>
      </c>
      <c r="O18" s="44">
        <v>0.34163194444444445</v>
      </c>
      <c r="P18" s="44">
        <f t="shared" si="5"/>
        <v>4.9768518518517046E-4</v>
      </c>
      <c r="Q18" s="215" t="s">
        <v>842</v>
      </c>
      <c r="R18" s="44"/>
      <c r="S18" s="44">
        <v>0.29700231481481482</v>
      </c>
      <c r="T18" s="44">
        <v>0.29748842592592589</v>
      </c>
      <c r="U18" s="44">
        <f t="shared" si="3"/>
        <v>4.8611111111107608E-4</v>
      </c>
      <c r="V18" s="215" t="s">
        <v>874</v>
      </c>
      <c r="W18" s="44"/>
      <c r="X18" s="44"/>
      <c r="Y18" s="44"/>
      <c r="Z18" s="44"/>
      <c r="AA18" s="215"/>
      <c r="AB18" s="44"/>
      <c r="CE18" s="65"/>
      <c r="CF18" s="65"/>
      <c r="CG18" s="65"/>
      <c r="CH18" s="65"/>
      <c r="CI18" s="65"/>
      <c r="CJ18" s="65"/>
      <c r="CK18" s="65"/>
      <c r="CL18" s="65"/>
      <c r="CM18" s="65"/>
      <c r="CN18" s="65"/>
    </row>
    <row r="19" spans="1:92">
      <c r="A19" s="57"/>
      <c r="B19" s="39">
        <v>43133</v>
      </c>
      <c r="C19" s="40" t="s">
        <v>435</v>
      </c>
      <c r="D19" s="41" t="s">
        <v>68</v>
      </c>
      <c r="E19" s="40" t="s">
        <v>176</v>
      </c>
      <c r="F19" s="84">
        <v>0</v>
      </c>
      <c r="G19" s="42">
        <v>1</v>
      </c>
      <c r="H19" s="42">
        <f t="shared" ref="H19" si="25">G19-F19</f>
        <v>1</v>
      </c>
      <c r="I19" s="42">
        <f>J188</f>
        <v>8.6724537037037336E-2</v>
      </c>
      <c r="J19" s="42">
        <f t="shared" ref="J19" si="26">H19-I19</f>
        <v>0.91327546296296269</v>
      </c>
      <c r="K19" s="43">
        <f t="shared" ref="K19" si="27">J19/H19</f>
        <v>0.91327546296296269</v>
      </c>
      <c r="L19" s="51"/>
      <c r="M19" s="58"/>
      <c r="N19" s="44">
        <v>0.3523958333333333</v>
      </c>
      <c r="O19" s="44">
        <v>0.35267361111111112</v>
      </c>
      <c r="P19" s="44">
        <f t="shared" si="5"/>
        <v>2.777777777778212E-4</v>
      </c>
      <c r="Q19" s="215" t="s">
        <v>842</v>
      </c>
      <c r="R19" s="58"/>
      <c r="S19" s="44">
        <v>0.31939814814814815</v>
      </c>
      <c r="T19" s="44">
        <v>0.32385416666666667</v>
      </c>
      <c r="U19" s="44">
        <f t="shared" si="3"/>
        <v>4.4560185185185119E-3</v>
      </c>
      <c r="V19" s="215" t="s">
        <v>858</v>
      </c>
      <c r="W19" s="58"/>
      <c r="X19" s="44"/>
      <c r="Y19" s="44"/>
      <c r="Z19" s="44"/>
      <c r="AA19" s="215"/>
      <c r="AB19" s="58"/>
      <c r="CE19" s="65"/>
      <c r="CF19" s="65"/>
      <c r="CG19" s="65"/>
      <c r="CH19" s="65"/>
      <c r="CI19" s="65"/>
      <c r="CJ19" s="65"/>
      <c r="CK19" s="65"/>
      <c r="CL19" s="65"/>
      <c r="CM19" s="65"/>
      <c r="CN19" s="65"/>
    </row>
    <row r="20" spans="1:92">
      <c r="A20" s="57"/>
      <c r="B20" s="39">
        <v>43134</v>
      </c>
      <c r="C20" s="40" t="s">
        <v>435</v>
      </c>
      <c r="D20" s="41" t="s">
        <v>68</v>
      </c>
      <c r="E20" s="40" t="s">
        <v>176</v>
      </c>
      <c r="F20" s="84">
        <v>0</v>
      </c>
      <c r="G20" s="42">
        <v>1</v>
      </c>
      <c r="H20" s="42">
        <f t="shared" ref="H20" si="28">G20-F20</f>
        <v>1</v>
      </c>
      <c r="I20" s="42">
        <f>P107</f>
        <v>4.4606481481481351E-2</v>
      </c>
      <c r="J20" s="42">
        <f t="shared" ref="J20" si="29">H20-I20</f>
        <v>0.95539351851851861</v>
      </c>
      <c r="K20" s="43">
        <f t="shared" ref="K20" si="30">J20/H20</f>
        <v>0.95539351851851861</v>
      </c>
      <c r="L20" s="51"/>
      <c r="M20" s="44"/>
      <c r="N20" s="44">
        <v>0.39662037037037035</v>
      </c>
      <c r="O20" s="44">
        <v>0.39905092592592589</v>
      </c>
      <c r="P20" s="44">
        <f t="shared" si="5"/>
        <v>2.4305555555555469E-3</v>
      </c>
      <c r="Q20" s="215" t="s">
        <v>851</v>
      </c>
      <c r="R20" s="44"/>
      <c r="S20" s="44">
        <v>0.3357175925925926</v>
      </c>
      <c r="T20" s="44">
        <v>0.33619212962962958</v>
      </c>
      <c r="U20" s="44">
        <f t="shared" si="3"/>
        <v>4.7453703703698169E-4</v>
      </c>
      <c r="V20" s="215" t="s">
        <v>858</v>
      </c>
      <c r="W20" s="44"/>
      <c r="X20" s="44"/>
      <c r="Y20" s="44"/>
      <c r="Z20" s="44"/>
      <c r="AA20" s="215"/>
      <c r="AB20" s="44"/>
      <c r="CE20" s="65"/>
      <c r="CF20" s="65"/>
      <c r="CG20" s="65"/>
      <c r="CH20" s="65"/>
      <c r="CI20" s="65"/>
      <c r="CJ20" s="65"/>
      <c r="CK20" s="65"/>
      <c r="CL20" s="65"/>
      <c r="CM20" s="65"/>
      <c r="CN20" s="65"/>
    </row>
    <row r="21" spans="1:92">
      <c r="A21" s="57"/>
      <c r="B21" s="39">
        <v>43135</v>
      </c>
      <c r="C21" s="40" t="s">
        <v>539</v>
      </c>
      <c r="D21" s="41" t="s">
        <v>68</v>
      </c>
      <c r="E21" s="40" t="s">
        <v>176</v>
      </c>
      <c r="F21" s="84">
        <v>0</v>
      </c>
      <c r="G21" s="42">
        <v>1</v>
      </c>
      <c r="H21" s="42">
        <f t="shared" ref="H21" si="31">G21-F21</f>
        <v>1</v>
      </c>
      <c r="I21" s="42">
        <f>P149</f>
        <v>6.7083333333333758E-2</v>
      </c>
      <c r="J21" s="42">
        <f t="shared" ref="J21" si="32">H21-I21</f>
        <v>0.93291666666666628</v>
      </c>
      <c r="K21" s="43">
        <f t="shared" ref="K21" si="33">J21/H21</f>
        <v>0.93291666666666628</v>
      </c>
      <c r="L21" s="51"/>
      <c r="M21" s="44"/>
      <c r="N21" s="127">
        <v>0.42099537037037038</v>
      </c>
      <c r="O21" s="44">
        <v>0.42143518518518519</v>
      </c>
      <c r="P21" s="44">
        <f t="shared" si="5"/>
        <v>4.3981481481480955E-4</v>
      </c>
      <c r="Q21" s="215" t="s">
        <v>852</v>
      </c>
      <c r="R21" s="44"/>
      <c r="S21" s="127">
        <v>0.34314814814814815</v>
      </c>
      <c r="T21" s="44">
        <v>0.34342592592592597</v>
      </c>
      <c r="U21" s="44">
        <f t="shared" si="3"/>
        <v>2.777777777778212E-4</v>
      </c>
      <c r="V21" s="215" t="s">
        <v>858</v>
      </c>
      <c r="W21" s="44"/>
      <c r="X21" s="127"/>
      <c r="Y21" s="44"/>
      <c r="Z21" s="44"/>
      <c r="AA21" s="215"/>
      <c r="AB21" s="44"/>
      <c r="CE21" s="65"/>
      <c r="CF21" s="65"/>
      <c r="CG21" s="65"/>
      <c r="CH21" s="65"/>
      <c r="CI21" s="65"/>
      <c r="CJ21" s="65"/>
      <c r="CK21" s="65"/>
      <c r="CL21" s="65"/>
      <c r="CM21" s="65"/>
      <c r="CN21" s="65"/>
    </row>
    <row r="22" spans="1:92">
      <c r="A22" s="57"/>
      <c r="B22" s="39">
        <v>43136</v>
      </c>
      <c r="C22" s="40" t="s">
        <v>539</v>
      </c>
      <c r="D22" s="41" t="s">
        <v>68</v>
      </c>
      <c r="E22" s="40" t="s">
        <v>176</v>
      </c>
      <c r="F22" s="84">
        <v>0</v>
      </c>
      <c r="G22" s="42">
        <v>1</v>
      </c>
      <c r="H22" s="42">
        <f t="shared" ref="H22" si="34">G22-F22</f>
        <v>1</v>
      </c>
      <c r="I22" s="42">
        <f>P188</f>
        <v>5.9456018518518762E-2</v>
      </c>
      <c r="J22" s="42">
        <f t="shared" ref="J22" si="35">H22-I22</f>
        <v>0.94054398148148122</v>
      </c>
      <c r="K22" s="43">
        <f t="shared" ref="K22" si="36">J22/H22</f>
        <v>0.94054398148148122</v>
      </c>
      <c r="L22" s="51"/>
      <c r="M22" s="44"/>
      <c r="N22" s="44">
        <v>0.44217592592592592</v>
      </c>
      <c r="O22" s="44">
        <v>0.44420138888888888</v>
      </c>
      <c r="P22" s="44">
        <f t="shared" si="5"/>
        <v>2.025462962962965E-3</v>
      </c>
      <c r="Q22" s="215" t="s">
        <v>852</v>
      </c>
      <c r="R22" s="44"/>
      <c r="S22" s="44">
        <v>0.39471064814814816</v>
      </c>
      <c r="T22" s="44">
        <v>0.39512731481481483</v>
      </c>
      <c r="U22" s="44">
        <f t="shared" si="3"/>
        <v>4.1666666666667629E-4</v>
      </c>
      <c r="V22" s="215" t="s">
        <v>872</v>
      </c>
      <c r="W22" s="44"/>
      <c r="X22" s="44"/>
      <c r="Y22" s="44"/>
      <c r="Z22" s="44"/>
      <c r="AA22" s="215"/>
      <c r="AB22" s="44"/>
      <c r="CE22" s="65"/>
      <c r="CF22" s="65"/>
      <c r="CG22" s="65"/>
      <c r="CH22" s="65"/>
      <c r="CI22" s="65"/>
      <c r="CJ22" s="65"/>
      <c r="CK22" s="65"/>
      <c r="CL22" s="65"/>
      <c r="CM22" s="65"/>
      <c r="CN22" s="65"/>
    </row>
    <row r="23" spans="1:92">
      <c r="A23" s="57"/>
      <c r="B23" s="39">
        <v>43137</v>
      </c>
      <c r="C23" s="40" t="s">
        <v>539</v>
      </c>
      <c r="D23" s="41" t="s">
        <v>68</v>
      </c>
      <c r="E23" s="40" t="s">
        <v>176</v>
      </c>
      <c r="F23" s="84">
        <v>0</v>
      </c>
      <c r="G23" s="42">
        <v>1</v>
      </c>
      <c r="H23" s="42">
        <f t="shared" ref="H23" si="37">G23-F23</f>
        <v>1</v>
      </c>
      <c r="I23" s="42">
        <f>U106</f>
        <v>0.19655092592592582</v>
      </c>
      <c r="J23" s="42">
        <f t="shared" ref="J23" si="38">H23-I23</f>
        <v>0.80344907407407418</v>
      </c>
      <c r="K23" s="43">
        <f t="shared" ref="K23" si="39">J23/H23</f>
        <v>0.80344907407407418</v>
      </c>
      <c r="L23" s="51"/>
      <c r="M23" s="44"/>
      <c r="N23" s="44">
        <v>0.4444791666666667</v>
      </c>
      <c r="O23" s="44">
        <v>0.4447916666666667</v>
      </c>
      <c r="P23" s="44">
        <f t="shared" si="5"/>
        <v>3.1249999999999334E-4</v>
      </c>
      <c r="Q23" s="217" t="s">
        <v>852</v>
      </c>
      <c r="R23" s="44"/>
      <c r="S23" s="44">
        <v>0.39910879629629631</v>
      </c>
      <c r="T23" s="44">
        <v>0.39950231481481485</v>
      </c>
      <c r="U23" s="44">
        <f t="shared" si="3"/>
        <v>3.9351851851854303E-4</v>
      </c>
      <c r="V23" s="217" t="s">
        <v>872</v>
      </c>
      <c r="W23" s="44"/>
      <c r="X23" s="44"/>
      <c r="Y23" s="44"/>
      <c r="Z23" s="44"/>
      <c r="AA23" s="217"/>
      <c r="AB23" s="44"/>
      <c r="CE23" s="65"/>
      <c r="CF23" s="65"/>
      <c r="CG23" s="65"/>
      <c r="CH23" s="65"/>
      <c r="CI23" s="65"/>
      <c r="CJ23" s="65"/>
      <c r="CK23" s="65"/>
      <c r="CL23" s="65"/>
      <c r="CM23" s="65"/>
      <c r="CN23" s="65"/>
    </row>
    <row r="24" spans="1:92">
      <c r="A24" s="57"/>
      <c r="B24" s="39">
        <v>43138</v>
      </c>
      <c r="C24" s="40" t="s">
        <v>539</v>
      </c>
      <c r="D24" s="41" t="s">
        <v>68</v>
      </c>
      <c r="E24" s="40" t="s">
        <v>176</v>
      </c>
      <c r="F24" s="84">
        <v>0</v>
      </c>
      <c r="G24" s="42">
        <v>0.37502314814814813</v>
      </c>
      <c r="H24" s="42">
        <f t="shared" ref="H24" si="40">G24-F24</f>
        <v>0.37502314814814813</v>
      </c>
      <c r="I24" s="42">
        <f>U122</f>
        <v>5.0150462962962911E-2</v>
      </c>
      <c r="J24" s="42">
        <f t="shared" ref="J24" si="41">H24-I24</f>
        <v>0.32487268518518519</v>
      </c>
      <c r="K24" s="43">
        <f t="shared" ref="K24" si="42">J24/H24</f>
        <v>0.86627368680945627</v>
      </c>
      <c r="L24" s="51"/>
      <c r="M24" s="44"/>
      <c r="N24" s="44">
        <v>0.46204861111111112</v>
      </c>
      <c r="O24" s="44">
        <v>0.47630787037037042</v>
      </c>
      <c r="P24" s="44">
        <f t="shared" si="5"/>
        <v>1.4259259259259305E-2</v>
      </c>
      <c r="Q24" s="217" t="s">
        <v>854</v>
      </c>
      <c r="R24" s="44"/>
      <c r="S24" s="44">
        <v>0.41739583333333335</v>
      </c>
      <c r="T24" s="44">
        <v>0.41784722222222226</v>
      </c>
      <c r="U24" s="44">
        <f t="shared" si="3"/>
        <v>4.5138888888890394E-4</v>
      </c>
      <c r="V24" s="217" t="s">
        <v>872</v>
      </c>
      <c r="W24" s="44"/>
      <c r="X24" s="44"/>
      <c r="Y24" s="44"/>
      <c r="Z24" s="44"/>
      <c r="AA24" s="217"/>
      <c r="AB24" s="44"/>
      <c r="CE24" s="65"/>
      <c r="CF24" s="65"/>
      <c r="CG24" s="65"/>
      <c r="CH24" s="65"/>
      <c r="CI24" s="65"/>
      <c r="CJ24" s="65"/>
      <c r="CK24" s="65"/>
      <c r="CL24" s="65"/>
      <c r="CM24" s="65"/>
      <c r="CN24" s="65"/>
    </row>
    <row r="25" spans="1:92">
      <c r="A25" s="57"/>
      <c r="B25" s="39">
        <v>43139</v>
      </c>
      <c r="C25" s="40" t="s">
        <v>609</v>
      </c>
      <c r="D25" s="41" t="s">
        <v>68</v>
      </c>
      <c r="E25" s="40" t="s">
        <v>176</v>
      </c>
      <c r="F25" s="84">
        <v>0.40747685185185184</v>
      </c>
      <c r="G25" s="42">
        <v>1</v>
      </c>
      <c r="H25" s="42">
        <f t="shared" ref="H25" si="43">G25-F25</f>
        <v>0.5925231481481481</v>
      </c>
      <c r="I25" s="42">
        <f>U145</f>
        <v>2.9814814814814905E-2</v>
      </c>
      <c r="J25" s="42">
        <f t="shared" ref="J25" si="44">H25-I25</f>
        <v>0.56270833333333314</v>
      </c>
      <c r="K25" s="43">
        <f t="shared" ref="K25" si="45">J25/H25</f>
        <v>0.94968160331288798</v>
      </c>
      <c r="L25" s="51"/>
      <c r="M25" s="215"/>
      <c r="N25" s="44">
        <v>0.47811342592592593</v>
      </c>
      <c r="O25" s="44">
        <v>0.48765046296296299</v>
      </c>
      <c r="P25" s="44">
        <f t="shared" si="5"/>
        <v>9.5370370370370661E-3</v>
      </c>
      <c r="Q25" s="217" t="s">
        <v>854</v>
      </c>
      <c r="S25" s="44">
        <v>0.53172453703703704</v>
      </c>
      <c r="T25" s="44">
        <v>0.53216435185185185</v>
      </c>
      <c r="U25" s="44">
        <f t="shared" si="3"/>
        <v>4.3981481481480955E-4</v>
      </c>
      <c r="V25" s="217" t="s">
        <v>875</v>
      </c>
      <c r="X25" s="44"/>
      <c r="Y25" s="44"/>
      <c r="Z25" s="44"/>
      <c r="AA25" s="217"/>
      <c r="AB25" s="44"/>
      <c r="CE25" s="65"/>
      <c r="CF25" s="65"/>
      <c r="CG25" s="65"/>
      <c r="CH25" s="65"/>
      <c r="CI25" s="65"/>
      <c r="CJ25" s="65"/>
      <c r="CK25" s="65"/>
      <c r="CL25" s="65"/>
      <c r="CM25" s="65"/>
      <c r="CN25" s="65"/>
    </row>
    <row r="26" spans="1:92">
      <c r="A26" s="57"/>
      <c r="B26" s="39">
        <v>43140</v>
      </c>
      <c r="C26" s="40" t="s">
        <v>609</v>
      </c>
      <c r="D26" s="41" t="s">
        <v>68</v>
      </c>
      <c r="E26" s="40" t="s">
        <v>176</v>
      </c>
      <c r="F26" s="84">
        <v>0</v>
      </c>
      <c r="G26" s="42">
        <v>1</v>
      </c>
      <c r="H26" s="42">
        <f t="shared" ref="H26" si="46">G26-F26</f>
        <v>1</v>
      </c>
      <c r="I26" s="42">
        <f>U190</f>
        <v>0.10009259259259254</v>
      </c>
      <c r="J26" s="42">
        <f t="shared" ref="J26" si="47">H26-I26</f>
        <v>0.89990740740740749</v>
      </c>
      <c r="K26" s="43">
        <f t="shared" ref="K26" si="48">J26/H26</f>
        <v>0.89990740740740749</v>
      </c>
      <c r="L26" s="51"/>
      <c r="M26" s="215"/>
      <c r="N26" s="44">
        <v>0.49629629629629629</v>
      </c>
      <c r="O26" s="44">
        <v>0.49658564814814815</v>
      </c>
      <c r="P26" s="44">
        <f t="shared" si="5"/>
        <v>2.8935185185186008E-4</v>
      </c>
      <c r="Q26" s="217" t="s">
        <v>855</v>
      </c>
      <c r="S26" s="44">
        <v>0.58135416666666673</v>
      </c>
      <c r="T26" s="44">
        <v>0.60840277777777774</v>
      </c>
      <c r="U26" s="44">
        <f t="shared" si="3"/>
        <v>2.7048611111111009E-2</v>
      </c>
      <c r="V26" s="217" t="s">
        <v>879</v>
      </c>
      <c r="X26" s="44"/>
      <c r="Y26" s="44"/>
      <c r="Z26" s="44"/>
      <c r="AA26" s="217"/>
      <c r="AB26" s="44"/>
      <c r="CE26" s="65"/>
      <c r="CF26" s="65"/>
      <c r="CG26" s="65"/>
      <c r="CH26" s="65"/>
      <c r="CI26" s="65"/>
      <c r="CJ26" s="65"/>
      <c r="CK26" s="65"/>
      <c r="CL26" s="65"/>
      <c r="CM26" s="65"/>
      <c r="CN26" s="65"/>
    </row>
    <row r="27" spans="1:92">
      <c r="A27" s="57"/>
      <c r="B27" s="39">
        <v>43141</v>
      </c>
      <c r="C27" s="40" t="s">
        <v>609</v>
      </c>
      <c r="D27" s="41" t="s">
        <v>68</v>
      </c>
      <c r="E27" s="40" t="s">
        <v>176</v>
      </c>
      <c r="F27" s="84">
        <v>0</v>
      </c>
      <c r="G27" s="42">
        <v>0.37501157407407404</v>
      </c>
      <c r="H27" s="42">
        <f t="shared" ref="H27" si="49">G27-F27</f>
        <v>0.37501157407407404</v>
      </c>
      <c r="I27" s="42">
        <f>U208</f>
        <v>3.2777777777777795E-2</v>
      </c>
      <c r="J27" s="42">
        <f t="shared" ref="J27" si="50">H27-I27</f>
        <v>0.34223379629629624</v>
      </c>
      <c r="K27" s="43">
        <f t="shared" ref="K27" si="51">J27/H27</f>
        <v>0.9125952902688188</v>
      </c>
      <c r="L27" s="51"/>
      <c r="M27" s="215"/>
      <c r="N27" s="44">
        <v>0.53483796296296293</v>
      </c>
      <c r="O27" s="44">
        <v>0.53523148148148147</v>
      </c>
      <c r="P27" s="44">
        <f t="shared" si="5"/>
        <v>3.9351851851854303E-4</v>
      </c>
      <c r="Q27" s="217" t="s">
        <v>855</v>
      </c>
      <c r="S27" s="44">
        <v>0.60878472222222224</v>
      </c>
      <c r="T27" s="44">
        <v>0.60931712962962969</v>
      </c>
      <c r="U27" s="44">
        <f t="shared" si="3"/>
        <v>5.3240740740745363E-4</v>
      </c>
      <c r="V27" s="217" t="s">
        <v>880</v>
      </c>
      <c r="X27" s="44"/>
      <c r="Y27" s="44"/>
      <c r="Z27" s="44"/>
      <c r="AA27" s="217"/>
      <c r="AB27" s="44"/>
      <c r="CE27" s="65"/>
      <c r="CF27" s="65"/>
      <c r="CG27" s="65"/>
      <c r="CH27" s="65"/>
      <c r="CI27" s="65"/>
      <c r="CJ27" s="65"/>
      <c r="CK27" s="65"/>
      <c r="CL27" s="65"/>
      <c r="CM27" s="65"/>
      <c r="CN27" s="65"/>
    </row>
    <row r="28" spans="1:92">
      <c r="A28" s="57"/>
      <c r="B28" s="39">
        <v>43146</v>
      </c>
      <c r="C28" s="40" t="s">
        <v>663</v>
      </c>
      <c r="D28" s="41" t="s">
        <v>68</v>
      </c>
      <c r="E28" s="40" t="s">
        <v>176</v>
      </c>
      <c r="F28" s="84">
        <v>1.7719907407407406E-2</v>
      </c>
      <c r="G28" s="42">
        <v>1</v>
      </c>
      <c r="H28" s="42">
        <f t="shared" ref="H28" si="52">G28-F28</f>
        <v>0.98228009259259264</v>
      </c>
      <c r="I28" s="42">
        <f>Z110</f>
        <v>6.9421296296296245E-2</v>
      </c>
      <c r="J28" s="42">
        <f t="shared" ref="J28" si="53">H28-I28</f>
        <v>0.9128587962962964</v>
      </c>
      <c r="K28" s="43">
        <f t="shared" ref="K28" si="54">J28/H28</f>
        <v>0.92932637358752912</v>
      </c>
      <c r="L28" s="51"/>
      <c r="M28" s="215"/>
      <c r="N28" s="44">
        <v>0.60210648148148149</v>
      </c>
      <c r="O28" s="44">
        <v>0.60667824074074073</v>
      </c>
      <c r="P28" s="44">
        <f t="shared" si="5"/>
        <v>4.5717592592592338E-3</v>
      </c>
      <c r="Q28" s="217" t="s">
        <v>856</v>
      </c>
      <c r="S28" s="44">
        <v>0.71034722222222213</v>
      </c>
      <c r="T28" s="44">
        <v>0.71070601851851845</v>
      </c>
      <c r="U28" s="44">
        <f t="shared" si="3"/>
        <v>3.5879629629631538E-4</v>
      </c>
      <c r="V28" s="217" t="s">
        <v>881</v>
      </c>
      <c r="X28" s="44"/>
      <c r="Y28" s="44"/>
      <c r="Z28" s="44"/>
      <c r="AA28" s="217"/>
      <c r="AB28" s="44"/>
      <c r="CE28" s="65"/>
      <c r="CF28" s="65"/>
      <c r="CG28" s="65"/>
      <c r="CH28" s="65"/>
      <c r="CI28" s="65"/>
      <c r="CJ28" s="65"/>
      <c r="CK28" s="65"/>
      <c r="CL28" s="65"/>
      <c r="CM28" s="65"/>
      <c r="CN28" s="65"/>
    </row>
    <row r="29" spans="1:92">
      <c r="A29" s="57"/>
      <c r="B29" s="39">
        <v>43147</v>
      </c>
      <c r="C29" s="40" t="s">
        <v>398</v>
      </c>
      <c r="D29" s="41" t="s">
        <v>68</v>
      </c>
      <c r="E29" s="40" t="s">
        <v>176</v>
      </c>
      <c r="F29" s="84">
        <v>0</v>
      </c>
      <c r="G29" s="42">
        <v>1</v>
      </c>
      <c r="H29" s="42">
        <f t="shared" ref="H29" si="55">G29-F29</f>
        <v>1</v>
      </c>
      <c r="I29" s="42">
        <f>Z152</f>
        <v>0.30855324074074109</v>
      </c>
      <c r="J29" s="42">
        <f t="shared" ref="J29" si="56">H29-I29</f>
        <v>0.69144675925925891</v>
      </c>
      <c r="K29" s="43">
        <f t="shared" ref="K29" si="57">J29/H29</f>
        <v>0.69144675925925891</v>
      </c>
      <c r="L29" s="51"/>
      <c r="M29" s="215"/>
      <c r="N29" s="44">
        <v>0.62332175925925926</v>
      </c>
      <c r="O29" s="44">
        <v>0.62383101851851852</v>
      </c>
      <c r="P29" s="44">
        <f t="shared" si="5"/>
        <v>5.0925925925926485E-4</v>
      </c>
      <c r="Q29" s="217" t="s">
        <v>857</v>
      </c>
      <c r="S29" s="44">
        <v>0.77229166666666671</v>
      </c>
      <c r="T29" s="44">
        <v>0.77309027777777783</v>
      </c>
      <c r="U29" s="44">
        <f t="shared" si="3"/>
        <v>7.9861111111112493E-4</v>
      </c>
      <c r="V29" s="217" t="s">
        <v>882</v>
      </c>
      <c r="X29" s="44"/>
      <c r="Y29" s="44"/>
      <c r="Z29" s="44"/>
      <c r="AA29" s="217"/>
      <c r="AB29" s="44"/>
      <c r="CE29" s="65"/>
      <c r="CF29" s="65"/>
      <c r="CG29" s="65"/>
      <c r="CH29" s="65"/>
      <c r="CI29" s="65"/>
      <c r="CJ29" s="65"/>
      <c r="CK29" s="65"/>
      <c r="CL29" s="65"/>
      <c r="CM29" s="65"/>
      <c r="CN29" s="65"/>
    </row>
    <row r="30" spans="1:92">
      <c r="A30" s="57"/>
      <c r="B30" s="39">
        <v>43148</v>
      </c>
      <c r="C30" s="40" t="s">
        <v>732</v>
      </c>
      <c r="D30" s="41" t="s">
        <v>68</v>
      </c>
      <c r="E30" s="40" t="s">
        <v>176</v>
      </c>
      <c r="F30" s="84">
        <v>0</v>
      </c>
      <c r="G30" s="42">
        <v>1</v>
      </c>
      <c r="H30" s="42">
        <f t="shared" ref="H30" si="58">G30-F30</f>
        <v>1</v>
      </c>
      <c r="I30" s="42">
        <f>Z184</f>
        <v>0.7113194444444445</v>
      </c>
      <c r="J30" s="42">
        <f t="shared" ref="J30" si="59">H30-I30</f>
        <v>0.2886805555555555</v>
      </c>
      <c r="K30" s="43">
        <f t="shared" ref="K30" si="60">J30/H30</f>
        <v>0.2886805555555555</v>
      </c>
      <c r="L30" s="51"/>
      <c r="M30" s="215"/>
      <c r="N30" s="44">
        <v>0.67320601851851858</v>
      </c>
      <c r="O30" s="44">
        <v>0.67642361111111116</v>
      </c>
      <c r="P30" s="44">
        <f t="shared" si="5"/>
        <v>3.2175925925925775E-3</v>
      </c>
      <c r="Q30" s="217" t="s">
        <v>859</v>
      </c>
      <c r="S30" s="44">
        <v>0.78998842592592589</v>
      </c>
      <c r="T30" s="44">
        <v>0.79019675925925925</v>
      </c>
      <c r="U30" s="44">
        <f t="shared" si="3"/>
        <v>2.083333333333659E-4</v>
      </c>
      <c r="V30" s="217" t="s">
        <v>883</v>
      </c>
      <c r="X30" s="44"/>
      <c r="Y30" s="44"/>
      <c r="Z30" s="44"/>
      <c r="AA30" s="217"/>
      <c r="AB30" s="44"/>
      <c r="CE30" s="65"/>
      <c r="CF30" s="65"/>
      <c r="CG30" s="65"/>
      <c r="CH30" s="65"/>
      <c r="CI30" s="65"/>
      <c r="CJ30" s="65"/>
      <c r="CK30" s="65"/>
      <c r="CL30" s="65"/>
      <c r="CM30" s="65"/>
      <c r="CN30" s="65"/>
    </row>
    <row r="31" spans="1:92">
      <c r="A31" s="57"/>
      <c r="B31" s="39">
        <v>43149</v>
      </c>
      <c r="C31" s="40" t="s">
        <v>732</v>
      </c>
      <c r="D31" s="41" t="s">
        <v>68</v>
      </c>
      <c r="E31" s="40" t="s">
        <v>176</v>
      </c>
      <c r="F31" s="84">
        <v>0</v>
      </c>
      <c r="G31" s="42">
        <v>1</v>
      </c>
      <c r="H31" s="42">
        <f t="shared" ref="H31" si="61">G31-F31</f>
        <v>1</v>
      </c>
      <c r="I31" s="42">
        <f>AE131</f>
        <v>5.0243055555556228E-2</v>
      </c>
      <c r="J31" s="42">
        <f t="shared" ref="J31" si="62">H31-I31</f>
        <v>0.94975694444444381</v>
      </c>
      <c r="K31" s="43">
        <f t="shared" ref="K31" si="63">J31/H31</f>
        <v>0.94975694444444381</v>
      </c>
      <c r="L31" s="51"/>
      <c r="M31" s="215"/>
      <c r="N31" s="44">
        <v>0.71125000000000005</v>
      </c>
      <c r="O31" s="44">
        <v>0.71168981481481486</v>
      </c>
      <c r="P31" s="44">
        <f t="shared" si="5"/>
        <v>4.3981481481480955E-4</v>
      </c>
      <c r="Q31" s="217" t="s">
        <v>860</v>
      </c>
      <c r="S31" s="44">
        <v>0.82394675925925931</v>
      </c>
      <c r="T31" s="44">
        <v>0.8243287037037037</v>
      </c>
      <c r="U31" s="44">
        <f t="shared" si="3"/>
        <v>3.8194444444439313E-4</v>
      </c>
      <c r="V31" s="217" t="s">
        <v>883</v>
      </c>
      <c r="X31" s="44"/>
      <c r="Y31" s="44"/>
      <c r="Z31" s="44"/>
      <c r="AA31" s="217"/>
      <c r="AB31" s="44"/>
      <c r="CE31" s="65"/>
      <c r="CF31" s="65"/>
      <c r="CG31" s="65"/>
      <c r="CH31" s="65"/>
      <c r="CI31" s="65"/>
      <c r="CJ31" s="65"/>
      <c r="CK31" s="65"/>
      <c r="CL31" s="65"/>
      <c r="CM31" s="65"/>
      <c r="CN31" s="65"/>
    </row>
    <row r="32" spans="1:92">
      <c r="A32" s="57"/>
      <c r="B32" s="39">
        <v>43150</v>
      </c>
      <c r="C32" s="40" t="s">
        <v>732</v>
      </c>
      <c r="D32" s="41" t="s">
        <v>68</v>
      </c>
      <c r="E32" s="40" t="s">
        <v>176</v>
      </c>
      <c r="F32" s="84">
        <v>0</v>
      </c>
      <c r="G32" s="42">
        <v>1</v>
      </c>
      <c r="H32" s="42">
        <f t="shared" ref="H32" si="64">G32-F32</f>
        <v>1</v>
      </c>
      <c r="I32" s="42">
        <f>AE170</f>
        <v>2.9861111111111109E-2</v>
      </c>
      <c r="J32" s="42">
        <f t="shared" ref="J32" si="65">H32-I32</f>
        <v>0.97013888888888888</v>
      </c>
      <c r="K32" s="43">
        <f t="shared" ref="K32" si="66">J32/H32</f>
        <v>0.97013888888888888</v>
      </c>
      <c r="L32" s="51"/>
      <c r="M32" s="215"/>
      <c r="N32" s="44">
        <v>0.73969907407407398</v>
      </c>
      <c r="O32" s="44">
        <v>0.7400000000000001</v>
      </c>
      <c r="P32" s="44">
        <f t="shared" si="5"/>
        <v>3.00925925926121E-4</v>
      </c>
      <c r="Q32" s="217" t="s">
        <v>860</v>
      </c>
      <c r="S32" s="44">
        <v>0.83158564814814817</v>
      </c>
      <c r="T32" s="44">
        <v>0.83187500000000003</v>
      </c>
      <c r="U32" s="44">
        <f t="shared" si="3"/>
        <v>2.8935185185186008E-4</v>
      </c>
      <c r="V32" s="217" t="s">
        <v>884</v>
      </c>
      <c r="X32" s="44"/>
      <c r="Y32" s="44"/>
      <c r="Z32" s="44"/>
      <c r="AA32" s="217"/>
      <c r="AB32" s="44"/>
      <c r="CE32" s="65"/>
      <c r="CF32" s="65"/>
      <c r="CG32" s="65"/>
      <c r="CH32" s="65"/>
      <c r="CI32" s="65"/>
      <c r="CJ32" s="65"/>
      <c r="CK32" s="65"/>
      <c r="CL32" s="65"/>
      <c r="CM32" s="65"/>
      <c r="CN32" s="65"/>
    </row>
    <row r="33" spans="1:92">
      <c r="A33" s="57"/>
      <c r="B33" s="39">
        <v>43151</v>
      </c>
      <c r="C33" s="40" t="s">
        <v>732</v>
      </c>
      <c r="D33" s="41" t="s">
        <v>68</v>
      </c>
      <c r="E33" s="40" t="s">
        <v>176</v>
      </c>
      <c r="F33" s="84">
        <v>0</v>
      </c>
      <c r="G33" s="42">
        <v>1</v>
      </c>
      <c r="H33" s="42">
        <f t="shared" ref="H33" si="67">G33-F33</f>
        <v>1</v>
      </c>
      <c r="I33" s="42">
        <f>AJ110</f>
        <v>6.3761574074073818E-2</v>
      </c>
      <c r="J33" s="42">
        <f t="shared" ref="J33" si="68">H33-I33</f>
        <v>0.93623842592592621</v>
      </c>
      <c r="K33" s="43">
        <f t="shared" ref="K33" si="69">J33/H33</f>
        <v>0.93623842592592621</v>
      </c>
      <c r="L33" s="51"/>
      <c r="M33" s="215"/>
      <c r="N33" s="44">
        <v>0.76954861111111106</v>
      </c>
      <c r="O33" s="44">
        <v>0.76987268518518526</v>
      </c>
      <c r="P33" s="44">
        <f t="shared" si="5"/>
        <v>3.2407407407419875E-4</v>
      </c>
      <c r="Q33" s="217" t="s">
        <v>861</v>
      </c>
      <c r="S33" s="44">
        <v>0.908136574074074</v>
      </c>
      <c r="T33" s="44">
        <v>0.90839120370370363</v>
      </c>
      <c r="U33" s="44">
        <f t="shared" si="3"/>
        <v>2.5462962962963243E-4</v>
      </c>
      <c r="V33" s="217" t="s">
        <v>885</v>
      </c>
      <c r="X33" s="44"/>
      <c r="Y33" s="44"/>
      <c r="Z33" s="44"/>
      <c r="AA33" s="217"/>
      <c r="AB33" s="44"/>
      <c r="CE33" s="65"/>
      <c r="CF33" s="65"/>
      <c r="CG33" s="65"/>
      <c r="CH33" s="65"/>
      <c r="CI33" s="65"/>
      <c r="CJ33" s="65"/>
      <c r="CK33" s="65"/>
      <c r="CL33" s="65"/>
      <c r="CM33" s="65"/>
      <c r="CN33" s="65"/>
    </row>
    <row r="34" spans="1:92">
      <c r="A34" s="57"/>
      <c r="B34" s="39">
        <v>43152</v>
      </c>
      <c r="C34" s="40" t="s">
        <v>732</v>
      </c>
      <c r="D34" s="41" t="s">
        <v>68</v>
      </c>
      <c r="E34" s="40" t="s">
        <v>176</v>
      </c>
      <c r="F34" s="84">
        <v>0</v>
      </c>
      <c r="G34" s="42">
        <v>0.375</v>
      </c>
      <c r="H34" s="42">
        <f t="shared" ref="H34:H35" si="70">G34-F34</f>
        <v>0.375</v>
      </c>
      <c r="I34" s="42">
        <f>AJ126</f>
        <v>6.8796296296296286E-2</v>
      </c>
      <c r="J34" s="42">
        <f t="shared" ref="J34" si="71">H34-I34</f>
        <v>0.3062037037037037</v>
      </c>
      <c r="K34" s="43">
        <f t="shared" ref="K34" si="72">J34/H34</f>
        <v>0.81654320987654316</v>
      </c>
      <c r="M34" s="44"/>
      <c r="N34" s="44">
        <v>0.78086805555555561</v>
      </c>
      <c r="O34" s="44">
        <v>0.78128472222222223</v>
      </c>
      <c r="P34" s="44">
        <f t="shared" si="5"/>
        <v>4.1666666666662078E-4</v>
      </c>
      <c r="Q34" s="217" t="s">
        <v>861</v>
      </c>
      <c r="R34" s="44"/>
      <c r="S34" s="44">
        <v>0.91774305555555558</v>
      </c>
      <c r="T34" s="44">
        <v>0.91804398148148147</v>
      </c>
      <c r="U34" s="44">
        <f t="shared" si="3"/>
        <v>3.0092592592589895E-4</v>
      </c>
      <c r="V34" s="217" t="s">
        <v>886</v>
      </c>
      <c r="W34" s="44"/>
      <c r="X34" s="44"/>
      <c r="Y34" s="44"/>
      <c r="Z34" s="44"/>
      <c r="AA34" s="217"/>
      <c r="CE34" s="65"/>
      <c r="CF34" s="65"/>
      <c r="CG34" s="65"/>
      <c r="CH34" s="65"/>
      <c r="CI34" s="65"/>
      <c r="CJ34" s="65"/>
      <c r="CK34" s="65"/>
      <c r="CL34" s="65"/>
      <c r="CM34" s="65"/>
      <c r="CN34" s="65"/>
    </row>
    <row r="35" spans="1:92">
      <c r="A35" s="57"/>
      <c r="B35" s="39">
        <v>43153</v>
      </c>
      <c r="C35" s="40" t="s">
        <v>830</v>
      </c>
      <c r="D35" s="41" t="s">
        <v>68</v>
      </c>
      <c r="E35" s="40" t="s">
        <v>176</v>
      </c>
      <c r="F35" s="84">
        <v>0.97803240740740749</v>
      </c>
      <c r="G35" s="42">
        <v>1</v>
      </c>
      <c r="H35" s="42">
        <f t="shared" si="70"/>
        <v>2.1967592592592511E-2</v>
      </c>
      <c r="I35" s="42">
        <v>0</v>
      </c>
      <c r="J35" s="42">
        <f t="shared" ref="J35" si="73">H35-I35</f>
        <v>2.1967592592592511E-2</v>
      </c>
      <c r="K35" s="43">
        <f t="shared" ref="K35" si="74">J35/H35</f>
        <v>1</v>
      </c>
      <c r="M35" s="44"/>
      <c r="N35" s="44">
        <v>0.79708333333333325</v>
      </c>
      <c r="O35" s="44">
        <v>0.79743055555555553</v>
      </c>
      <c r="P35" s="44">
        <f t="shared" si="5"/>
        <v>3.472222222222765E-4</v>
      </c>
      <c r="Q35" s="217" t="s">
        <v>862</v>
      </c>
      <c r="R35" s="44"/>
      <c r="S35" s="44">
        <v>0.91905092592592597</v>
      </c>
      <c r="T35" s="44">
        <v>0.91930555555555549</v>
      </c>
      <c r="U35" s="44">
        <f t="shared" si="3"/>
        <v>2.546296296295214E-4</v>
      </c>
      <c r="V35" s="217" t="s">
        <v>886</v>
      </c>
      <c r="W35" s="44"/>
      <c r="X35" s="44"/>
      <c r="Y35" s="44"/>
      <c r="Z35" s="44"/>
      <c r="AA35" s="217"/>
      <c r="CE35" s="65"/>
      <c r="CF35" s="65"/>
      <c r="CG35" s="65"/>
      <c r="CH35" s="65"/>
      <c r="CI35" s="65"/>
      <c r="CJ35" s="65"/>
      <c r="CK35" s="65"/>
      <c r="CL35" s="65"/>
      <c r="CM35" s="65"/>
      <c r="CN35" s="65"/>
    </row>
    <row r="36" spans="1:92">
      <c r="A36" s="57"/>
      <c r="B36" s="39">
        <v>43154</v>
      </c>
      <c r="C36" s="40" t="s">
        <v>848</v>
      </c>
      <c r="D36" s="41" t="s">
        <v>68</v>
      </c>
      <c r="E36" s="40" t="s">
        <v>176</v>
      </c>
      <c r="F36" s="84">
        <v>0</v>
      </c>
      <c r="G36" s="42">
        <v>1</v>
      </c>
      <c r="H36" s="42">
        <f t="shared" ref="H36" si="75">G36-F36</f>
        <v>1</v>
      </c>
      <c r="I36" s="42">
        <f>P45</f>
        <v>6.3819444444444581E-2</v>
      </c>
      <c r="J36" s="42">
        <f t="shared" ref="J36" si="76">H36-I36</f>
        <v>0.93618055555555546</v>
      </c>
      <c r="K36" s="43">
        <f t="shared" ref="K36" si="77">J36/H36</f>
        <v>0.93618055555555546</v>
      </c>
      <c r="M36" s="44"/>
      <c r="N36" s="44">
        <v>0.81505787037037036</v>
      </c>
      <c r="O36" s="44">
        <v>0.81547453703703709</v>
      </c>
      <c r="P36" s="44">
        <f t="shared" si="5"/>
        <v>4.166666666667318E-4</v>
      </c>
      <c r="Q36" s="217" t="s">
        <v>862</v>
      </c>
      <c r="R36" s="44"/>
      <c r="S36" s="44">
        <v>0.92396990740740748</v>
      </c>
      <c r="T36" s="44">
        <v>0.92442129629629621</v>
      </c>
      <c r="U36" s="44">
        <f t="shared" si="3"/>
        <v>4.5138888888873741E-4</v>
      </c>
      <c r="V36" s="217" t="s">
        <v>886</v>
      </c>
      <c r="W36" s="44"/>
      <c r="X36" s="44"/>
      <c r="Y36" s="44"/>
      <c r="Z36" s="44"/>
      <c r="AA36" s="217"/>
      <c r="CE36" s="65"/>
      <c r="CF36" s="65"/>
      <c r="CG36" s="65"/>
      <c r="CH36" s="65"/>
      <c r="CI36" s="65"/>
      <c r="CJ36" s="65"/>
      <c r="CK36" s="65"/>
      <c r="CL36" s="65"/>
      <c r="CM36" s="65"/>
      <c r="CN36" s="65"/>
    </row>
    <row r="37" spans="1:92">
      <c r="A37" s="57"/>
      <c r="B37" s="39">
        <v>43155</v>
      </c>
      <c r="C37" s="40" t="s">
        <v>848</v>
      </c>
      <c r="D37" s="41" t="s">
        <v>68</v>
      </c>
      <c r="E37" s="40" t="s">
        <v>176</v>
      </c>
      <c r="F37" s="84">
        <v>0</v>
      </c>
      <c r="G37" s="42">
        <v>1</v>
      </c>
      <c r="H37" s="42">
        <f t="shared" ref="H37" si="78">G37-F37</f>
        <v>1</v>
      </c>
      <c r="I37" s="42">
        <f>U40</f>
        <v>8.546296296296263E-2</v>
      </c>
      <c r="J37" s="42">
        <f t="shared" ref="J37" si="79">H37-I37</f>
        <v>0.91453703703703737</v>
      </c>
      <c r="K37" s="43">
        <f t="shared" ref="K37" si="80">J37/H37</f>
        <v>0.91453703703703737</v>
      </c>
      <c r="M37" s="44"/>
      <c r="N37" s="44">
        <v>0.8193287037037037</v>
      </c>
      <c r="O37" s="44">
        <v>0.81964120370370364</v>
      </c>
      <c r="P37" s="44">
        <f t="shared" si="5"/>
        <v>3.1249999999993783E-4</v>
      </c>
      <c r="Q37" s="217" t="s">
        <v>862</v>
      </c>
      <c r="R37" s="44"/>
      <c r="S37" s="44">
        <v>0.96159722222222221</v>
      </c>
      <c r="T37" s="44">
        <v>0.96196759259259268</v>
      </c>
      <c r="U37" s="44">
        <f t="shared" si="3"/>
        <v>3.7037037037046527E-4</v>
      </c>
      <c r="V37" s="217" t="s">
        <v>887</v>
      </c>
      <c r="W37" s="44"/>
      <c r="X37" s="44"/>
      <c r="Y37" s="44"/>
      <c r="Z37" s="44"/>
      <c r="AA37" s="217"/>
      <c r="CE37" s="65"/>
      <c r="CF37" s="65"/>
      <c r="CG37" s="65"/>
      <c r="CH37" s="65"/>
      <c r="CI37" s="65"/>
      <c r="CJ37" s="65"/>
      <c r="CK37" s="65"/>
      <c r="CL37" s="65"/>
      <c r="CM37" s="65"/>
      <c r="CN37" s="65"/>
    </row>
    <row r="38" spans="1:92">
      <c r="A38" s="57"/>
      <c r="B38" s="32">
        <v>43156</v>
      </c>
      <c r="C38" s="33" t="s">
        <v>847</v>
      </c>
      <c r="D38" s="34" t="s">
        <v>68</v>
      </c>
      <c r="E38" s="33" t="s">
        <v>176</v>
      </c>
      <c r="F38" s="244">
        <v>0</v>
      </c>
      <c r="G38" s="35">
        <v>0.23123842592592592</v>
      </c>
      <c r="H38" s="35">
        <f t="shared" ref="H38" si="81">G38-F38</f>
        <v>0.23123842592592592</v>
      </c>
      <c r="I38" s="35">
        <f>Z10</f>
        <v>1.0798611111111142E-2</v>
      </c>
      <c r="J38" s="35">
        <f t="shared" ref="J38" si="82">H38-I38</f>
        <v>0.22043981481481478</v>
      </c>
      <c r="K38" s="36">
        <f t="shared" ref="K38" si="83">J38/H38</f>
        <v>0.95330096601431491</v>
      </c>
      <c r="M38" s="44"/>
      <c r="N38" s="44">
        <v>0.82554398148148145</v>
      </c>
      <c r="O38" s="44">
        <v>0.82582175925925927</v>
      </c>
      <c r="P38" s="44">
        <f t="shared" si="5"/>
        <v>2.777777777778212E-4</v>
      </c>
      <c r="Q38" s="217" t="s">
        <v>862</v>
      </c>
      <c r="R38" s="44"/>
      <c r="S38" s="44">
        <v>0.98009259259259263</v>
      </c>
      <c r="T38" s="44">
        <v>0.98043981481481479</v>
      </c>
      <c r="U38" s="44">
        <f t="shared" si="3"/>
        <v>3.4722222222216548E-4</v>
      </c>
      <c r="V38" s="217" t="s">
        <v>887</v>
      </c>
      <c r="W38" s="44"/>
      <c r="X38" s="44"/>
      <c r="Y38" s="44"/>
      <c r="Z38" s="44"/>
      <c r="AA38" s="217"/>
      <c r="CE38" s="65"/>
      <c r="CF38" s="65"/>
      <c r="CG38" s="65"/>
      <c r="CH38" s="65"/>
      <c r="CI38" s="65"/>
      <c r="CJ38" s="65"/>
      <c r="CK38" s="65"/>
      <c r="CL38" s="65"/>
      <c r="CM38" s="65"/>
      <c r="CN38" s="65"/>
    </row>
    <row r="39" spans="1:92" ht="13.8" thickBot="1">
      <c r="B39" s="17"/>
      <c r="C39" s="18"/>
      <c r="D39" s="18"/>
      <c r="E39" s="18" t="s">
        <v>17</v>
      </c>
      <c r="F39" s="19"/>
      <c r="G39" s="20"/>
      <c r="H39" s="21">
        <f>SUM(H4:H38)</f>
        <v>21.477187499999999</v>
      </c>
      <c r="I39" s="21">
        <f>SUM(I4:I38)</f>
        <v>3.018275462962964</v>
      </c>
      <c r="J39" s="21">
        <f>SUM(J4:J38)</f>
        <v>18.458912037037035</v>
      </c>
      <c r="K39" s="22">
        <f>J39/H39</f>
        <v>0.85946598161593712</v>
      </c>
      <c r="N39" s="44">
        <v>0.86528935185185185</v>
      </c>
      <c r="O39" s="44">
        <v>0.87331018518518511</v>
      </c>
      <c r="P39" s="44">
        <f t="shared" si="5"/>
        <v>8.0208333333332549E-3</v>
      </c>
      <c r="Q39" s="217" t="s">
        <v>863</v>
      </c>
      <c r="R39"/>
      <c r="S39" s="44">
        <v>0.99109953703703713</v>
      </c>
      <c r="T39" s="44">
        <v>0.99163194444444447</v>
      </c>
      <c r="U39" s="44">
        <f t="shared" si="3"/>
        <v>5.324074074073426E-4</v>
      </c>
      <c r="V39" s="217" t="s">
        <v>887</v>
      </c>
      <c r="W39"/>
      <c r="X39" s="44"/>
      <c r="Y39" s="44"/>
      <c r="Z39" s="44"/>
      <c r="AA39" s="217"/>
      <c r="CE39" s="65"/>
      <c r="CF39" s="65"/>
      <c r="CG39" s="65"/>
      <c r="CH39" s="65"/>
      <c r="CI39" s="65"/>
      <c r="CJ39" s="65"/>
      <c r="CK39" s="65"/>
      <c r="CL39" s="65"/>
      <c r="CM39" s="65"/>
      <c r="CN39" s="65"/>
    </row>
    <row r="40" spans="1:92">
      <c r="H40" s="54"/>
      <c r="I40" s="54"/>
      <c r="J40" s="54"/>
      <c r="K40" s="56"/>
      <c r="L40" s="55"/>
      <c r="N40" s="44">
        <v>0.91398148148148151</v>
      </c>
      <c r="O40" s="44">
        <v>0.91430555555555559</v>
      </c>
      <c r="P40" s="44">
        <f t="shared" si="5"/>
        <v>3.2407407407408773E-4</v>
      </c>
      <c r="Q40" s="215" t="s">
        <v>864</v>
      </c>
      <c r="R40"/>
      <c r="S40" s="44"/>
      <c r="T40" s="222" t="s">
        <v>70</v>
      </c>
      <c r="U40" s="223">
        <f>SUM(U4:U39)</f>
        <v>8.546296296296263E-2</v>
      </c>
      <c r="W40"/>
      <c r="X40" s="44"/>
      <c r="AA40" s="215"/>
      <c r="CE40" s="65"/>
      <c r="CF40" s="65"/>
      <c r="CG40" s="65"/>
      <c r="CH40" s="65"/>
      <c r="CI40" s="65"/>
      <c r="CJ40" s="65"/>
      <c r="CK40" s="65"/>
      <c r="CL40" s="65"/>
      <c r="CM40" s="65"/>
      <c r="CN40" s="65"/>
    </row>
    <row r="41" spans="1:92">
      <c r="J41" s="55"/>
      <c r="K41" s="56"/>
      <c r="N41" s="44">
        <v>0.9199652777777777</v>
      </c>
      <c r="O41" s="44">
        <v>0.92079861111111105</v>
      </c>
      <c r="P41" s="44">
        <f t="shared" si="5"/>
        <v>8.3333333333335258E-4</v>
      </c>
      <c r="Q41" s="215" t="s">
        <v>865</v>
      </c>
      <c r="R41"/>
      <c r="S41" s="44"/>
      <c r="T41" s="44"/>
      <c r="U41" s="44"/>
      <c r="CE41" s="65"/>
      <c r="CF41" s="65"/>
      <c r="CG41" s="65"/>
      <c r="CH41" s="65"/>
      <c r="CI41" s="65"/>
      <c r="CJ41" s="65"/>
      <c r="CK41" s="65"/>
      <c r="CL41" s="65"/>
      <c r="CM41" s="65"/>
      <c r="CN41" s="65"/>
    </row>
    <row r="42" spans="1:92">
      <c r="B42" s="12" t="s">
        <v>0</v>
      </c>
      <c r="C42" s="11" t="s">
        <v>10</v>
      </c>
      <c r="D42" s="11" t="s">
        <v>11</v>
      </c>
      <c r="E42" s="11" t="s">
        <v>12</v>
      </c>
      <c r="G42" s="12" t="s">
        <v>13</v>
      </c>
      <c r="H42" s="11" t="s">
        <v>10</v>
      </c>
      <c r="I42" s="11" t="s">
        <v>11</v>
      </c>
      <c r="J42" s="11" t="s">
        <v>12</v>
      </c>
      <c r="K42" s="216"/>
      <c r="N42" s="44">
        <v>0.94239583333333332</v>
      </c>
      <c r="O42" s="127">
        <v>0.94265046296296295</v>
      </c>
      <c r="P42" s="44">
        <f t="shared" si="5"/>
        <v>2.5462962962963243E-4</v>
      </c>
      <c r="Q42" s="215" t="s">
        <v>865</v>
      </c>
      <c r="R42"/>
      <c r="S42" s="44"/>
      <c r="T42" s="127"/>
      <c r="U42" s="44"/>
      <c r="CE42" s="65"/>
      <c r="CF42" s="65"/>
      <c r="CG42" s="65"/>
      <c r="CH42" s="65"/>
      <c r="CI42" s="65"/>
      <c r="CJ42" s="65"/>
      <c r="CK42" s="65"/>
      <c r="CL42" s="65"/>
      <c r="CM42" s="65"/>
      <c r="CN42" s="65"/>
    </row>
    <row r="43" spans="1:92">
      <c r="B43" s="58">
        <v>43117</v>
      </c>
      <c r="C43" s="44">
        <v>0.79760416666666656</v>
      </c>
      <c r="D43" s="44">
        <v>0.81530092592592596</v>
      </c>
      <c r="E43" s="44">
        <f>D43-C43</f>
        <v>1.7696759259259398E-2</v>
      </c>
      <c r="G43" s="58">
        <v>43129</v>
      </c>
      <c r="H43" s="44">
        <v>1.7812499999999998E-2</v>
      </c>
      <c r="I43" s="44">
        <v>1.8217592592592594E-2</v>
      </c>
      <c r="J43" s="44">
        <f t="shared" ref="J43:J79" si="84">I43-H43</f>
        <v>4.0509259259259578E-4</v>
      </c>
      <c r="K43" s="217" t="s">
        <v>366</v>
      </c>
      <c r="N43" s="44">
        <v>0.95456018518518526</v>
      </c>
      <c r="O43" s="44">
        <v>0.95487268518518509</v>
      </c>
      <c r="P43" s="44">
        <f t="shared" si="5"/>
        <v>3.1249999999982681E-4</v>
      </c>
      <c r="Q43" s="215" t="s">
        <v>865</v>
      </c>
      <c r="R43"/>
      <c r="S43" s="44"/>
      <c r="T43" s="44"/>
      <c r="U43" s="44"/>
      <c r="CE43" s="65"/>
      <c r="CF43" s="65"/>
      <c r="CG43" s="65"/>
      <c r="CH43" s="65"/>
      <c r="CI43" s="65"/>
      <c r="CJ43" s="65"/>
      <c r="CK43" s="65"/>
      <c r="CL43" s="65"/>
      <c r="CM43" s="65"/>
      <c r="CN43" s="65"/>
    </row>
    <row r="44" spans="1:92">
      <c r="B44" s="44"/>
      <c r="C44" s="44">
        <v>0.82795138888888886</v>
      </c>
      <c r="D44" s="44">
        <v>0.82871527777777787</v>
      </c>
      <c r="E44" s="44">
        <f>D44-C44</f>
        <v>7.638888888890083E-4</v>
      </c>
      <c r="G44" s="44"/>
      <c r="H44" s="44">
        <v>1.9872685185185184E-2</v>
      </c>
      <c r="I44" s="44">
        <v>2.0173611111111111E-2</v>
      </c>
      <c r="J44" s="44">
        <f t="shared" si="84"/>
        <v>3.0092592592592671E-4</v>
      </c>
      <c r="K44" s="217" t="s">
        <v>366</v>
      </c>
      <c r="N44" s="44">
        <v>0.95864583333333331</v>
      </c>
      <c r="O44" s="44">
        <v>0.95890046296296294</v>
      </c>
      <c r="P44" s="44">
        <f t="shared" si="5"/>
        <v>2.5462962962963243E-4</v>
      </c>
      <c r="Q44" s="215" t="s">
        <v>865</v>
      </c>
      <c r="R44"/>
      <c r="S44" s="44"/>
      <c r="T44" s="44"/>
      <c r="U44" s="44"/>
      <c r="CE44" s="65"/>
      <c r="CF44" s="65"/>
      <c r="CG44" s="65"/>
      <c r="CH44" s="65"/>
      <c r="CI44" s="65"/>
      <c r="CJ44" s="65"/>
      <c r="CK44" s="65"/>
      <c r="CL44" s="65"/>
      <c r="CM44" s="65"/>
      <c r="CN44" s="65"/>
    </row>
    <row r="45" spans="1:92">
      <c r="B45" s="44"/>
      <c r="C45" s="44">
        <v>0.83750000000000002</v>
      </c>
      <c r="D45" s="44">
        <v>0.87152777777777779</v>
      </c>
      <c r="E45" s="44">
        <f>D45-C45</f>
        <v>3.4027777777777768E-2</v>
      </c>
      <c r="G45" s="44"/>
      <c r="H45" s="44">
        <v>3.7152777777777778E-2</v>
      </c>
      <c r="I45" s="44">
        <v>3.7569444444444447E-2</v>
      </c>
      <c r="J45" s="44">
        <f t="shared" si="84"/>
        <v>4.1666666666666935E-4</v>
      </c>
      <c r="K45" s="217" t="s">
        <v>367</v>
      </c>
      <c r="O45" s="222" t="s">
        <v>70</v>
      </c>
      <c r="P45" s="223">
        <f>SUM(P4:P44)</f>
        <v>6.3819444444444581E-2</v>
      </c>
      <c r="R45"/>
      <c r="S45"/>
      <c r="T45"/>
      <c r="U45"/>
      <c r="CE45" s="65"/>
      <c r="CF45" s="65"/>
      <c r="CG45" s="65"/>
      <c r="CH45" s="65"/>
      <c r="CI45" s="65"/>
      <c r="CJ45" s="65"/>
      <c r="CK45" s="65"/>
      <c r="CL45" s="65"/>
      <c r="CM45" s="65"/>
      <c r="CN45" s="65"/>
    </row>
    <row r="46" spans="1:92">
      <c r="B46" s="44"/>
      <c r="C46" s="44"/>
      <c r="D46" s="222" t="s">
        <v>70</v>
      </c>
      <c r="E46" s="223">
        <f>SUM(E43:E45)</f>
        <v>5.2488425925926174E-2</v>
      </c>
      <c r="G46" s="44"/>
      <c r="H46" s="44">
        <v>7.9224537037037038E-2</v>
      </c>
      <c r="I46" s="44">
        <v>9.0381944444444431E-2</v>
      </c>
      <c r="J46" s="44">
        <f t="shared" si="84"/>
        <v>1.1157407407407394E-2</v>
      </c>
      <c r="K46" s="217">
        <v>241</v>
      </c>
      <c r="R46"/>
      <c r="S46"/>
      <c r="T46"/>
      <c r="U46"/>
      <c r="CE46" s="65"/>
      <c r="CF46" s="65"/>
      <c r="CG46" s="65"/>
      <c r="CH46" s="65"/>
      <c r="CI46" s="65"/>
      <c r="CJ46" s="65"/>
      <c r="CK46" s="65"/>
      <c r="CL46" s="65"/>
      <c r="CM46" s="65"/>
      <c r="CN46" s="65"/>
    </row>
    <row r="47" spans="1:92">
      <c r="G47" s="63"/>
      <c r="H47" s="64">
        <v>0.1585648148148148</v>
      </c>
      <c r="I47" s="64">
        <v>0.17</v>
      </c>
      <c r="J47" s="44">
        <f t="shared" si="84"/>
        <v>1.1435185185185215E-2</v>
      </c>
      <c r="K47" s="217" t="s">
        <v>368</v>
      </c>
      <c r="R47"/>
      <c r="S47"/>
      <c r="T47"/>
      <c r="U47"/>
      <c r="AG47" s="65"/>
      <c r="AH47" s="65"/>
      <c r="AI47" s="44"/>
      <c r="AJ47" s="44"/>
      <c r="AK47" s="44"/>
      <c r="AW47" s="65"/>
      <c r="AX47" s="65"/>
      <c r="AY47" s="65"/>
      <c r="AZ47" s="65"/>
      <c r="BA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</row>
    <row r="48" spans="1:92">
      <c r="B48" s="12" t="s">
        <v>0</v>
      </c>
      <c r="C48" s="11" t="s">
        <v>10</v>
      </c>
      <c r="D48" s="11" t="s">
        <v>11</v>
      </c>
      <c r="E48" s="11" t="s">
        <v>12</v>
      </c>
      <c r="F48" s="216"/>
      <c r="G48" s="15"/>
      <c r="H48" s="46">
        <v>0.17006944444444447</v>
      </c>
      <c r="I48" s="46">
        <v>0.17052083333333334</v>
      </c>
      <c r="J48" s="44">
        <f t="shared" si="84"/>
        <v>4.5138888888887618E-4</v>
      </c>
      <c r="K48" s="217"/>
      <c r="R48"/>
      <c r="S48"/>
      <c r="AG48" s="65"/>
      <c r="AH48" s="65"/>
      <c r="AI48" s="65"/>
      <c r="AJ48" s="65"/>
      <c r="AK48" s="65"/>
      <c r="AW48" s="65"/>
      <c r="AX48" s="65"/>
      <c r="AY48" s="65"/>
      <c r="AZ48" s="65"/>
      <c r="BA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</row>
    <row r="49" spans="2:92">
      <c r="B49" s="58">
        <v>43118</v>
      </c>
      <c r="C49" s="44">
        <v>0.46641203703703704</v>
      </c>
      <c r="D49" s="44">
        <v>0.46694444444444444</v>
      </c>
      <c r="E49" s="44">
        <f>D49-C49</f>
        <v>5.3240740740739811E-4</v>
      </c>
      <c r="F49" s="217"/>
      <c r="G49" s="15"/>
      <c r="H49" s="46">
        <v>0.19130787037037036</v>
      </c>
      <c r="I49" s="46">
        <v>0.19790509259259259</v>
      </c>
      <c r="J49" s="44">
        <f t="shared" si="84"/>
        <v>6.5972222222222265E-3</v>
      </c>
      <c r="K49" s="217" t="s">
        <v>369</v>
      </c>
      <c r="R49"/>
      <c r="S49"/>
      <c r="T49"/>
      <c r="U49"/>
      <c r="AG49" s="65"/>
      <c r="AH49" s="65"/>
      <c r="AI49" s="65"/>
      <c r="AJ49" s="65"/>
      <c r="AK49" s="65"/>
      <c r="AW49" s="65"/>
      <c r="AX49" s="65"/>
      <c r="AY49" s="65"/>
      <c r="AZ49" s="65"/>
      <c r="BA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</row>
    <row r="50" spans="2:92">
      <c r="B50" s="44"/>
      <c r="C50" s="44">
        <v>0.48873842592592592</v>
      </c>
      <c r="D50" s="44">
        <v>0.51348379629629626</v>
      </c>
      <c r="E50" s="44">
        <f t="shared" ref="E50:E74" si="85">D50-C50</f>
        <v>2.4745370370370334E-2</v>
      </c>
      <c r="F50" s="217"/>
      <c r="G50" s="65"/>
      <c r="H50" s="44">
        <v>0.20269675925925926</v>
      </c>
      <c r="I50" s="44">
        <v>0.21028935185185185</v>
      </c>
      <c r="J50" s="44">
        <f t="shared" si="84"/>
        <v>7.5925925925925952E-3</v>
      </c>
      <c r="K50" s="217" t="s">
        <v>369</v>
      </c>
      <c r="R50"/>
      <c r="S50"/>
      <c r="T50"/>
      <c r="U50"/>
      <c r="AG50" s="65"/>
      <c r="AH50" s="65"/>
      <c r="AI50" s="65"/>
      <c r="AJ50" s="65"/>
      <c r="AK50" s="65"/>
      <c r="AW50" s="65"/>
      <c r="AX50" s="65"/>
      <c r="AY50" s="65"/>
      <c r="AZ50" s="65"/>
      <c r="BA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</row>
    <row r="51" spans="2:92">
      <c r="B51" s="44"/>
      <c r="C51" s="44">
        <v>0.51824074074074067</v>
      </c>
      <c r="D51" s="44">
        <v>0.52721064814814811</v>
      </c>
      <c r="E51" s="44">
        <f t="shared" si="85"/>
        <v>8.9699074074074403E-3</v>
      </c>
      <c r="F51" s="217"/>
      <c r="G51" s="65"/>
      <c r="H51" s="44">
        <v>0.22028935185185183</v>
      </c>
      <c r="I51" s="44">
        <v>0.2291087962962963</v>
      </c>
      <c r="J51" s="44">
        <f t="shared" si="84"/>
        <v>8.8194444444444631E-3</v>
      </c>
      <c r="K51" s="217" t="s">
        <v>369</v>
      </c>
      <c r="R51"/>
      <c r="S51"/>
      <c r="T51"/>
      <c r="U51"/>
      <c r="AG51" s="65"/>
      <c r="AH51" s="65"/>
      <c r="AI51" s="65"/>
      <c r="AJ51" s="65"/>
      <c r="AK51" s="65"/>
      <c r="AW51" s="65"/>
      <c r="AX51" s="65"/>
      <c r="AY51" s="65"/>
      <c r="AZ51" s="65"/>
      <c r="BA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</row>
    <row r="52" spans="2:92">
      <c r="B52" s="44"/>
      <c r="C52" s="44">
        <v>0.53113425925925928</v>
      </c>
      <c r="D52" s="2">
        <v>0.53207175925925931</v>
      </c>
      <c r="E52" s="44">
        <f t="shared" si="85"/>
        <v>9.3750000000003553E-4</v>
      </c>
      <c r="F52" s="217"/>
      <c r="G52" s="65"/>
      <c r="H52" s="44">
        <v>0.28285879629629629</v>
      </c>
      <c r="I52" s="44">
        <v>0.28313657407407405</v>
      </c>
      <c r="J52" s="44">
        <f t="shared" si="84"/>
        <v>2.7777777777776569E-4</v>
      </c>
      <c r="K52" s="217" t="s">
        <v>370</v>
      </c>
      <c r="R52"/>
      <c r="S52"/>
      <c r="AG52" s="65"/>
      <c r="AH52" s="65"/>
      <c r="AI52" s="65"/>
      <c r="AJ52" s="65"/>
      <c r="AK52" s="65"/>
      <c r="AW52" s="65"/>
      <c r="AX52" s="65"/>
      <c r="AY52" s="65"/>
      <c r="AZ52" s="65"/>
      <c r="BA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</row>
    <row r="53" spans="2:92">
      <c r="B53" s="62"/>
      <c r="C53" s="62">
        <v>0.53262731481481485</v>
      </c>
      <c r="D53" s="62">
        <v>0.54186342592592596</v>
      </c>
      <c r="E53" s="44">
        <f t="shared" si="85"/>
        <v>9.2361111111111116E-3</v>
      </c>
      <c r="F53" s="217"/>
      <c r="G53" s="44"/>
      <c r="H53" s="44">
        <v>0.28569444444444442</v>
      </c>
      <c r="I53" s="44">
        <v>0.28599537037037037</v>
      </c>
      <c r="J53" s="44">
        <f t="shared" si="84"/>
        <v>3.0092592592595446E-4</v>
      </c>
      <c r="K53" s="217" t="s">
        <v>370</v>
      </c>
      <c r="S53" s="44"/>
      <c r="T53" s="44"/>
      <c r="U53" s="44"/>
      <c r="V53"/>
      <c r="AG53" s="65"/>
      <c r="AH53" s="65"/>
      <c r="AI53" s="65"/>
      <c r="AJ53" s="65"/>
      <c r="AK53" s="65"/>
      <c r="AW53" s="65"/>
      <c r="AX53" s="65"/>
      <c r="AY53" s="65"/>
      <c r="AZ53" s="65"/>
      <c r="BA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</row>
    <row r="54" spans="2:92">
      <c r="B54" s="46"/>
      <c r="C54" s="46">
        <v>0.58416666666666661</v>
      </c>
      <c r="D54" s="46">
        <v>0.58453703703703697</v>
      </c>
      <c r="E54" s="44">
        <f t="shared" si="85"/>
        <v>3.7037037037035425E-4</v>
      </c>
      <c r="F54" s="218"/>
      <c r="G54" s="44"/>
      <c r="H54" s="127">
        <v>0.29701388888888886</v>
      </c>
      <c r="I54" s="44">
        <v>0.29731481481481481</v>
      </c>
      <c r="J54" s="44">
        <f t="shared" si="84"/>
        <v>3.0092592592595446E-4</v>
      </c>
      <c r="K54" s="217" t="s">
        <v>370</v>
      </c>
      <c r="S54" s="44"/>
      <c r="T54" s="250"/>
      <c r="U54" s="44"/>
      <c r="V54"/>
      <c r="AG54" s="65"/>
      <c r="AH54" s="65"/>
      <c r="AI54" s="65"/>
      <c r="AJ54" s="65"/>
      <c r="AK54" s="65"/>
      <c r="AW54" s="65"/>
      <c r="AX54" s="65"/>
      <c r="AY54" s="65"/>
      <c r="AZ54" s="65"/>
      <c r="BA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</row>
    <row r="55" spans="2:92">
      <c r="B55" s="46"/>
      <c r="C55" s="46">
        <v>0.58951388888888889</v>
      </c>
      <c r="D55" s="46">
        <v>0.59848379629629633</v>
      </c>
      <c r="E55" s="44">
        <f t="shared" si="85"/>
        <v>8.9699074074074403E-3</v>
      </c>
      <c r="F55" s="218"/>
      <c r="G55" s="44"/>
      <c r="H55" s="44">
        <v>0.32505787037037037</v>
      </c>
      <c r="I55" s="44">
        <v>0.32541666666666669</v>
      </c>
      <c r="J55" s="44">
        <f t="shared" si="84"/>
        <v>3.5879629629631538E-4</v>
      </c>
      <c r="K55" s="217" t="s">
        <v>371</v>
      </c>
      <c r="S55" s="44"/>
      <c r="T55" s="44"/>
      <c r="U55" s="44"/>
      <c r="V55"/>
      <c r="AG55" s="65"/>
      <c r="AH55" s="65"/>
      <c r="AI55" s="65"/>
      <c r="AJ55" s="65"/>
      <c r="AK55" s="65"/>
      <c r="AW55" s="65"/>
      <c r="AX55" s="65"/>
      <c r="AY55" s="65"/>
      <c r="AZ55" s="65"/>
      <c r="BA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</row>
    <row r="56" spans="2:92">
      <c r="B56" s="44"/>
      <c r="C56" s="44">
        <v>0.63993055555555556</v>
      </c>
      <c r="D56" s="44">
        <v>0.65265046296296292</v>
      </c>
      <c r="E56" s="44">
        <f t="shared" si="85"/>
        <v>1.271990740740736E-2</v>
      </c>
      <c r="F56" s="217"/>
      <c r="G56" s="44"/>
      <c r="H56" s="44">
        <v>0.32563657407407409</v>
      </c>
      <c r="I56" s="44">
        <v>0.32611111111111107</v>
      </c>
      <c r="J56" s="44">
        <f t="shared" si="84"/>
        <v>4.7453703703698169E-4</v>
      </c>
      <c r="K56" s="217" t="s">
        <v>371</v>
      </c>
      <c r="S56" s="44"/>
      <c r="T56" s="250"/>
      <c r="U56" s="44"/>
      <c r="V56"/>
      <c r="AG56" s="65"/>
      <c r="AH56" s="65"/>
      <c r="AI56" s="65"/>
      <c r="AJ56" s="65"/>
      <c r="AK56" s="65"/>
      <c r="AW56" s="65"/>
      <c r="AX56" s="65"/>
      <c r="AY56" s="65"/>
      <c r="AZ56" s="65"/>
      <c r="BA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</row>
    <row r="57" spans="2:92">
      <c r="B57" s="44"/>
      <c r="C57" s="44">
        <v>0.65392361111111108</v>
      </c>
      <c r="D57" s="44">
        <v>0.66046296296296292</v>
      </c>
      <c r="E57" s="44">
        <f t="shared" si="85"/>
        <v>6.5393518518518379E-3</v>
      </c>
      <c r="F57" s="217"/>
      <c r="G57" s="65"/>
      <c r="H57" s="44">
        <v>0.35144675925925922</v>
      </c>
      <c r="I57" s="44">
        <v>0.35170138888888891</v>
      </c>
      <c r="J57" s="44">
        <f t="shared" si="84"/>
        <v>2.5462962962968794E-4</v>
      </c>
      <c r="K57" s="217" t="s">
        <v>371</v>
      </c>
      <c r="R57" s="217"/>
      <c r="S57" s="44"/>
      <c r="T57" s="44"/>
      <c r="U57" s="44"/>
      <c r="V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W57" s="65"/>
      <c r="AX57" s="65"/>
      <c r="AY57" s="65"/>
      <c r="AZ57" s="65"/>
      <c r="BA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</row>
    <row r="58" spans="2:92">
      <c r="B58" s="44"/>
      <c r="C58" s="52">
        <v>0.67739583333333331</v>
      </c>
      <c r="D58" s="52">
        <v>0.68099537037037028</v>
      </c>
      <c r="E58" s="44">
        <f t="shared" si="85"/>
        <v>3.5995370370369706E-3</v>
      </c>
      <c r="F58" s="217"/>
      <c r="G58" s="65"/>
      <c r="H58" s="44">
        <v>0.37290509259259258</v>
      </c>
      <c r="I58" s="44">
        <v>0.3732638888888889</v>
      </c>
      <c r="J58" s="44">
        <f t="shared" si="84"/>
        <v>3.5879629629631538E-4</v>
      </c>
      <c r="K58" s="217" t="s">
        <v>372</v>
      </c>
      <c r="R58" s="217"/>
      <c r="S58" s="44"/>
      <c r="T58" s="259"/>
      <c r="U58" s="44"/>
      <c r="V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W58" s="65"/>
      <c r="AX58" s="65"/>
      <c r="AY58" s="65"/>
      <c r="AZ58" s="65"/>
      <c r="BA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</row>
    <row r="59" spans="2:92">
      <c r="B59" s="66"/>
      <c r="C59" s="67">
        <v>0.71302083333333333</v>
      </c>
      <c r="D59" s="67">
        <v>0.72554398148148147</v>
      </c>
      <c r="E59" s="44">
        <f t="shared" si="85"/>
        <v>1.2523148148148144E-2</v>
      </c>
      <c r="F59" s="219"/>
      <c r="G59" s="65"/>
      <c r="H59" s="127">
        <v>0.47129629629629632</v>
      </c>
      <c r="I59" s="44">
        <v>0.47180555555555559</v>
      </c>
      <c r="J59" s="44">
        <f t="shared" si="84"/>
        <v>5.0925925925926485E-4</v>
      </c>
      <c r="K59" s="217" t="s">
        <v>373</v>
      </c>
      <c r="R59" s="217"/>
      <c r="S59" s="44"/>
      <c r="T59" s="44"/>
      <c r="U59" s="44"/>
      <c r="V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W59" s="65"/>
      <c r="AX59" s="65"/>
      <c r="AY59" s="65"/>
      <c r="AZ59" s="65"/>
      <c r="BA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</row>
    <row r="60" spans="2:92">
      <c r="B60" s="58"/>
      <c r="C60" s="44">
        <v>0.72690972222222217</v>
      </c>
      <c r="D60" s="44">
        <v>0.72726851851851848</v>
      </c>
      <c r="E60" s="44">
        <f t="shared" si="85"/>
        <v>3.5879629629631538E-4</v>
      </c>
      <c r="F60" s="217"/>
      <c r="G60" s="65"/>
      <c r="H60" s="44">
        <v>0.51145833333333335</v>
      </c>
      <c r="I60" s="52">
        <v>0.51192129629629635</v>
      </c>
      <c r="J60" s="44">
        <f t="shared" si="84"/>
        <v>4.6296296296299833E-4</v>
      </c>
      <c r="K60" s="217" t="s">
        <v>375</v>
      </c>
      <c r="R60" s="217"/>
      <c r="S60" s="44"/>
      <c r="T60" s="259"/>
      <c r="U60" s="44"/>
      <c r="V60" s="65"/>
      <c r="AB60" s="65"/>
      <c r="AC60" s="65"/>
      <c r="AD60" s="217"/>
      <c r="AE60" s="65"/>
      <c r="AF60" s="65"/>
      <c r="AG60" s="65"/>
      <c r="AH60" s="65"/>
      <c r="AI60" s="65"/>
      <c r="AJ60" s="65"/>
      <c r="AK60" s="65"/>
      <c r="AW60" s="65"/>
      <c r="AX60" s="65"/>
      <c r="AY60" s="65"/>
      <c r="AZ60" s="65"/>
      <c r="BA60" s="52"/>
      <c r="BB60" s="52"/>
      <c r="BC60" s="44"/>
      <c r="BD60" s="44"/>
      <c r="BE60" s="65"/>
      <c r="BF60" s="59"/>
      <c r="BG60" s="59"/>
      <c r="BH60" s="44"/>
      <c r="BI60" s="65"/>
      <c r="BJ60" s="65"/>
      <c r="BK60" s="65"/>
    </row>
    <row r="61" spans="2:92">
      <c r="B61" s="44"/>
      <c r="C61" s="44">
        <v>0.74829861111111118</v>
      </c>
      <c r="D61" s="127">
        <v>0.74874999999999992</v>
      </c>
      <c r="E61" s="44">
        <f t="shared" si="85"/>
        <v>4.5138888888873741E-4</v>
      </c>
      <c r="F61" s="217"/>
      <c r="G61" s="65"/>
      <c r="H61" s="47">
        <v>0.5145601851851852</v>
      </c>
      <c r="I61" s="68">
        <v>0.52133101851851849</v>
      </c>
      <c r="J61" s="47">
        <f t="shared" si="84"/>
        <v>6.7708333333332815E-3</v>
      </c>
      <c r="K61" s="217" t="s">
        <v>374</v>
      </c>
      <c r="R61" s="217"/>
      <c r="S61" s="44"/>
      <c r="T61" s="65"/>
      <c r="U61" s="65"/>
      <c r="V61" s="65"/>
      <c r="AB61" s="65"/>
      <c r="AC61" s="65"/>
      <c r="AD61" s="217"/>
      <c r="AE61" s="65"/>
      <c r="AF61" s="65"/>
      <c r="AG61" s="65"/>
      <c r="AH61" s="65"/>
      <c r="AI61" s="65"/>
      <c r="AJ61" s="65"/>
      <c r="AK61" s="65"/>
      <c r="AW61" s="65"/>
      <c r="AX61" s="65"/>
      <c r="AY61" s="65"/>
      <c r="AZ61" s="65"/>
      <c r="BA61" s="52"/>
      <c r="BB61" s="52"/>
      <c r="BC61" s="44"/>
      <c r="BD61" s="44"/>
      <c r="BE61" s="65"/>
      <c r="BF61" s="72"/>
      <c r="BG61" s="72"/>
      <c r="BH61" s="73"/>
      <c r="BI61" s="44"/>
      <c r="BJ61" s="65"/>
      <c r="BK61" s="65"/>
    </row>
    <row r="62" spans="2:92">
      <c r="B62" s="44"/>
      <c r="C62" s="44">
        <v>0.77128472222222222</v>
      </c>
      <c r="D62" s="44">
        <v>0.78004629629629629</v>
      </c>
      <c r="E62" s="44">
        <f t="shared" si="85"/>
        <v>8.7615740740740744E-3</v>
      </c>
      <c r="F62" s="217"/>
      <c r="G62" s="65"/>
      <c r="H62" s="44">
        <v>0.56519675925925927</v>
      </c>
      <c r="I62" s="52">
        <v>0.56550925925925932</v>
      </c>
      <c r="J62" s="44">
        <f t="shared" si="84"/>
        <v>3.1250000000004885E-4</v>
      </c>
      <c r="K62" s="217" t="s">
        <v>377</v>
      </c>
      <c r="M62" s="217"/>
      <c r="N62" s="44"/>
      <c r="O62" s="65"/>
      <c r="P62" s="65"/>
      <c r="Q62" s="65"/>
      <c r="R62" s="217"/>
      <c r="S62" s="44"/>
      <c r="T62" s="65"/>
      <c r="U62" s="65"/>
      <c r="V62" s="65"/>
      <c r="AB62" s="65"/>
      <c r="AC62" s="65"/>
      <c r="AD62" s="217"/>
      <c r="AE62" s="65"/>
      <c r="AF62" s="65"/>
      <c r="AG62" s="65"/>
      <c r="AH62" s="65"/>
      <c r="AI62" s="65"/>
      <c r="AJ62" s="65"/>
      <c r="AK62" s="65"/>
      <c r="AW62" s="65"/>
      <c r="AX62" s="65"/>
      <c r="AY62" s="65"/>
      <c r="AZ62" s="65"/>
      <c r="BA62" s="52"/>
      <c r="BB62" s="52"/>
      <c r="BC62" s="44"/>
      <c r="BD62" s="44"/>
      <c r="BE62" s="65"/>
      <c r="BF62" s="72"/>
      <c r="BG62" s="72"/>
      <c r="BH62" s="73"/>
      <c r="BI62" s="65"/>
      <c r="BJ62" s="65"/>
      <c r="BK62" s="65"/>
    </row>
    <row r="63" spans="2:92">
      <c r="B63" s="44"/>
      <c r="C63" s="52">
        <v>0.78828703703703706</v>
      </c>
      <c r="D63" s="52">
        <v>0.78870370370370368</v>
      </c>
      <c r="E63" s="44">
        <f t="shared" si="85"/>
        <v>4.1666666666662078E-4</v>
      </c>
      <c r="F63" s="217">
        <v>92</v>
      </c>
      <c r="G63" s="65"/>
      <c r="H63" s="52">
        <v>0.60438657407407403</v>
      </c>
      <c r="I63" s="52">
        <v>0.60478009259259258</v>
      </c>
      <c r="J63" s="44">
        <f t="shared" si="84"/>
        <v>3.9351851851854303E-4</v>
      </c>
      <c r="K63" s="217" t="s">
        <v>378</v>
      </c>
      <c r="M63" s="217"/>
      <c r="N63" s="65"/>
      <c r="Q63" s="65"/>
      <c r="R63" s="217"/>
      <c r="S63" s="65"/>
      <c r="V63" s="65"/>
      <c r="AB63" s="65"/>
      <c r="AC63" s="65"/>
      <c r="AD63" s="217"/>
      <c r="AE63" s="65"/>
      <c r="AF63" s="65"/>
      <c r="AG63" s="65"/>
      <c r="AH63" s="65"/>
      <c r="AI63" s="65"/>
      <c r="AJ63" s="65"/>
      <c r="AK63" s="65"/>
      <c r="AW63" s="65"/>
      <c r="AX63" s="65"/>
      <c r="AY63" s="65"/>
      <c r="AZ63" s="65"/>
      <c r="BA63" s="52"/>
      <c r="BB63" s="52"/>
      <c r="BC63" s="44"/>
      <c r="BD63" s="44"/>
      <c r="BE63" s="65"/>
      <c r="BF63" s="72"/>
      <c r="BG63" s="72"/>
      <c r="BH63" s="73"/>
      <c r="BI63" s="65"/>
      <c r="BJ63" s="65"/>
      <c r="BK63" s="65"/>
    </row>
    <row r="64" spans="2:92">
      <c r="B64" s="44"/>
      <c r="C64" s="52">
        <v>0.81017361111111119</v>
      </c>
      <c r="D64" s="52">
        <v>0.81065972222222227</v>
      </c>
      <c r="E64" s="44">
        <f t="shared" si="85"/>
        <v>4.8611111111107608E-4</v>
      </c>
      <c r="F64" s="217">
        <v>93</v>
      </c>
      <c r="G64" s="65"/>
      <c r="H64" s="52">
        <v>0.65417824074074071</v>
      </c>
      <c r="I64" s="52">
        <v>0.65474537037037039</v>
      </c>
      <c r="J64" s="44">
        <f t="shared" si="84"/>
        <v>5.6712962962968128E-4</v>
      </c>
      <c r="K64" s="217" t="s">
        <v>379</v>
      </c>
      <c r="S64" s="65"/>
      <c r="T64" s="217"/>
      <c r="U64" s="52"/>
      <c r="V64" s="44"/>
      <c r="W64" s="217"/>
      <c r="X64" s="65"/>
      <c r="Y64" s="65"/>
      <c r="Z64" s="65"/>
      <c r="AA64" s="65"/>
      <c r="AB64" s="65"/>
      <c r="AC64" s="65"/>
      <c r="AD64" s="217"/>
      <c r="AE64" s="65"/>
      <c r="AF64" s="65"/>
      <c r="AG64" s="65"/>
      <c r="AH64" s="65"/>
      <c r="AI64" s="65"/>
      <c r="AJ64" s="65"/>
      <c r="AK64" s="65"/>
      <c r="AW64" s="65"/>
      <c r="AX64" s="65"/>
      <c r="AY64" s="65"/>
      <c r="AZ64" s="65"/>
      <c r="BA64" s="52"/>
      <c r="BB64" s="52"/>
      <c r="BC64" s="44"/>
      <c r="BD64" s="44"/>
      <c r="BE64" s="65"/>
      <c r="BF64" s="72"/>
      <c r="BG64" s="72"/>
      <c r="BH64" s="73"/>
      <c r="BI64" s="65"/>
      <c r="BJ64" s="65"/>
      <c r="BK64" s="65"/>
    </row>
    <row r="65" spans="2:63">
      <c r="B65" s="44"/>
      <c r="C65" s="52">
        <v>0.82046296296296306</v>
      </c>
      <c r="D65" s="52">
        <v>0.82399305555555558</v>
      </c>
      <c r="E65" s="44">
        <f t="shared" si="85"/>
        <v>3.5300925925925153E-3</v>
      </c>
      <c r="F65" s="217" t="s">
        <v>214</v>
      </c>
      <c r="G65" s="65"/>
      <c r="H65" s="52">
        <v>0.65828703703703706</v>
      </c>
      <c r="I65" s="52">
        <v>0.65873842592592591</v>
      </c>
      <c r="J65" s="44">
        <f t="shared" si="84"/>
        <v>4.5138888888884843E-4</v>
      </c>
      <c r="K65" s="217" t="s">
        <v>379</v>
      </c>
      <c r="S65" s="65"/>
      <c r="T65" s="217"/>
      <c r="U65" s="52"/>
      <c r="V65" s="44"/>
      <c r="W65" s="217"/>
      <c r="X65" s="65"/>
      <c r="Y65" s="65"/>
      <c r="Z65" s="65"/>
      <c r="AA65" s="65"/>
      <c r="AB65" s="65"/>
      <c r="AC65" s="65"/>
      <c r="AD65" s="217"/>
      <c r="AE65" s="65"/>
      <c r="AF65" s="65"/>
      <c r="AG65" s="65"/>
      <c r="AH65" s="65"/>
      <c r="AI65" s="65"/>
      <c r="AJ65" s="65"/>
      <c r="AK65" s="65"/>
      <c r="AW65" s="65"/>
      <c r="AX65" s="65"/>
      <c r="AY65" s="65"/>
      <c r="AZ65" s="65"/>
      <c r="BA65" s="52"/>
      <c r="BB65" s="52"/>
      <c r="BC65" s="44"/>
      <c r="BD65" s="44"/>
      <c r="BE65" s="65"/>
      <c r="BF65" s="72"/>
      <c r="BG65" s="72"/>
      <c r="BH65" s="73"/>
      <c r="BI65" s="65"/>
      <c r="BJ65" s="65"/>
      <c r="BK65" s="65"/>
    </row>
    <row r="66" spans="2:63">
      <c r="B66" s="44"/>
      <c r="C66" s="52">
        <v>0.83996527777777785</v>
      </c>
      <c r="D66" s="52">
        <v>0.85031249999999992</v>
      </c>
      <c r="E66" s="44">
        <f t="shared" si="85"/>
        <v>1.0347222222222063E-2</v>
      </c>
      <c r="F66" s="217" t="s">
        <v>216</v>
      </c>
      <c r="G66" s="65"/>
      <c r="H66" s="52">
        <v>0.6678587962962963</v>
      </c>
      <c r="I66" s="52">
        <v>0.67765046296296294</v>
      </c>
      <c r="J66" s="44">
        <f t="shared" si="84"/>
        <v>9.791666666666643E-3</v>
      </c>
      <c r="K66" s="217" t="s">
        <v>381</v>
      </c>
      <c r="S66" s="65"/>
      <c r="T66" s="217"/>
      <c r="U66" s="52"/>
      <c r="V66" s="44"/>
      <c r="W66" s="217"/>
      <c r="X66" s="65"/>
      <c r="Y66" s="65"/>
      <c r="Z66" s="65"/>
      <c r="AA66" s="65"/>
      <c r="AB66" s="65"/>
      <c r="AC66" s="65"/>
      <c r="AD66" s="217"/>
      <c r="AE66" s="65"/>
      <c r="AF66" s="65"/>
      <c r="AG66" s="65"/>
      <c r="AH66" s="65"/>
      <c r="AI66" s="65"/>
      <c r="AJ66" s="65"/>
      <c r="AK66" s="65"/>
      <c r="AW66" s="65"/>
      <c r="AX66" s="65"/>
      <c r="AY66" s="65"/>
      <c r="AZ66" s="65"/>
      <c r="BA66" s="52"/>
      <c r="BB66" s="52"/>
      <c r="BC66" s="44"/>
      <c r="BD66" s="44"/>
      <c r="BE66" s="65"/>
      <c r="BF66" s="72"/>
      <c r="BG66" s="72"/>
      <c r="BH66" s="73"/>
      <c r="BI66" s="65"/>
      <c r="BJ66" s="65"/>
      <c r="BK66" s="65"/>
    </row>
    <row r="67" spans="2:63">
      <c r="B67" s="44"/>
      <c r="C67" s="52">
        <v>0.86717592592592585</v>
      </c>
      <c r="D67" s="52">
        <v>0.87578703703703698</v>
      </c>
      <c r="E67" s="44">
        <f t="shared" si="85"/>
        <v>8.6111111111111249E-3</v>
      </c>
      <c r="F67" s="217" t="s">
        <v>217</v>
      </c>
      <c r="G67" s="65"/>
      <c r="H67" s="52">
        <v>0.68461805555555555</v>
      </c>
      <c r="I67" s="52">
        <v>0.68500000000000005</v>
      </c>
      <c r="J67" s="44">
        <f t="shared" si="84"/>
        <v>3.8194444444450415E-4</v>
      </c>
      <c r="K67" s="217" t="s">
        <v>380</v>
      </c>
      <c r="S67" s="65"/>
      <c r="T67" s="217"/>
      <c r="U67" s="52"/>
      <c r="V67" s="44"/>
      <c r="W67" s="217"/>
      <c r="X67" s="65"/>
      <c r="Y67" s="65"/>
      <c r="Z67" s="65"/>
      <c r="AA67" s="65"/>
      <c r="AB67" s="65"/>
      <c r="AC67" s="65"/>
      <c r="AD67" s="217"/>
      <c r="AE67" s="65"/>
      <c r="AF67" s="65"/>
      <c r="AG67" s="65"/>
      <c r="AH67" s="65"/>
      <c r="AI67" s="65"/>
      <c r="AJ67" s="65"/>
      <c r="AK67" s="65"/>
      <c r="AW67" s="65"/>
      <c r="AX67" s="65"/>
      <c r="AY67" s="65"/>
      <c r="AZ67" s="65"/>
      <c r="BA67" s="52"/>
      <c r="BB67" s="52"/>
      <c r="BC67" s="44"/>
      <c r="BD67" s="44"/>
      <c r="BE67" s="65"/>
      <c r="BF67" s="72"/>
      <c r="BG67" s="72"/>
      <c r="BH67" s="73"/>
      <c r="BI67" s="65"/>
      <c r="BJ67" s="65"/>
      <c r="BK67" s="65"/>
    </row>
    <row r="68" spans="2:63">
      <c r="B68" s="66"/>
      <c r="C68" s="67">
        <v>0.87964120370370369</v>
      </c>
      <c r="D68" s="67">
        <v>0.88001157407407404</v>
      </c>
      <c r="E68" s="44">
        <f t="shared" si="85"/>
        <v>3.7037037037035425E-4</v>
      </c>
      <c r="F68" s="217" t="s">
        <v>218</v>
      </c>
      <c r="G68" s="65"/>
      <c r="H68" s="52">
        <v>0.74430555555555555</v>
      </c>
      <c r="I68" s="69">
        <v>0.74464120370370368</v>
      </c>
      <c r="J68" s="44">
        <f t="shared" si="84"/>
        <v>3.356481481481266E-4</v>
      </c>
      <c r="K68" s="217" t="s">
        <v>382</v>
      </c>
      <c r="S68" s="65"/>
      <c r="T68" s="217"/>
      <c r="U68" s="52"/>
      <c r="V68" s="44"/>
      <c r="W68" s="217"/>
      <c r="X68" s="65"/>
      <c r="Y68" s="65"/>
      <c r="Z68" s="65"/>
      <c r="AA68" s="65"/>
      <c r="AB68" s="65"/>
      <c r="AC68" s="65"/>
      <c r="AD68" s="217"/>
      <c r="AE68" s="65"/>
      <c r="AF68" s="65"/>
      <c r="AG68" s="65"/>
      <c r="AH68" s="65"/>
      <c r="AI68" s="65"/>
      <c r="AJ68" s="65"/>
      <c r="AK68" s="65"/>
      <c r="AW68" s="65"/>
      <c r="AX68" s="65"/>
      <c r="AY68" s="65"/>
      <c r="AZ68" s="65"/>
      <c r="BA68" s="65"/>
      <c r="BB68" s="65"/>
      <c r="BC68" s="65"/>
      <c r="BD68" s="65"/>
      <c r="BE68" s="65"/>
      <c r="BF68" s="72"/>
      <c r="BG68" s="72"/>
      <c r="BH68" s="73"/>
      <c r="BI68" s="65"/>
      <c r="BJ68" s="65"/>
      <c r="BK68" s="65"/>
    </row>
    <row r="69" spans="2:63">
      <c r="B69" s="58"/>
      <c r="C69" s="44">
        <v>0.88052083333333331</v>
      </c>
      <c r="D69" s="44">
        <v>0.88913194444444443</v>
      </c>
      <c r="E69" s="44">
        <f t="shared" si="85"/>
        <v>8.6111111111111249E-3</v>
      </c>
      <c r="F69" s="217" t="s">
        <v>219</v>
      </c>
      <c r="G69" s="65"/>
      <c r="H69" s="52">
        <v>0.76356481481481486</v>
      </c>
      <c r="I69" s="52">
        <v>0.76395833333333341</v>
      </c>
      <c r="J69" s="44">
        <f t="shared" si="84"/>
        <v>3.9351851851854303E-4</v>
      </c>
      <c r="K69" s="217" t="s">
        <v>383</v>
      </c>
      <c r="S69" s="65"/>
      <c r="T69" s="217"/>
      <c r="U69" s="52"/>
      <c r="V69" s="44"/>
      <c r="W69" s="217"/>
      <c r="X69" s="65"/>
      <c r="Y69" s="65"/>
      <c r="Z69" s="65"/>
      <c r="AA69" s="65"/>
      <c r="AB69" s="65"/>
      <c r="AC69" s="65"/>
      <c r="AD69" s="217"/>
      <c r="AE69" s="65"/>
      <c r="AF69" s="65"/>
      <c r="AG69" s="65"/>
      <c r="AH69" s="65"/>
      <c r="AI69" s="65"/>
      <c r="AJ69" s="65"/>
      <c r="AK69" s="65"/>
      <c r="AW69" s="65"/>
      <c r="AX69" s="65"/>
      <c r="AY69" s="65"/>
      <c r="AZ69" s="65"/>
      <c r="BA69" s="65"/>
      <c r="BB69" s="65"/>
      <c r="BC69" s="65"/>
      <c r="BD69" s="65"/>
      <c r="BE69" s="65"/>
      <c r="BF69" s="72"/>
      <c r="BG69" s="72"/>
      <c r="BH69" s="73"/>
      <c r="BI69" s="65"/>
      <c r="BJ69" s="65"/>
      <c r="BK69" s="65"/>
    </row>
    <row r="70" spans="2:63">
      <c r="B70" s="44"/>
      <c r="C70" s="52">
        <v>0.93987268518518519</v>
      </c>
      <c r="D70" s="52">
        <v>0.94021990740740735</v>
      </c>
      <c r="E70" s="44">
        <f t="shared" si="85"/>
        <v>3.4722222222216548E-4</v>
      </c>
      <c r="F70" s="217" t="s">
        <v>221</v>
      </c>
      <c r="G70" s="65"/>
      <c r="H70" s="52">
        <v>0.76663194444444438</v>
      </c>
      <c r="I70" s="52">
        <v>0.76688657407407401</v>
      </c>
      <c r="J70" s="44">
        <f t="shared" si="84"/>
        <v>2.5462962962963243E-4</v>
      </c>
      <c r="K70" s="217" t="s">
        <v>383</v>
      </c>
      <c r="S70" s="65"/>
      <c r="T70" s="217"/>
      <c r="U70" s="52"/>
      <c r="V70" s="44"/>
      <c r="W70" s="217"/>
      <c r="X70" s="65"/>
      <c r="Y70" s="65"/>
      <c r="Z70" s="65"/>
      <c r="AA70" s="65"/>
      <c r="AB70" s="65"/>
      <c r="AC70" s="65"/>
      <c r="AD70" s="217"/>
      <c r="AE70" s="65"/>
      <c r="AF70" s="65"/>
      <c r="AG70" s="65"/>
      <c r="AH70" s="65"/>
      <c r="AI70" s="65"/>
      <c r="AJ70" s="65"/>
      <c r="AK70" s="65"/>
      <c r="AW70" s="65"/>
      <c r="AX70" s="65"/>
      <c r="AY70" s="65"/>
      <c r="AZ70" s="65"/>
      <c r="BA70" s="65"/>
      <c r="BB70" s="65"/>
      <c r="BC70" s="65"/>
      <c r="BD70" s="65"/>
      <c r="BE70" s="65"/>
      <c r="BF70" s="72"/>
      <c r="BG70" s="72"/>
      <c r="BH70" s="73"/>
      <c r="BI70" s="65"/>
      <c r="BJ70" s="65"/>
      <c r="BK70" s="65"/>
    </row>
    <row r="71" spans="2:63">
      <c r="B71" s="58"/>
      <c r="C71" s="52">
        <v>0.94315972222222222</v>
      </c>
      <c r="D71" s="52">
        <v>0.94398148148148142</v>
      </c>
      <c r="E71" s="44">
        <f t="shared" si="85"/>
        <v>8.2175925925920268E-4</v>
      </c>
      <c r="F71" s="217" t="s">
        <v>221</v>
      </c>
      <c r="G71" s="65"/>
      <c r="H71" s="52">
        <v>0.76714120370370376</v>
      </c>
      <c r="I71" s="52">
        <v>0.76765046296296291</v>
      </c>
      <c r="J71" s="44">
        <f t="shared" si="84"/>
        <v>5.0925925925915383E-4</v>
      </c>
      <c r="K71" s="217" t="s">
        <v>383</v>
      </c>
      <c r="S71" s="65"/>
      <c r="T71" s="217"/>
      <c r="W71" s="217"/>
      <c r="X71" s="65"/>
      <c r="Y71" s="65"/>
      <c r="Z71" s="65"/>
      <c r="AA71" s="65"/>
      <c r="AB71" s="65"/>
      <c r="AC71" s="65"/>
      <c r="AD71" s="217"/>
      <c r="AE71" s="65"/>
      <c r="AF71" s="65"/>
      <c r="AG71" s="65"/>
      <c r="AH71" s="65"/>
      <c r="AI71" s="65"/>
      <c r="AJ71" s="65"/>
      <c r="AK71" s="65"/>
      <c r="AW71" s="65"/>
      <c r="AX71" s="65"/>
      <c r="AY71" s="65"/>
      <c r="AZ71" s="65"/>
      <c r="BA71" s="65"/>
      <c r="BB71" s="65"/>
      <c r="BC71" s="65"/>
      <c r="BD71" s="65"/>
      <c r="BE71" s="65"/>
      <c r="BF71" s="72"/>
      <c r="BG71" s="72"/>
      <c r="BH71" s="73"/>
      <c r="BI71" s="65"/>
      <c r="BJ71" s="65"/>
      <c r="BK71" s="65"/>
    </row>
    <row r="72" spans="2:63">
      <c r="B72" s="44"/>
      <c r="C72" s="52">
        <v>0.96239583333333334</v>
      </c>
      <c r="D72" s="52">
        <v>0.96289351851851857</v>
      </c>
      <c r="E72" s="44">
        <f t="shared" si="85"/>
        <v>4.9768518518522598E-4</v>
      </c>
      <c r="F72" s="217" t="s">
        <v>222</v>
      </c>
      <c r="G72" s="65"/>
      <c r="H72" s="52">
        <v>0.79693287037037042</v>
      </c>
      <c r="I72" s="52">
        <v>0.79729166666666673</v>
      </c>
      <c r="J72" s="44">
        <f t="shared" si="84"/>
        <v>3.5879629629631538E-4</v>
      </c>
      <c r="K72" s="217" t="s">
        <v>383</v>
      </c>
      <c r="S72" s="65"/>
      <c r="T72" s="217"/>
      <c r="U72" s="65"/>
      <c r="V72" s="65"/>
      <c r="W72" s="217"/>
      <c r="X72" s="65"/>
      <c r="Y72" s="65"/>
      <c r="Z72" s="65"/>
      <c r="AA72" s="65"/>
      <c r="AB72" s="65"/>
      <c r="AC72" s="65"/>
      <c r="AD72" s="217"/>
      <c r="AE72" s="65"/>
      <c r="AF72" s="65"/>
      <c r="AG72" s="65"/>
      <c r="AH72" s="65"/>
      <c r="AI72" s="65"/>
      <c r="AJ72" s="65"/>
      <c r="AK72" s="65"/>
      <c r="AW72" s="65"/>
      <c r="AX72" s="65"/>
      <c r="AY72" s="65"/>
      <c r="AZ72" s="65"/>
      <c r="BA72" s="65"/>
      <c r="BB72" s="65"/>
      <c r="BC72" s="65"/>
      <c r="BD72" s="65"/>
      <c r="BE72" s="65"/>
      <c r="BF72" s="72"/>
      <c r="BG72" s="72"/>
      <c r="BH72" s="73"/>
      <c r="BI72" s="65"/>
      <c r="BJ72" s="65"/>
      <c r="BK72" s="65"/>
    </row>
    <row r="73" spans="2:63">
      <c r="B73" s="44"/>
      <c r="C73" s="52">
        <v>0.96422453703703714</v>
      </c>
      <c r="D73" s="52">
        <v>0.9712615740740741</v>
      </c>
      <c r="E73" s="44">
        <f t="shared" si="85"/>
        <v>7.0370370370369528E-3</v>
      </c>
      <c r="F73" s="217" t="s">
        <v>223</v>
      </c>
      <c r="H73" s="52">
        <v>0.82486111111111116</v>
      </c>
      <c r="I73" s="52">
        <v>0.82520833333333332</v>
      </c>
      <c r="J73" s="44">
        <f t="shared" si="84"/>
        <v>3.4722222222216548E-4</v>
      </c>
      <c r="K73" s="217" t="s">
        <v>384</v>
      </c>
      <c r="S73" s="65"/>
      <c r="T73" s="217"/>
      <c r="U73" s="65"/>
      <c r="V73" s="65"/>
      <c r="W73" s="217"/>
      <c r="X73" s="65"/>
      <c r="Y73" s="65"/>
      <c r="Z73" s="65"/>
      <c r="AA73" s="65"/>
      <c r="AB73" s="65"/>
      <c r="AC73" s="65"/>
      <c r="AD73" s="217"/>
      <c r="AE73" s="65"/>
      <c r="AF73" s="65"/>
      <c r="AG73" s="65"/>
      <c r="AH73" s="65"/>
      <c r="AI73" s="65"/>
      <c r="AJ73" s="65"/>
      <c r="AK73" s="65"/>
      <c r="AW73" s="65"/>
      <c r="AX73" s="65"/>
      <c r="AY73" s="65"/>
      <c r="AZ73" s="65"/>
      <c r="BA73" s="65"/>
      <c r="BB73" s="65"/>
      <c r="BC73" s="65"/>
      <c r="BD73" s="65"/>
      <c r="BE73" s="65"/>
      <c r="BF73" s="72"/>
      <c r="BG73" s="72"/>
      <c r="BH73" s="73"/>
      <c r="BI73" s="65"/>
      <c r="BJ73" s="65"/>
      <c r="BK73" s="65"/>
    </row>
    <row r="74" spans="2:63">
      <c r="B74" s="44"/>
      <c r="C74" s="52">
        <v>0.97627314814814825</v>
      </c>
      <c r="D74" s="52">
        <v>0.983912037037037</v>
      </c>
      <c r="E74" s="44">
        <f t="shared" si="85"/>
        <v>7.6388888888887507E-3</v>
      </c>
      <c r="F74" s="217" t="s">
        <v>224</v>
      </c>
      <c r="H74" s="52">
        <v>0.83335648148148145</v>
      </c>
      <c r="I74" s="52">
        <v>0.8470833333333333</v>
      </c>
      <c r="J74" s="44">
        <f t="shared" si="84"/>
        <v>1.3726851851851851E-2</v>
      </c>
      <c r="K74" s="217" t="s">
        <v>384</v>
      </c>
      <c r="S74" s="65"/>
      <c r="T74" s="217"/>
      <c r="U74" s="65"/>
      <c r="V74" s="65"/>
      <c r="W74" s="217"/>
      <c r="X74" s="65"/>
      <c r="Y74" s="65"/>
      <c r="Z74" s="65"/>
      <c r="AA74" s="65"/>
      <c r="AB74" s="65"/>
      <c r="AC74" s="65"/>
      <c r="AD74" s="217"/>
      <c r="AE74" s="65"/>
      <c r="AF74" s="65"/>
      <c r="AG74" s="65"/>
      <c r="AH74" s="65"/>
      <c r="AI74" s="65"/>
      <c r="AJ74" s="65"/>
      <c r="AK74" s="65"/>
      <c r="AW74" s="65"/>
      <c r="AX74" s="65"/>
      <c r="AY74" s="65"/>
      <c r="AZ74" s="65"/>
      <c r="BA74" s="65"/>
      <c r="BB74" s="65"/>
      <c r="BC74" s="65"/>
      <c r="BD74" s="65"/>
      <c r="BE74" s="65"/>
      <c r="BF74" s="72"/>
      <c r="BG74" s="72"/>
      <c r="BH74" s="73"/>
      <c r="BI74" s="65"/>
      <c r="BJ74" s="65"/>
      <c r="BK74" s="65"/>
    </row>
    <row r="75" spans="2:63">
      <c r="B75" s="44"/>
      <c r="C75" s="52"/>
      <c r="D75" s="222" t="s">
        <v>70</v>
      </c>
      <c r="E75" s="223">
        <f>SUM(E49:E74)</f>
        <v>0.14743055555555473</v>
      </c>
      <c r="F75" s="217"/>
      <c r="H75" s="52">
        <v>0.89179398148148159</v>
      </c>
      <c r="I75" s="52">
        <v>0.89207175925925919</v>
      </c>
      <c r="J75" s="44">
        <f t="shared" si="84"/>
        <v>2.7777777777759916E-4</v>
      </c>
      <c r="K75" s="217" t="s">
        <v>385</v>
      </c>
      <c r="M75" s="12" t="s">
        <v>0</v>
      </c>
      <c r="N75" s="11" t="s">
        <v>14</v>
      </c>
      <c r="O75" s="11" t="s">
        <v>15</v>
      </c>
      <c r="P75" s="11" t="s">
        <v>16</v>
      </c>
      <c r="Q75" s="216"/>
      <c r="R75" s="12" t="s">
        <v>0</v>
      </c>
      <c r="S75" s="11" t="s">
        <v>14</v>
      </c>
      <c r="T75" s="11" t="s">
        <v>15</v>
      </c>
      <c r="U75" s="11" t="s">
        <v>16</v>
      </c>
      <c r="V75" s="11"/>
      <c r="W75" s="12" t="s">
        <v>0</v>
      </c>
      <c r="X75" s="11" t="s">
        <v>14</v>
      </c>
      <c r="Y75" s="11" t="s">
        <v>15</v>
      </c>
      <c r="Z75" s="11" t="s">
        <v>16</v>
      </c>
      <c r="AA75" s="216"/>
      <c r="AB75" s="12" t="s">
        <v>0</v>
      </c>
      <c r="AC75" s="11" t="s">
        <v>14</v>
      </c>
      <c r="AD75" s="11" t="s">
        <v>15</v>
      </c>
      <c r="AE75" s="11" t="s">
        <v>16</v>
      </c>
      <c r="AF75" s="216"/>
      <c r="AG75" s="12" t="s">
        <v>0</v>
      </c>
      <c r="AH75" s="11" t="s">
        <v>14</v>
      </c>
      <c r="AI75" s="11" t="s">
        <v>15</v>
      </c>
      <c r="AJ75" s="11" t="s">
        <v>16</v>
      </c>
      <c r="AK75" s="216"/>
      <c r="AW75" s="65"/>
      <c r="AX75" s="65"/>
      <c r="AY75" s="65"/>
      <c r="AZ75" s="65"/>
      <c r="BA75" s="65"/>
      <c r="BB75" s="65"/>
      <c r="BC75" s="65"/>
      <c r="BD75" s="65"/>
      <c r="BE75" s="65"/>
      <c r="BF75" s="72"/>
      <c r="BG75" s="72"/>
      <c r="BH75" s="73"/>
      <c r="BI75" s="65"/>
      <c r="BJ75" s="65"/>
      <c r="BK75" s="65"/>
    </row>
    <row r="76" spans="2:63">
      <c r="H76" s="52">
        <v>0.90530092592592604</v>
      </c>
      <c r="I76" s="52">
        <v>0.90579861111111104</v>
      </c>
      <c r="J76" s="44">
        <f t="shared" si="84"/>
        <v>4.9768518518500393E-4</v>
      </c>
      <c r="K76" s="217"/>
      <c r="M76" s="58">
        <v>43134</v>
      </c>
      <c r="N76" s="44">
        <v>3.8217592592592588E-2</v>
      </c>
      <c r="O76" s="44">
        <v>3.8599537037037036E-2</v>
      </c>
      <c r="P76" s="44">
        <f t="shared" ref="P76:P106" si="86">O76-N76</f>
        <v>3.8194444444444864E-4</v>
      </c>
      <c r="Q76" s="217" t="s">
        <v>484</v>
      </c>
      <c r="R76" s="58">
        <v>43137</v>
      </c>
      <c r="S76" s="44">
        <v>1.6018518518518519E-2</v>
      </c>
      <c r="T76" s="44">
        <v>1.650462962962963E-2</v>
      </c>
      <c r="U76" s="44">
        <f t="shared" ref="U76:U105" si="87">T76-S76</f>
        <v>4.8611111111111077E-4</v>
      </c>
      <c r="V76" s="217" t="s">
        <v>558</v>
      </c>
      <c r="W76" s="58">
        <v>43146</v>
      </c>
      <c r="X76" s="44">
        <v>2.6111111111111113E-2</v>
      </c>
      <c r="Y76" s="127">
        <v>3.0300925925925926E-2</v>
      </c>
      <c r="Z76" s="44">
        <f t="shared" ref="Z76:Z109" si="88">Y76-X76</f>
        <v>4.1898148148148129E-3</v>
      </c>
      <c r="AA76" s="249"/>
      <c r="AB76" s="58">
        <v>43149</v>
      </c>
      <c r="AC76" s="44">
        <v>5.0231481481481481E-3</v>
      </c>
      <c r="AD76" s="127">
        <v>5.5439814814814822E-3</v>
      </c>
      <c r="AE76" s="44">
        <f t="shared" ref="AE76:AE130" si="89">AD76-AC76</f>
        <v>5.2083333333333409E-4</v>
      </c>
      <c r="AF76" s="249" t="s">
        <v>743</v>
      </c>
      <c r="AG76" s="58">
        <v>43151</v>
      </c>
      <c r="AH76" s="44">
        <v>4.5277777777777778E-2</v>
      </c>
      <c r="AI76" s="127">
        <v>5.1180555555555556E-2</v>
      </c>
      <c r="AJ76" s="44">
        <f t="shared" ref="AJ76:AJ109" si="90">AI76-AH76</f>
        <v>5.9027777777777776E-3</v>
      </c>
      <c r="AK76" s="249" t="s">
        <v>796</v>
      </c>
      <c r="AW76" s="65"/>
      <c r="AX76" s="65"/>
      <c r="AY76" s="65"/>
      <c r="AZ76" s="65"/>
      <c r="BA76" s="65"/>
      <c r="BB76" s="65"/>
      <c r="BC76" s="65"/>
      <c r="BD76" s="65"/>
      <c r="BE76" s="65"/>
      <c r="BF76" s="72"/>
      <c r="BG76" s="72"/>
      <c r="BH76" s="73"/>
      <c r="BI76" s="65"/>
      <c r="BJ76" s="65"/>
      <c r="BK76" s="65"/>
    </row>
    <row r="77" spans="2:63">
      <c r="B77" s="12" t="s">
        <v>13</v>
      </c>
      <c r="C77" s="11" t="s">
        <v>10</v>
      </c>
      <c r="D77" s="11" t="s">
        <v>11</v>
      </c>
      <c r="E77" s="11" t="s">
        <v>12</v>
      </c>
      <c r="F77" s="216"/>
      <c r="H77" s="52">
        <v>0.91322916666666665</v>
      </c>
      <c r="I77" s="52">
        <v>0.92171296296296301</v>
      </c>
      <c r="J77" s="44">
        <f t="shared" si="84"/>
        <v>8.4837962962963642E-3</v>
      </c>
      <c r="K77" s="217" t="s">
        <v>387</v>
      </c>
      <c r="M77" s="44"/>
      <c r="N77">
        <v>4.071759259259259E-2</v>
      </c>
      <c r="O77" s="44">
        <v>4.5057870370370373E-2</v>
      </c>
      <c r="P77" s="44">
        <f t="shared" si="86"/>
        <v>4.3402777777777832E-3</v>
      </c>
      <c r="Q77" s="217" t="s">
        <v>484</v>
      </c>
      <c r="R77" s="44"/>
      <c r="S77">
        <v>8.5138888888888889E-2</v>
      </c>
      <c r="T77" s="44">
        <v>9.3356481481481471E-2</v>
      </c>
      <c r="U77" s="44">
        <f t="shared" si="87"/>
        <v>8.2175925925925819E-3</v>
      </c>
      <c r="V77" s="217" t="s">
        <v>560</v>
      </c>
      <c r="W77" s="44"/>
      <c r="X77">
        <v>4.5034722222222219E-2</v>
      </c>
      <c r="Y77" s="127">
        <v>5.2164351851851858E-2</v>
      </c>
      <c r="Z77" s="44">
        <f t="shared" si="88"/>
        <v>7.1296296296296385E-3</v>
      </c>
      <c r="AA77" s="215"/>
      <c r="AB77" s="44"/>
      <c r="AC77">
        <v>7.3726851851851861E-3</v>
      </c>
      <c r="AD77" s="127">
        <v>7.719907407407408E-3</v>
      </c>
      <c r="AE77" s="44">
        <f t="shared" si="89"/>
        <v>3.4722222222222186E-4</v>
      </c>
      <c r="AF77" s="249" t="s">
        <v>743</v>
      </c>
      <c r="AG77" s="44"/>
      <c r="AH77">
        <v>9.2824074074074073E-2</v>
      </c>
      <c r="AI77" s="127">
        <v>9.3252314814814816E-2</v>
      </c>
      <c r="AJ77" s="44">
        <f t="shared" si="90"/>
        <v>4.2824074074074292E-4</v>
      </c>
      <c r="AK77" s="249" t="s">
        <v>797</v>
      </c>
      <c r="AL77" s="65"/>
      <c r="AM77" s="65"/>
      <c r="AN77" s="65"/>
      <c r="AO77" s="217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72"/>
      <c r="BG77" s="72"/>
      <c r="BH77" s="73"/>
      <c r="BI77" s="65"/>
      <c r="BJ77" s="65"/>
      <c r="BK77" s="65"/>
    </row>
    <row r="78" spans="2:63">
      <c r="B78" s="58">
        <v>43119</v>
      </c>
      <c r="C78" s="44">
        <v>1.6909722222222225E-2</v>
      </c>
      <c r="D78" s="44">
        <v>1.7384259259259262E-2</v>
      </c>
      <c r="E78" s="44">
        <f>D78-C78</f>
        <v>4.745370370370372E-4</v>
      </c>
      <c r="F78" s="217" t="s">
        <v>225</v>
      </c>
      <c r="H78" s="52">
        <v>0.93783564814814813</v>
      </c>
      <c r="I78" s="52">
        <v>0.93809027777777787</v>
      </c>
      <c r="J78" s="44">
        <f t="shared" si="84"/>
        <v>2.5462962962974345E-4</v>
      </c>
      <c r="K78" s="217" t="s">
        <v>387</v>
      </c>
      <c r="M78" s="44"/>
      <c r="N78" s="44">
        <v>7.5844907407407403E-2</v>
      </c>
      <c r="O78" s="44">
        <v>7.6134259259259263E-2</v>
      </c>
      <c r="P78" s="44">
        <f t="shared" si="86"/>
        <v>2.8935185185186008E-4</v>
      </c>
      <c r="Q78" s="217" t="s">
        <v>485</v>
      </c>
      <c r="R78" s="44"/>
      <c r="S78" s="44">
        <v>9.5486111111111105E-2</v>
      </c>
      <c r="T78" s="44">
        <v>0.18494212962962964</v>
      </c>
      <c r="U78" s="44">
        <f t="shared" si="87"/>
        <v>8.9456018518518532E-2</v>
      </c>
      <c r="V78" s="217" t="s">
        <v>560</v>
      </c>
      <c r="W78" s="44"/>
      <c r="X78" s="127">
        <v>5.3692129629629631E-2</v>
      </c>
      <c r="Y78" s="127">
        <v>5.451388888888889E-2</v>
      </c>
      <c r="Z78" s="44">
        <f t="shared" si="88"/>
        <v>8.2175925925925819E-4</v>
      </c>
      <c r="AA78" s="215"/>
      <c r="AB78" s="44"/>
      <c r="AC78" s="127">
        <v>1.0393518518518519E-2</v>
      </c>
      <c r="AD78" s="127">
        <v>1.0752314814814814E-2</v>
      </c>
      <c r="AE78" s="44">
        <f t="shared" si="89"/>
        <v>3.5879629629629456E-4</v>
      </c>
      <c r="AF78" s="249" t="s">
        <v>743</v>
      </c>
      <c r="AG78" s="44"/>
      <c r="AH78" s="127">
        <v>9.9062499999999998E-2</v>
      </c>
      <c r="AI78" s="127">
        <v>9.9398148148148138E-2</v>
      </c>
      <c r="AJ78" s="44">
        <f t="shared" si="90"/>
        <v>3.3564814814814048E-4</v>
      </c>
      <c r="AK78" s="249" t="s">
        <v>797</v>
      </c>
      <c r="AL78" s="65"/>
      <c r="AM78" s="65"/>
      <c r="AN78" s="65"/>
      <c r="AO78" s="217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59"/>
      <c r="BG78" s="59"/>
      <c r="BH78" s="44"/>
      <c r="BI78" s="65"/>
      <c r="BJ78" s="65"/>
      <c r="BK78" s="65"/>
    </row>
    <row r="79" spans="2:63">
      <c r="B79" s="44"/>
      <c r="C79" s="44">
        <v>1.8402777777777778E-2</v>
      </c>
      <c r="D79" s="44">
        <v>2.5833333333333333E-2</v>
      </c>
      <c r="E79" s="44">
        <f t="shared" ref="E79:E80" si="91">D79-C79</f>
        <v>7.4305555555555548E-3</v>
      </c>
      <c r="F79" s="217" t="s">
        <v>226</v>
      </c>
      <c r="H79" s="52">
        <v>0.97420138888888896</v>
      </c>
      <c r="I79" s="52">
        <v>0.98261574074074076</v>
      </c>
      <c r="J79" s="44">
        <f t="shared" si="84"/>
        <v>8.4143518518517979E-3</v>
      </c>
      <c r="K79" s="217" t="s">
        <v>388</v>
      </c>
      <c r="M79" s="44"/>
      <c r="N79" s="44">
        <v>8.0393518518518517E-2</v>
      </c>
      <c r="O79" s="44">
        <v>8.0787037037037032E-2</v>
      </c>
      <c r="P79" s="44">
        <f t="shared" si="86"/>
        <v>3.9351851851851527E-4</v>
      </c>
      <c r="Q79" s="217" t="s">
        <v>485</v>
      </c>
      <c r="R79" s="44"/>
      <c r="S79" s="127">
        <v>0.20118055555555556</v>
      </c>
      <c r="T79" s="44">
        <v>0.20162037037037037</v>
      </c>
      <c r="U79" s="44">
        <f t="shared" si="87"/>
        <v>4.3981481481480955E-4</v>
      </c>
      <c r="V79" s="217" t="s">
        <v>560</v>
      </c>
      <c r="W79" s="44"/>
      <c r="X79" s="127">
        <v>6.4166666666666664E-2</v>
      </c>
      <c r="Y79" s="127">
        <v>6.5671296296296297E-2</v>
      </c>
      <c r="Z79" s="44">
        <f t="shared" si="88"/>
        <v>1.5046296296296335E-3</v>
      </c>
      <c r="AA79" s="215" t="s">
        <v>665</v>
      </c>
      <c r="AB79" s="44"/>
      <c r="AC79" s="127">
        <v>1.2534722222222223E-2</v>
      </c>
      <c r="AD79" s="127">
        <v>1.2997685185185183E-2</v>
      </c>
      <c r="AE79" s="44">
        <f t="shared" si="89"/>
        <v>4.6296296296296016E-4</v>
      </c>
      <c r="AF79" s="249" t="s">
        <v>743</v>
      </c>
      <c r="AG79" s="44"/>
      <c r="AH79" s="127">
        <v>0.11041666666666666</v>
      </c>
      <c r="AI79" s="127">
        <v>0.11065972222222221</v>
      </c>
      <c r="AJ79" s="44">
        <f t="shared" si="90"/>
        <v>2.4305555555555192E-4</v>
      </c>
      <c r="AK79" s="249" t="s">
        <v>797</v>
      </c>
      <c r="AL79" s="65"/>
      <c r="AM79" s="65"/>
      <c r="AN79" s="65"/>
      <c r="AO79" s="217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74"/>
      <c r="BG79" s="74"/>
      <c r="BH79" s="75"/>
      <c r="BI79" s="44"/>
      <c r="BJ79" s="65"/>
      <c r="BK79" s="65"/>
    </row>
    <row r="80" spans="2:63">
      <c r="B80" s="44"/>
      <c r="C80" s="44">
        <v>2.809027777777778E-2</v>
      </c>
      <c r="D80" s="44">
        <v>2.854166666666667E-2</v>
      </c>
      <c r="E80" s="44">
        <f t="shared" si="91"/>
        <v>4.5138888888889006E-4</v>
      </c>
      <c r="F80" s="217"/>
      <c r="I80" s="222" t="s">
        <v>70</v>
      </c>
      <c r="J80" s="223">
        <f>SUM(J43:J79)</f>
        <v>0.10299768518518504</v>
      </c>
      <c r="K80" s="217"/>
      <c r="M80" s="44"/>
      <c r="N80" s="44">
        <v>8.7789351851851841E-2</v>
      </c>
      <c r="O80" s="44">
        <v>8.8101851851851862E-2</v>
      </c>
      <c r="P80" s="44">
        <f t="shared" si="86"/>
        <v>3.1250000000002109E-4</v>
      </c>
      <c r="Q80" s="217" t="s">
        <v>485</v>
      </c>
      <c r="R80" s="44"/>
      <c r="S80" s="44">
        <v>0.2265625</v>
      </c>
      <c r="T80" s="44">
        <v>0.22675925925925924</v>
      </c>
      <c r="U80" s="44">
        <f t="shared" si="87"/>
        <v>1.9675925925924376E-4</v>
      </c>
      <c r="V80" s="217" t="s">
        <v>562</v>
      </c>
      <c r="W80" s="44"/>
      <c r="X80" s="44">
        <v>9.9780092592592587E-2</v>
      </c>
      <c r="Y80" s="44">
        <v>0.10012731481481481</v>
      </c>
      <c r="Z80" s="44">
        <f t="shared" si="88"/>
        <v>3.4722222222222099E-4</v>
      </c>
      <c r="AA80" s="215" t="s">
        <v>666</v>
      </c>
      <c r="AB80" s="44"/>
      <c r="AC80" s="44">
        <v>1.545138888888889E-2</v>
      </c>
      <c r="AD80" s="44">
        <v>1.5972222222222224E-2</v>
      </c>
      <c r="AE80" s="44">
        <f t="shared" si="89"/>
        <v>5.2083333333333495E-4</v>
      </c>
      <c r="AF80" s="249" t="s">
        <v>743</v>
      </c>
      <c r="AG80" s="44"/>
      <c r="AH80" s="44">
        <v>0.1401388888888889</v>
      </c>
      <c r="AI80" s="44">
        <v>0.14038194444444443</v>
      </c>
      <c r="AJ80" s="44">
        <f t="shared" si="90"/>
        <v>2.4305555555553804E-4</v>
      </c>
      <c r="AK80" s="249" t="s">
        <v>798</v>
      </c>
      <c r="AL80" s="65"/>
      <c r="AM80" s="65"/>
      <c r="AN80" s="65"/>
      <c r="AO80" s="217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74"/>
      <c r="BG80" s="74"/>
      <c r="BH80" s="75"/>
      <c r="BI80" s="65"/>
      <c r="BJ80" s="65"/>
      <c r="BK80" s="65"/>
    </row>
    <row r="81" spans="2:63">
      <c r="B81" s="44"/>
      <c r="C81" s="44"/>
      <c r="D81" s="222" t="s">
        <v>70</v>
      </c>
      <c r="E81" s="223">
        <f>SUM(E78:E80)</f>
        <v>8.3564814814814821E-3</v>
      </c>
      <c r="F81" s="217"/>
      <c r="M81" s="44"/>
      <c r="N81" s="44">
        <v>0.12687499999999999</v>
      </c>
      <c r="O81" s="44">
        <v>0.13140046296296296</v>
      </c>
      <c r="P81" s="44">
        <f t="shared" si="86"/>
        <v>4.5254629629629672E-3</v>
      </c>
      <c r="Q81" s="217" t="s">
        <v>486</v>
      </c>
      <c r="R81" s="44"/>
      <c r="S81" s="44">
        <v>0.25800925925925927</v>
      </c>
      <c r="T81" s="44">
        <v>0.25831018518518517</v>
      </c>
      <c r="U81" s="44">
        <f t="shared" si="87"/>
        <v>3.0092592592589895E-4</v>
      </c>
      <c r="V81" s="217" t="s">
        <v>562</v>
      </c>
      <c r="W81" s="44"/>
      <c r="X81" s="44">
        <v>0.11377314814814815</v>
      </c>
      <c r="Y81" s="127">
        <v>0.11984953703703705</v>
      </c>
      <c r="Z81" s="44">
        <f t="shared" si="88"/>
        <v>6.0763888888888951E-3</v>
      </c>
      <c r="AA81" s="215" t="s">
        <v>667</v>
      </c>
      <c r="AB81" s="44"/>
      <c r="AC81" s="44">
        <v>2.1157407407407406E-2</v>
      </c>
      <c r="AD81" s="127">
        <v>2.1516203703703704E-2</v>
      </c>
      <c r="AE81" s="44">
        <f t="shared" si="89"/>
        <v>3.5879629629629803E-4</v>
      </c>
      <c r="AF81" s="249" t="s">
        <v>743</v>
      </c>
      <c r="AG81" s="44"/>
      <c r="AH81" s="44">
        <v>0.14476851851851852</v>
      </c>
      <c r="AI81" s="127">
        <v>0.1454050925925926</v>
      </c>
      <c r="AJ81" s="44">
        <f t="shared" si="90"/>
        <v>6.3657407407408106E-4</v>
      </c>
      <c r="AK81" s="249" t="s">
        <v>798</v>
      </c>
      <c r="AL81" s="65"/>
      <c r="AM81" s="65"/>
      <c r="AN81" s="65"/>
      <c r="AO81" s="217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74"/>
      <c r="BG81" s="74"/>
      <c r="BH81" s="75"/>
      <c r="BI81" s="65"/>
      <c r="BJ81" s="65"/>
      <c r="BK81" s="65"/>
    </row>
    <row r="82" spans="2:63">
      <c r="B82" s="62"/>
      <c r="C82" s="62"/>
      <c r="D82" s="62"/>
      <c r="E82" s="44"/>
      <c r="F82" s="217"/>
      <c r="G82" s="12" t="s">
        <v>13</v>
      </c>
      <c r="H82" s="11" t="s">
        <v>10</v>
      </c>
      <c r="I82" s="11" t="s">
        <v>11</v>
      </c>
      <c r="J82" s="11" t="s">
        <v>12</v>
      </c>
      <c r="K82" s="11"/>
      <c r="M82" s="44"/>
      <c r="N82" s="44">
        <v>0.18068287037037037</v>
      </c>
      <c r="O82" s="52">
        <v>0.18105324074074072</v>
      </c>
      <c r="P82" s="44">
        <f t="shared" si="86"/>
        <v>3.7037037037035425E-4</v>
      </c>
      <c r="Q82" s="217" t="s">
        <v>487</v>
      </c>
      <c r="R82" s="44"/>
      <c r="S82" s="127">
        <v>0.28168981481481481</v>
      </c>
      <c r="T82" s="52">
        <v>0.28388888888888891</v>
      </c>
      <c r="U82" s="44">
        <f t="shared" si="87"/>
        <v>2.1990740740741033E-3</v>
      </c>
      <c r="V82" s="217" t="s">
        <v>563</v>
      </c>
      <c r="W82" s="44"/>
      <c r="X82" s="127">
        <v>0.15511574074074075</v>
      </c>
      <c r="Y82" s="52">
        <v>0.16337962962962962</v>
      </c>
      <c r="Z82" s="44">
        <f t="shared" si="88"/>
        <v>8.2638888888888762E-3</v>
      </c>
      <c r="AA82" s="215" t="s">
        <v>669</v>
      </c>
      <c r="AB82" s="44"/>
      <c r="AC82" s="127">
        <v>2.6516203703703698E-2</v>
      </c>
      <c r="AD82" s="52">
        <v>2.6875E-2</v>
      </c>
      <c r="AE82" s="44">
        <f t="shared" si="89"/>
        <v>3.587962962963015E-4</v>
      </c>
      <c r="AF82" s="249" t="s">
        <v>744</v>
      </c>
      <c r="AG82" s="44"/>
      <c r="AH82" s="127">
        <v>0.17443287037037036</v>
      </c>
      <c r="AI82" s="52">
        <v>0.18829861111111112</v>
      </c>
      <c r="AJ82" s="44">
        <f t="shared" si="90"/>
        <v>1.3865740740740762E-2</v>
      </c>
      <c r="AK82" s="249" t="s">
        <v>799</v>
      </c>
      <c r="AL82" s="65"/>
      <c r="AM82" s="65"/>
      <c r="AN82" s="65"/>
      <c r="AO82" s="217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74"/>
      <c r="BG82" s="74"/>
      <c r="BH82" s="75"/>
      <c r="BI82" s="65"/>
      <c r="BJ82" s="65"/>
      <c r="BK82" s="65"/>
    </row>
    <row r="83" spans="2:63">
      <c r="B83" s="53"/>
      <c r="C83" s="44">
        <v>0.85324074074074074</v>
      </c>
      <c r="D83" s="44">
        <v>0.85350694444444442</v>
      </c>
      <c r="E83" s="44">
        <f>D83-C83</f>
        <v>2.662037037036713E-4</v>
      </c>
      <c r="F83" s="218"/>
      <c r="G83" s="58">
        <v>43130</v>
      </c>
      <c r="H83" s="44">
        <v>2.0497685185185185E-2</v>
      </c>
      <c r="I83" s="44">
        <v>2.0914351851851851E-2</v>
      </c>
      <c r="J83" s="44">
        <f t="shared" ref="J83:J98" si="92">I83-H83</f>
        <v>4.1666666666666588E-4</v>
      </c>
      <c r="K83" s="215" t="s">
        <v>389</v>
      </c>
      <c r="M83" s="44"/>
      <c r="N83" s="44">
        <v>0.22252314814814814</v>
      </c>
      <c r="O83" s="44">
        <v>0.23620370370370369</v>
      </c>
      <c r="P83" s="44">
        <f t="shared" si="86"/>
        <v>1.3680555555555557E-2</v>
      </c>
      <c r="Q83" s="217" t="s">
        <v>488</v>
      </c>
      <c r="R83" s="44"/>
      <c r="S83" s="44">
        <v>0.3068865740740741</v>
      </c>
      <c r="T83" s="127">
        <v>0.31054398148148149</v>
      </c>
      <c r="U83" s="44">
        <f t="shared" si="87"/>
        <v>3.657407407407387E-3</v>
      </c>
      <c r="V83" s="217" t="s">
        <v>564</v>
      </c>
      <c r="W83" s="44"/>
      <c r="X83" s="44">
        <v>0.19380787037037037</v>
      </c>
      <c r="Y83" s="127">
        <v>0.19741898148148149</v>
      </c>
      <c r="Z83" s="44">
        <f t="shared" si="88"/>
        <v>3.6111111111111205E-3</v>
      </c>
      <c r="AA83" s="215" t="s">
        <v>670</v>
      </c>
      <c r="AB83" s="44"/>
      <c r="AC83" s="44">
        <v>2.7662037037037041E-2</v>
      </c>
      <c r="AD83" s="127">
        <v>2.8032407407407409E-2</v>
      </c>
      <c r="AE83" s="44">
        <f t="shared" si="89"/>
        <v>3.7037037037036813E-4</v>
      </c>
      <c r="AF83" s="215"/>
      <c r="AG83" s="44"/>
      <c r="AH83" s="44">
        <v>0.19332175925925923</v>
      </c>
      <c r="AI83" s="127">
        <v>0.19362268518518519</v>
      </c>
      <c r="AJ83" s="44">
        <f t="shared" si="90"/>
        <v>3.0092592592595446E-4</v>
      </c>
      <c r="AK83" s="249" t="s">
        <v>799</v>
      </c>
      <c r="AL83" s="65"/>
      <c r="AM83" s="65"/>
      <c r="AN83" s="65"/>
      <c r="AO83" s="217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74"/>
      <c r="BG83" s="74"/>
      <c r="BH83" s="75"/>
      <c r="BI83" s="65"/>
      <c r="BJ83" s="65"/>
      <c r="BK83" s="65"/>
    </row>
    <row r="84" spans="2:63">
      <c r="B84" s="53"/>
      <c r="C84" s="44">
        <v>0.85820601851851863</v>
      </c>
      <c r="D84" s="44">
        <v>0.86134259259259249</v>
      </c>
      <c r="E84" s="44">
        <f t="shared" ref="E84:E87" si="93">D84-C84</f>
        <v>3.1365740740738612E-3</v>
      </c>
      <c r="F84" s="218"/>
      <c r="G84" s="44"/>
      <c r="H84" s="44">
        <v>7.542824074074074E-2</v>
      </c>
      <c r="I84" s="44">
        <v>8.9409722222222224E-2</v>
      </c>
      <c r="J84" s="44">
        <f t="shared" si="92"/>
        <v>1.3981481481481484E-2</v>
      </c>
      <c r="K84" s="215" t="s">
        <v>390</v>
      </c>
      <c r="M84" s="44"/>
      <c r="N84" s="44">
        <v>0.25033564814814818</v>
      </c>
      <c r="O84" s="44">
        <v>0.25070601851851854</v>
      </c>
      <c r="P84" s="44">
        <f t="shared" si="86"/>
        <v>3.7037037037035425E-4</v>
      </c>
      <c r="Q84" s="217" t="s">
        <v>489</v>
      </c>
      <c r="R84" s="44"/>
      <c r="S84" s="44">
        <v>0.31684027777777779</v>
      </c>
      <c r="T84" s="44">
        <v>0.31710648148148146</v>
      </c>
      <c r="U84" s="44">
        <f t="shared" si="87"/>
        <v>2.662037037036713E-4</v>
      </c>
      <c r="V84" s="217" t="s">
        <v>564</v>
      </c>
      <c r="W84" s="44"/>
      <c r="X84" s="44">
        <v>0.20693287037037036</v>
      </c>
      <c r="Y84" s="127">
        <v>0.21322916666666666</v>
      </c>
      <c r="Z84" s="44">
        <f t="shared" si="88"/>
        <v>6.2962962962962998E-3</v>
      </c>
      <c r="AA84" s="215" t="s">
        <v>671</v>
      </c>
      <c r="AB84" s="44"/>
      <c r="AC84" s="44">
        <v>3.1875000000000001E-2</v>
      </c>
      <c r="AD84" s="127">
        <v>3.2129629629629626E-2</v>
      </c>
      <c r="AE84" s="44">
        <f t="shared" si="89"/>
        <v>2.5462962962962549E-4</v>
      </c>
      <c r="AF84" s="215" t="s">
        <v>746</v>
      </c>
      <c r="AG84" s="44"/>
      <c r="AH84" s="44">
        <v>0.19447916666666668</v>
      </c>
      <c r="AI84" s="127">
        <v>0.19782407407407407</v>
      </c>
      <c r="AJ84" s="44">
        <f t="shared" si="90"/>
        <v>3.3449074074073937E-3</v>
      </c>
      <c r="AK84" s="249" t="s">
        <v>799</v>
      </c>
      <c r="AL84" s="65"/>
      <c r="AM84" s="65"/>
      <c r="AN84" s="65"/>
      <c r="AO84" s="217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74"/>
      <c r="BG84" s="74"/>
      <c r="BH84" s="75"/>
      <c r="BI84" s="65"/>
      <c r="BJ84" s="65"/>
      <c r="BK84" s="65"/>
    </row>
    <row r="85" spans="2:63">
      <c r="B85" s="44"/>
      <c r="C85" s="44">
        <v>0.86410879629629633</v>
      </c>
      <c r="D85" s="44">
        <v>0.8825115740740741</v>
      </c>
      <c r="E85" s="44">
        <f t="shared" si="93"/>
        <v>1.8402777777777768E-2</v>
      </c>
      <c r="F85" s="218"/>
      <c r="G85" s="58"/>
      <c r="H85" s="44">
        <v>9.7268518518518518E-2</v>
      </c>
      <c r="I85" s="44">
        <v>9.7777777777777783E-2</v>
      </c>
      <c r="J85" s="44">
        <f t="shared" si="92"/>
        <v>5.0925925925926485E-4</v>
      </c>
      <c r="K85" s="215" t="s">
        <v>390</v>
      </c>
      <c r="M85" s="44"/>
      <c r="N85" s="44">
        <v>0.26655092592592594</v>
      </c>
      <c r="O85" s="44">
        <v>0.26690972222222226</v>
      </c>
      <c r="P85" s="44">
        <f t="shared" si="86"/>
        <v>3.5879629629631538E-4</v>
      </c>
      <c r="Q85" s="217" t="s">
        <v>489</v>
      </c>
      <c r="R85" s="44"/>
      <c r="S85" s="44">
        <v>0.37581018518518516</v>
      </c>
      <c r="T85" s="44">
        <v>0.37614583333333335</v>
      </c>
      <c r="U85" s="44">
        <f t="shared" si="87"/>
        <v>3.3564814814818211E-4</v>
      </c>
      <c r="V85" s="217" t="s">
        <v>565</v>
      </c>
      <c r="W85" s="44"/>
      <c r="X85" s="127">
        <v>0.28621527777777778</v>
      </c>
      <c r="Y85" s="44">
        <v>0.28672453703703704</v>
      </c>
      <c r="Z85" s="44">
        <f t="shared" si="88"/>
        <v>5.0925925925926485E-4</v>
      </c>
      <c r="AA85" s="215" t="s">
        <v>672</v>
      </c>
      <c r="AB85" s="44"/>
      <c r="AC85" s="127">
        <v>3.4317129629629628E-2</v>
      </c>
      <c r="AD85" s="44">
        <v>3.4687500000000003E-2</v>
      </c>
      <c r="AE85" s="44">
        <f t="shared" si="89"/>
        <v>3.7037037037037507E-4</v>
      </c>
      <c r="AF85" s="215" t="s">
        <v>746</v>
      </c>
      <c r="AG85" s="44"/>
      <c r="AH85" s="127">
        <v>0.26619212962962963</v>
      </c>
      <c r="AI85" s="44">
        <v>0.2666203703703704</v>
      </c>
      <c r="AJ85" s="44">
        <f t="shared" si="90"/>
        <v>4.2824074074077068E-4</v>
      </c>
      <c r="AK85" s="215" t="s">
        <v>800</v>
      </c>
      <c r="AL85" s="65"/>
      <c r="AM85" s="65"/>
      <c r="AN85" s="65"/>
      <c r="AO85" s="217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74"/>
      <c r="BG85" s="74"/>
      <c r="BH85" s="75"/>
      <c r="BI85" s="65"/>
      <c r="BJ85" s="65"/>
      <c r="BK85" s="65"/>
    </row>
    <row r="86" spans="2:63">
      <c r="B86" s="44"/>
      <c r="C86" s="44">
        <v>0.90668981481481481</v>
      </c>
      <c r="D86" s="44">
        <v>0.90717592592592589</v>
      </c>
      <c r="E86" s="44">
        <f t="shared" si="93"/>
        <v>4.8611111111107608E-4</v>
      </c>
      <c r="F86" s="220" t="s">
        <v>227</v>
      </c>
      <c r="G86" s="44"/>
      <c r="H86" s="44">
        <v>0.10981481481481481</v>
      </c>
      <c r="I86" s="44">
        <v>0.11017361111111111</v>
      </c>
      <c r="J86" s="44">
        <f t="shared" si="92"/>
        <v>3.587962962963015E-4</v>
      </c>
      <c r="K86" s="215" t="s">
        <v>391</v>
      </c>
      <c r="M86" s="44"/>
      <c r="N86" s="44">
        <v>0.27949074074074076</v>
      </c>
      <c r="O86" s="44">
        <v>0.27998842592592593</v>
      </c>
      <c r="P86" s="44">
        <f t="shared" si="86"/>
        <v>4.9768518518517046E-4</v>
      </c>
      <c r="Q86" s="217" t="s">
        <v>490</v>
      </c>
      <c r="R86" s="44"/>
      <c r="S86" s="44">
        <v>0.4440972222222222</v>
      </c>
      <c r="T86" s="44">
        <v>0.44457175925925929</v>
      </c>
      <c r="U86" s="44">
        <f t="shared" si="87"/>
        <v>4.7453703703709271E-4</v>
      </c>
      <c r="V86" s="217" t="s">
        <v>576</v>
      </c>
      <c r="W86" s="44"/>
      <c r="X86" s="127">
        <v>0.29498842592592595</v>
      </c>
      <c r="Y86" s="44">
        <v>0.29776620370370371</v>
      </c>
      <c r="Z86" s="44">
        <f t="shared" si="88"/>
        <v>2.7777777777777679E-3</v>
      </c>
      <c r="AA86" s="215" t="s">
        <v>672</v>
      </c>
      <c r="AB86" s="44"/>
      <c r="AC86" s="127">
        <v>3.7418981481481477E-2</v>
      </c>
      <c r="AD86" s="44">
        <v>3.7766203703703705E-2</v>
      </c>
      <c r="AE86" s="44">
        <f t="shared" si="89"/>
        <v>3.4722222222222793E-4</v>
      </c>
      <c r="AF86" s="215" t="s">
        <v>746</v>
      </c>
      <c r="AG86" s="44"/>
      <c r="AH86" s="127">
        <v>0.28045138888888888</v>
      </c>
      <c r="AI86" s="44">
        <v>0.28072916666666664</v>
      </c>
      <c r="AJ86" s="44">
        <f t="shared" si="90"/>
        <v>2.7777777777776569E-4</v>
      </c>
      <c r="AK86" s="215" t="s">
        <v>801</v>
      </c>
      <c r="AL86" s="65"/>
      <c r="AM86" s="65"/>
      <c r="AN86" s="65"/>
      <c r="AO86" s="217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74"/>
      <c r="BG86" s="74"/>
      <c r="BH86" s="75"/>
      <c r="BI86" s="65"/>
      <c r="BJ86" s="65"/>
      <c r="BK86" s="65"/>
    </row>
    <row r="87" spans="2:63">
      <c r="B87" s="44"/>
      <c r="C87" s="62">
        <v>0.97122685185185187</v>
      </c>
      <c r="D87" s="62">
        <v>0.97157407407407403</v>
      </c>
      <c r="E87" s="44">
        <f t="shared" si="93"/>
        <v>3.4722222222216548E-4</v>
      </c>
      <c r="F87" s="221" t="s">
        <v>228</v>
      </c>
      <c r="G87" s="63"/>
      <c r="H87" s="64">
        <v>0.11785879629629629</v>
      </c>
      <c r="I87" s="64">
        <v>0.12719907407407408</v>
      </c>
      <c r="J87" s="44">
        <f t="shared" si="92"/>
        <v>9.3402777777777807E-3</v>
      </c>
      <c r="K87" s="215" t="s">
        <v>391</v>
      </c>
      <c r="M87" s="44"/>
      <c r="N87" s="44">
        <v>0.32186342592592593</v>
      </c>
      <c r="O87" s="44">
        <v>0.322349537037037</v>
      </c>
      <c r="P87" s="44">
        <f t="shared" si="86"/>
        <v>4.8611111111107608E-4</v>
      </c>
      <c r="Q87" s="217" t="s">
        <v>491</v>
      </c>
      <c r="R87" s="44"/>
      <c r="S87" s="127">
        <v>0.45407407407407407</v>
      </c>
      <c r="T87" s="127">
        <v>0.45716435185185184</v>
      </c>
      <c r="U87" s="44">
        <f t="shared" si="87"/>
        <v>3.0902777777777612E-3</v>
      </c>
      <c r="V87" s="217" t="s">
        <v>576</v>
      </c>
      <c r="W87" s="44"/>
      <c r="X87" s="127">
        <v>0.30285879629629631</v>
      </c>
      <c r="Y87" s="127">
        <v>0.30320601851851853</v>
      </c>
      <c r="Z87" s="44">
        <f t="shared" si="88"/>
        <v>3.4722222222222099E-4</v>
      </c>
      <c r="AA87" s="215" t="s">
        <v>672</v>
      </c>
      <c r="AB87" s="44"/>
      <c r="AC87" s="127">
        <v>4.3912037037037034E-2</v>
      </c>
      <c r="AD87" s="127">
        <v>4.4270833333333336E-2</v>
      </c>
      <c r="AE87" s="44">
        <f t="shared" si="89"/>
        <v>3.587962962963015E-4</v>
      </c>
      <c r="AF87" s="215" t="s">
        <v>748</v>
      </c>
      <c r="AG87" s="44"/>
      <c r="AH87" s="127">
        <v>0.33762731481481478</v>
      </c>
      <c r="AI87" s="127">
        <v>0.33804398148148151</v>
      </c>
      <c r="AJ87" s="44">
        <f t="shared" si="90"/>
        <v>4.166666666667318E-4</v>
      </c>
      <c r="AK87" s="215" t="s">
        <v>792</v>
      </c>
      <c r="AL87" s="65"/>
      <c r="AM87" s="65"/>
      <c r="AN87" s="65"/>
      <c r="AO87" s="217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74"/>
      <c r="BG87" s="74"/>
      <c r="BH87" s="75"/>
      <c r="BI87" s="65"/>
      <c r="BJ87" s="65"/>
      <c r="BK87" s="65"/>
    </row>
    <row r="88" spans="2:63">
      <c r="B88" s="66"/>
      <c r="C88" s="46"/>
      <c r="D88" s="222" t="s">
        <v>70</v>
      </c>
      <c r="E88" s="223">
        <f>SUM(E83:E87)</f>
        <v>2.2638888888888542E-2</v>
      </c>
      <c r="F88" s="217"/>
      <c r="G88" s="15"/>
      <c r="H88" s="46">
        <v>0.1423611111111111</v>
      </c>
      <c r="I88" s="46">
        <v>0.14261574074074074</v>
      </c>
      <c r="J88" s="44">
        <f t="shared" si="92"/>
        <v>2.5462962962963243E-4</v>
      </c>
      <c r="K88" s="215" t="s">
        <v>391</v>
      </c>
      <c r="M88" s="44"/>
      <c r="N88" s="44">
        <v>0.37064814814814812</v>
      </c>
      <c r="O88" s="44">
        <v>0.37104166666666666</v>
      </c>
      <c r="P88" s="44">
        <f t="shared" si="86"/>
        <v>3.9351851851854303E-4</v>
      </c>
      <c r="Q88" s="217" t="s">
        <v>492</v>
      </c>
      <c r="R88" s="44"/>
      <c r="S88" s="44">
        <v>0.46060185185185182</v>
      </c>
      <c r="T88" s="44">
        <v>0.46924768518518517</v>
      </c>
      <c r="U88" s="44">
        <f t="shared" si="87"/>
        <v>8.6458333333333526E-3</v>
      </c>
      <c r="V88" s="217" t="s">
        <v>577</v>
      </c>
      <c r="W88" s="44"/>
      <c r="X88" s="44">
        <v>0.36451388888888886</v>
      </c>
      <c r="Y88" s="44">
        <v>0.36483796296296295</v>
      </c>
      <c r="Z88" s="44">
        <f t="shared" si="88"/>
        <v>3.2407407407408773E-4</v>
      </c>
      <c r="AA88" s="215" t="s">
        <v>676</v>
      </c>
      <c r="AB88" s="44"/>
      <c r="AC88" s="44">
        <v>4.5486111111111109E-2</v>
      </c>
      <c r="AD88" s="44">
        <v>4.5821759259259263E-2</v>
      </c>
      <c r="AE88" s="44">
        <f t="shared" si="89"/>
        <v>3.3564814814815436E-4</v>
      </c>
      <c r="AF88" s="215" t="s">
        <v>748</v>
      </c>
      <c r="AG88" s="44"/>
      <c r="AH88" s="44">
        <v>0.41084490740740742</v>
      </c>
      <c r="AI88" s="44">
        <v>0.41127314814814814</v>
      </c>
      <c r="AJ88" s="44">
        <f t="shared" si="90"/>
        <v>4.2824074074071516E-4</v>
      </c>
      <c r="AK88" s="215" t="s">
        <v>802</v>
      </c>
      <c r="AL88" s="65"/>
      <c r="AM88" s="65"/>
      <c r="AN88" s="65"/>
      <c r="AO88" s="217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74"/>
      <c r="BG88" s="74"/>
      <c r="BH88" s="75"/>
      <c r="BI88" s="65"/>
      <c r="BJ88" s="65"/>
      <c r="BK88" s="65"/>
    </row>
    <row r="89" spans="2:63">
      <c r="G89" s="15"/>
      <c r="H89" s="46">
        <v>0.16252314814814814</v>
      </c>
      <c r="I89" s="46">
        <v>0.1627662037037037</v>
      </c>
      <c r="J89" s="44">
        <f t="shared" si="92"/>
        <v>2.4305555555556579E-4</v>
      </c>
      <c r="K89" s="215" t="s">
        <v>392</v>
      </c>
      <c r="M89" s="44"/>
      <c r="N89" s="44">
        <v>0.43526620370370367</v>
      </c>
      <c r="O89" s="44">
        <v>0.43565972222222221</v>
      </c>
      <c r="P89" s="44">
        <f t="shared" si="86"/>
        <v>3.9351851851854303E-4</v>
      </c>
      <c r="Q89" s="217" t="s">
        <v>493</v>
      </c>
      <c r="R89" s="44"/>
      <c r="S89" s="44">
        <v>0.51797453703703711</v>
      </c>
      <c r="T89" s="44">
        <v>0.51836805555555554</v>
      </c>
      <c r="U89" s="44">
        <f t="shared" si="87"/>
        <v>3.93518518518432E-4</v>
      </c>
      <c r="V89" s="217" t="s">
        <v>578</v>
      </c>
      <c r="W89" s="44"/>
      <c r="X89" s="44">
        <v>0.39288194444444446</v>
      </c>
      <c r="Y89" s="44">
        <v>0.39314814814814819</v>
      </c>
      <c r="Z89" s="44">
        <f t="shared" si="88"/>
        <v>2.6620370370372681E-4</v>
      </c>
      <c r="AA89" s="215" t="s">
        <v>677</v>
      </c>
      <c r="AB89" s="44"/>
      <c r="AC89" s="44">
        <v>4.6423611111111117E-2</v>
      </c>
      <c r="AD89" s="44">
        <v>4.6805555555555552E-2</v>
      </c>
      <c r="AE89" s="44">
        <f t="shared" si="89"/>
        <v>3.8194444444443476E-4</v>
      </c>
      <c r="AF89" s="215" t="s">
        <v>748</v>
      </c>
      <c r="AG89" s="44"/>
      <c r="AH89" s="44">
        <v>0.4117939814814815</v>
      </c>
      <c r="AI89" s="44">
        <v>0.41226851851851848</v>
      </c>
      <c r="AJ89" s="44">
        <f t="shared" si="90"/>
        <v>4.7453703703698169E-4</v>
      </c>
      <c r="AK89" s="215" t="s">
        <v>802</v>
      </c>
      <c r="AL89" s="65"/>
      <c r="AM89" s="65"/>
      <c r="AN89" s="65"/>
      <c r="AO89" s="217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74"/>
      <c r="BG89" s="74"/>
      <c r="BH89" s="75"/>
      <c r="BI89" s="65"/>
      <c r="BJ89" s="65"/>
      <c r="BK89" s="65"/>
    </row>
    <row r="90" spans="2:63">
      <c r="B90" s="12" t="s">
        <v>13</v>
      </c>
      <c r="C90" s="11" t="s">
        <v>10</v>
      </c>
      <c r="D90" s="11" t="s">
        <v>11</v>
      </c>
      <c r="E90" s="11" t="s">
        <v>12</v>
      </c>
      <c r="F90" s="216"/>
      <c r="G90" s="65"/>
      <c r="H90" s="46">
        <v>0.17708333333333334</v>
      </c>
      <c r="I90" s="44">
        <v>0.18532407407407406</v>
      </c>
      <c r="J90" s="44">
        <f t="shared" si="92"/>
        <v>8.2407407407407152E-3</v>
      </c>
      <c r="K90" s="215" t="s">
        <v>392</v>
      </c>
      <c r="M90" s="44"/>
      <c r="N90" s="44">
        <v>0.46559027777777778</v>
      </c>
      <c r="O90" s="44">
        <v>0.46605324074074073</v>
      </c>
      <c r="P90" s="44">
        <f t="shared" si="86"/>
        <v>4.6296296296294281E-4</v>
      </c>
      <c r="Q90" s="217" t="s">
        <v>493</v>
      </c>
      <c r="R90" s="44"/>
      <c r="S90" s="44">
        <v>0.56359953703703702</v>
      </c>
      <c r="T90" s="44">
        <v>0.56391203703703707</v>
      </c>
      <c r="U90" s="44">
        <f t="shared" si="87"/>
        <v>3.1250000000004885E-4</v>
      </c>
      <c r="V90" s="217" t="s">
        <v>579</v>
      </c>
      <c r="W90" s="44"/>
      <c r="X90" s="44">
        <v>0.41277777777777774</v>
      </c>
      <c r="Y90" s="44">
        <v>0.41319444444444442</v>
      </c>
      <c r="Z90" s="44">
        <f t="shared" si="88"/>
        <v>4.1666666666667629E-4</v>
      </c>
      <c r="AA90" s="217" t="s">
        <v>680</v>
      </c>
      <c r="AB90" s="44"/>
      <c r="AC90" s="44">
        <v>5.3287037037037042E-2</v>
      </c>
      <c r="AD90" s="44">
        <v>5.3622685185185183E-2</v>
      </c>
      <c r="AE90" s="44">
        <f t="shared" si="89"/>
        <v>3.3564814814814048E-4</v>
      </c>
      <c r="AF90" s="215" t="s">
        <v>748</v>
      </c>
      <c r="AG90" s="44"/>
      <c r="AH90" s="44">
        <v>0.42451388888888886</v>
      </c>
      <c r="AI90" s="44">
        <v>0.42716435185185181</v>
      </c>
      <c r="AJ90" s="44">
        <f t="shared" si="90"/>
        <v>2.6504629629629517E-3</v>
      </c>
      <c r="AK90" s="215" t="s">
        <v>802</v>
      </c>
      <c r="AL90" s="65"/>
      <c r="AM90" s="65"/>
      <c r="AN90" s="65"/>
      <c r="AO90" s="217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74"/>
      <c r="BG90" s="74"/>
      <c r="BH90" s="75"/>
      <c r="BI90" s="65"/>
      <c r="BJ90" s="65"/>
      <c r="BK90" s="65"/>
    </row>
    <row r="91" spans="2:63">
      <c r="B91" s="58">
        <v>43120</v>
      </c>
      <c r="C91" s="44">
        <v>4.5717592592592594E-2</v>
      </c>
      <c r="D91" s="44">
        <v>4.6134259259259264E-2</v>
      </c>
      <c r="E91" s="44">
        <f>D91-C91</f>
        <v>4.1666666666666935E-4</v>
      </c>
      <c r="F91" s="217"/>
      <c r="G91" s="65"/>
      <c r="H91" s="46">
        <v>0.2013425925925926</v>
      </c>
      <c r="I91" s="44">
        <v>0.20165509259259259</v>
      </c>
      <c r="J91" s="44">
        <f t="shared" si="92"/>
        <v>3.1249999999999334E-4</v>
      </c>
      <c r="K91" s="215" t="s">
        <v>392</v>
      </c>
      <c r="M91" s="58"/>
      <c r="N91" s="44">
        <v>0.49466435185185187</v>
      </c>
      <c r="O91" s="44">
        <v>0.49502314814814818</v>
      </c>
      <c r="P91" s="44">
        <f t="shared" si="86"/>
        <v>3.5879629629631538E-4</v>
      </c>
      <c r="Q91" s="217" t="s">
        <v>494</v>
      </c>
      <c r="R91" s="58"/>
      <c r="S91" s="44">
        <v>0.56776620370370368</v>
      </c>
      <c r="T91" s="44">
        <v>0.56802083333333331</v>
      </c>
      <c r="U91" s="44">
        <f t="shared" si="87"/>
        <v>2.5462962962963243E-4</v>
      </c>
      <c r="V91" s="217" t="s">
        <v>579</v>
      </c>
      <c r="W91" s="58"/>
      <c r="X91" s="44">
        <v>0.42185185185185187</v>
      </c>
      <c r="Y91" s="44">
        <v>0.4221064814814815</v>
      </c>
      <c r="Z91" s="44">
        <f t="shared" si="88"/>
        <v>2.5462962962963243E-4</v>
      </c>
      <c r="AA91" s="217" t="s">
        <v>680</v>
      </c>
      <c r="AB91" s="58"/>
      <c r="AC91" s="44">
        <v>5.9571759259259262E-2</v>
      </c>
      <c r="AD91" s="44">
        <v>5.9918981481481483E-2</v>
      </c>
      <c r="AE91" s="44">
        <f t="shared" si="89"/>
        <v>3.4722222222222099E-4</v>
      </c>
      <c r="AF91" s="215" t="s">
        <v>748</v>
      </c>
      <c r="AG91" s="58"/>
      <c r="AH91" s="44">
        <v>0.47239583333333335</v>
      </c>
      <c r="AI91" s="44">
        <v>0.4836805555555555</v>
      </c>
      <c r="AJ91" s="44">
        <f t="shared" si="90"/>
        <v>1.1284722222222154E-2</v>
      </c>
      <c r="AK91" s="215" t="s">
        <v>804</v>
      </c>
      <c r="AL91" s="65"/>
      <c r="AM91" s="65"/>
      <c r="AN91" s="65"/>
      <c r="AO91" s="217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74"/>
      <c r="BG91" s="74"/>
      <c r="BH91" s="75"/>
      <c r="BI91" s="65"/>
      <c r="BJ91" s="65"/>
      <c r="BK91" s="65"/>
    </row>
    <row r="92" spans="2:63">
      <c r="B92" s="44"/>
      <c r="C92">
        <v>6.3298611111111111E-2</v>
      </c>
      <c r="D92">
        <v>6.3657407407407399E-2</v>
      </c>
      <c r="E92" s="44">
        <f t="shared" ref="E92:E106" si="94">D92-C92</f>
        <v>3.5879629629628762E-4</v>
      </c>
      <c r="F92" s="217"/>
      <c r="G92" s="65"/>
      <c r="H92" s="46">
        <v>0.22203703703703703</v>
      </c>
      <c r="I92" s="44">
        <v>0.23045138888888891</v>
      </c>
      <c r="J92" s="44">
        <f t="shared" si="92"/>
        <v>8.4143518518518812E-3</v>
      </c>
      <c r="K92" s="215" t="s">
        <v>393</v>
      </c>
      <c r="M92" s="44"/>
      <c r="N92" s="44">
        <v>0.53162037037037035</v>
      </c>
      <c r="O92" s="44">
        <v>0.5320138888888889</v>
      </c>
      <c r="P92" s="44">
        <f t="shared" si="86"/>
        <v>3.9351851851854303E-4</v>
      </c>
      <c r="Q92" s="217" t="s">
        <v>495</v>
      </c>
      <c r="R92" s="44"/>
      <c r="S92" s="44">
        <v>0.59077546296296302</v>
      </c>
      <c r="T92" s="44">
        <v>0.59100694444444446</v>
      </c>
      <c r="U92" s="44">
        <f t="shared" si="87"/>
        <v>2.3148148148144365E-4</v>
      </c>
      <c r="V92" s="217" t="s">
        <v>579</v>
      </c>
      <c r="W92" s="44"/>
      <c r="X92" s="44">
        <v>0.42951388888888892</v>
      </c>
      <c r="Y92" s="44">
        <v>0.42974537037037036</v>
      </c>
      <c r="Z92" s="44">
        <f t="shared" si="88"/>
        <v>2.3148148148144365E-4</v>
      </c>
      <c r="AA92" s="217" t="s">
        <v>680</v>
      </c>
      <c r="AB92" s="44"/>
      <c r="AC92" s="44">
        <v>7.1724537037037031E-2</v>
      </c>
      <c r="AD92" s="44">
        <v>7.4629629629629629E-2</v>
      </c>
      <c r="AE92" s="44">
        <f t="shared" si="89"/>
        <v>2.905092592592598E-3</v>
      </c>
      <c r="AF92" s="215" t="s">
        <v>748</v>
      </c>
      <c r="AG92" s="44"/>
      <c r="AH92" s="44">
        <v>0.49746527777777777</v>
      </c>
      <c r="AI92" s="44">
        <v>0.49781249999999999</v>
      </c>
      <c r="AJ92" s="44">
        <f t="shared" si="90"/>
        <v>3.4722222222222099E-4</v>
      </c>
      <c r="AK92" s="215" t="s">
        <v>805</v>
      </c>
      <c r="AL92" s="65"/>
      <c r="AM92" s="65"/>
      <c r="AN92" s="65"/>
      <c r="AO92" s="217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0"/>
      <c r="BG92" s="60"/>
      <c r="BH92" s="61"/>
      <c r="BI92" s="65"/>
      <c r="BJ92" s="65"/>
      <c r="BK92" s="65"/>
    </row>
    <row r="93" spans="2:63">
      <c r="B93" s="44"/>
      <c r="C93">
        <v>6.8148148148148138E-2</v>
      </c>
      <c r="D93">
        <v>6.8437499999999998E-2</v>
      </c>
      <c r="E93" s="44">
        <f t="shared" si="94"/>
        <v>2.8935185185186008E-4</v>
      </c>
      <c r="F93" s="217"/>
      <c r="G93" s="44"/>
      <c r="H93" s="46">
        <v>0.23332175925925927</v>
      </c>
      <c r="I93" s="44">
        <v>0.25033564814814818</v>
      </c>
      <c r="J93" s="44">
        <f t="shared" si="92"/>
        <v>1.7013888888888912E-2</v>
      </c>
      <c r="K93" s="215" t="s">
        <v>393</v>
      </c>
      <c r="M93" s="44"/>
      <c r="N93" s="44">
        <v>0.56678240740740737</v>
      </c>
      <c r="O93" s="44">
        <v>0.56708333333333327</v>
      </c>
      <c r="P93" s="44">
        <f t="shared" si="86"/>
        <v>3.0092592592589895E-4</v>
      </c>
      <c r="Q93" s="217" t="s">
        <v>496</v>
      </c>
      <c r="R93" s="44"/>
      <c r="S93" s="44">
        <v>0.59658564814814818</v>
      </c>
      <c r="T93" s="44">
        <v>0.59702546296296299</v>
      </c>
      <c r="U93" s="44">
        <f t="shared" si="87"/>
        <v>4.3981481481480955E-4</v>
      </c>
      <c r="V93" s="217" t="s">
        <v>580</v>
      </c>
      <c r="W93" s="44"/>
      <c r="X93" s="44">
        <v>0.43734953703703705</v>
      </c>
      <c r="Y93" s="44">
        <v>0.4377199074074074</v>
      </c>
      <c r="Z93" s="44">
        <f t="shared" si="88"/>
        <v>3.7037037037035425E-4</v>
      </c>
      <c r="AA93" s="217" t="s">
        <v>680</v>
      </c>
      <c r="AB93" s="44"/>
      <c r="AC93" s="44">
        <v>8.1562499999999996E-2</v>
      </c>
      <c r="AD93" s="44">
        <v>8.2025462962962967E-2</v>
      </c>
      <c r="AE93" s="44">
        <f t="shared" si="89"/>
        <v>4.6296296296297057E-4</v>
      </c>
      <c r="AF93" s="215" t="s">
        <v>748</v>
      </c>
      <c r="AG93" s="44"/>
      <c r="AH93" s="127">
        <v>0.55820601851851859</v>
      </c>
      <c r="AI93" s="44">
        <v>0.55856481481481479</v>
      </c>
      <c r="AJ93" s="44">
        <f t="shared" si="90"/>
        <v>3.5879629629620435E-4</v>
      </c>
      <c r="AK93" s="215" t="s">
        <v>806</v>
      </c>
      <c r="AL93" s="65"/>
      <c r="AM93" s="65"/>
      <c r="AN93" s="65"/>
      <c r="AO93" s="217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72"/>
      <c r="BG93" s="72"/>
      <c r="BH93" s="73"/>
      <c r="BI93" s="44"/>
      <c r="BJ93" s="65"/>
      <c r="BK93" s="65"/>
    </row>
    <row r="94" spans="2:63">
      <c r="B94" s="44"/>
      <c r="C94">
        <v>7.1736111111111112E-2</v>
      </c>
      <c r="D94">
        <v>8.3182870370370365E-2</v>
      </c>
      <c r="E94" s="44">
        <f t="shared" si="94"/>
        <v>1.1446759259259254E-2</v>
      </c>
      <c r="F94" s="217" t="s">
        <v>229</v>
      </c>
      <c r="G94" s="44"/>
      <c r="H94" s="46">
        <v>0.27981481481481479</v>
      </c>
      <c r="I94" s="44">
        <v>0.28013888888888888</v>
      </c>
      <c r="J94" s="44">
        <f t="shared" si="92"/>
        <v>3.2407407407408773E-4</v>
      </c>
      <c r="K94" s="215" t="s">
        <v>394</v>
      </c>
      <c r="M94" s="44"/>
      <c r="N94" s="44">
        <v>0.62164351851851851</v>
      </c>
      <c r="O94" s="44">
        <v>0.62207175925925928</v>
      </c>
      <c r="P94" s="44">
        <f t="shared" si="86"/>
        <v>4.2824074074077068E-4</v>
      </c>
      <c r="Q94" s="217" t="s">
        <v>497</v>
      </c>
      <c r="R94" s="44"/>
      <c r="S94" s="44">
        <v>0.62650462962962961</v>
      </c>
      <c r="T94" s="44">
        <v>0.63643518518518516</v>
      </c>
      <c r="U94" s="44">
        <f t="shared" si="87"/>
        <v>9.9305555555555536E-3</v>
      </c>
      <c r="V94" s="217" t="s">
        <v>581</v>
      </c>
      <c r="W94" s="44"/>
      <c r="X94" s="44">
        <v>0.46943287037037035</v>
      </c>
      <c r="Y94" s="44">
        <v>0.46976851851851853</v>
      </c>
      <c r="Z94" s="44">
        <f t="shared" si="88"/>
        <v>3.3564814814818211E-4</v>
      </c>
      <c r="AA94" s="217" t="s">
        <v>681</v>
      </c>
      <c r="AB94" s="44"/>
      <c r="AC94" s="44">
        <v>0.13549768518518518</v>
      </c>
      <c r="AD94" s="44">
        <v>0.13592592592592592</v>
      </c>
      <c r="AE94" s="44">
        <f t="shared" si="89"/>
        <v>4.2824074074074292E-4</v>
      </c>
      <c r="AF94" s="217" t="s">
        <v>749</v>
      </c>
      <c r="AG94" s="44"/>
      <c r="AH94" s="44">
        <v>0.58263888888888882</v>
      </c>
      <c r="AI94" s="44">
        <v>0.58300925925925928</v>
      </c>
      <c r="AJ94" s="44">
        <f t="shared" si="90"/>
        <v>3.7037037037046527E-4</v>
      </c>
      <c r="AK94" s="217" t="s">
        <v>807</v>
      </c>
      <c r="AL94" s="65"/>
      <c r="AM94" s="65"/>
      <c r="AN94" s="65"/>
      <c r="AO94" s="217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72"/>
      <c r="BG94" s="72"/>
      <c r="BH94" s="73"/>
      <c r="BI94" s="65"/>
      <c r="BJ94" s="65"/>
      <c r="BK94" s="65"/>
    </row>
    <row r="95" spans="2:63">
      <c r="B95" s="63"/>
      <c r="C95">
        <v>0.11350694444444444</v>
      </c>
      <c r="D95">
        <v>0.11377314814814815</v>
      </c>
      <c r="E95" s="44">
        <f t="shared" si="94"/>
        <v>2.6620370370371294E-4</v>
      </c>
      <c r="F95" s="217" t="s">
        <v>230</v>
      </c>
      <c r="G95" s="44"/>
      <c r="H95" s="46">
        <v>0.28694444444444445</v>
      </c>
      <c r="I95" s="44">
        <v>0.28760416666666666</v>
      </c>
      <c r="J95" s="44">
        <f t="shared" si="92"/>
        <v>6.5972222222221433E-4</v>
      </c>
      <c r="K95" s="215" t="s">
        <v>394</v>
      </c>
      <c r="M95" s="44"/>
      <c r="N95" s="44">
        <v>0.62268518518518523</v>
      </c>
      <c r="O95" s="44">
        <v>0.62328703703703703</v>
      </c>
      <c r="P95" s="44">
        <f t="shared" si="86"/>
        <v>6.018518518517979E-4</v>
      </c>
      <c r="Q95" s="217" t="s">
        <v>497</v>
      </c>
      <c r="R95" s="44"/>
      <c r="S95" s="44">
        <v>0.65694444444444444</v>
      </c>
      <c r="T95" s="44">
        <v>0.65722222222222226</v>
      </c>
      <c r="U95" s="44">
        <f t="shared" si="87"/>
        <v>2.777777777778212E-4</v>
      </c>
      <c r="V95" s="217" t="s">
        <v>582</v>
      </c>
      <c r="W95" s="44"/>
      <c r="X95" s="44">
        <v>0.48652777777777773</v>
      </c>
      <c r="Y95" s="44">
        <v>0.48678240740740741</v>
      </c>
      <c r="Z95" s="44">
        <f t="shared" si="88"/>
        <v>2.5462962962968794E-4</v>
      </c>
      <c r="AA95" s="217" t="s">
        <v>681</v>
      </c>
      <c r="AB95" s="44"/>
      <c r="AC95" s="44">
        <v>0.14167824074074073</v>
      </c>
      <c r="AD95" s="44">
        <v>0.14208333333333334</v>
      </c>
      <c r="AE95" s="44">
        <f t="shared" si="89"/>
        <v>4.0509259259260966E-4</v>
      </c>
      <c r="AF95" s="217" t="s">
        <v>749</v>
      </c>
      <c r="AG95" s="44"/>
      <c r="AH95" s="44">
        <v>0.60923611111111109</v>
      </c>
      <c r="AI95" s="44">
        <v>0.60946759259259264</v>
      </c>
      <c r="AJ95" s="44">
        <f t="shared" si="90"/>
        <v>2.3148148148155467E-4</v>
      </c>
      <c r="AK95" s="217" t="s">
        <v>809</v>
      </c>
      <c r="AL95" s="65"/>
      <c r="AM95" s="65"/>
      <c r="AN95" s="65"/>
      <c r="AO95" s="217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72"/>
      <c r="BG95" s="72"/>
      <c r="BH95" s="73"/>
      <c r="BI95" s="65"/>
      <c r="BJ95" s="65"/>
      <c r="BK95" s="65"/>
    </row>
    <row r="96" spans="2:63">
      <c r="B96" s="15"/>
      <c r="C96">
        <v>0.14504629629629631</v>
      </c>
      <c r="D96">
        <v>0.14545138888888889</v>
      </c>
      <c r="E96" s="44">
        <f t="shared" si="94"/>
        <v>4.050925925925819E-4</v>
      </c>
      <c r="F96" s="217" t="s">
        <v>231</v>
      </c>
      <c r="G96" s="44"/>
      <c r="H96" s="46">
        <v>0.33453703703703702</v>
      </c>
      <c r="I96" s="44">
        <v>0.33484953703703701</v>
      </c>
      <c r="J96" s="44">
        <f t="shared" si="92"/>
        <v>3.1249999999999334E-4</v>
      </c>
      <c r="K96" s="215" t="s">
        <v>396</v>
      </c>
      <c r="M96" s="44"/>
      <c r="N96" s="44">
        <v>0.63665509259259256</v>
      </c>
      <c r="O96" s="44">
        <v>0.64818287037037037</v>
      </c>
      <c r="P96" s="44">
        <f t="shared" si="86"/>
        <v>1.1527777777777803E-2</v>
      </c>
      <c r="Q96" s="217" t="s">
        <v>498</v>
      </c>
      <c r="R96" s="44"/>
      <c r="S96" s="44">
        <v>0.69344907407407408</v>
      </c>
      <c r="T96" s="44">
        <v>0.6937268518518519</v>
      </c>
      <c r="U96" s="44">
        <f t="shared" si="87"/>
        <v>2.777777777778212E-4</v>
      </c>
      <c r="V96" s="217" t="s">
        <v>583</v>
      </c>
      <c r="W96" s="44"/>
      <c r="X96" s="44">
        <v>0.5756944444444444</v>
      </c>
      <c r="Y96" s="44">
        <v>0.58567129629629633</v>
      </c>
      <c r="Z96" s="44">
        <f t="shared" si="88"/>
        <v>9.9768518518519311E-3</v>
      </c>
      <c r="AA96" s="217" t="s">
        <v>683</v>
      </c>
      <c r="AB96" s="44"/>
      <c r="AC96" s="44">
        <v>0.16418981481481482</v>
      </c>
      <c r="AD96" s="44">
        <v>0.16446759259259261</v>
      </c>
      <c r="AE96" s="44">
        <f t="shared" si="89"/>
        <v>2.7777777777779344E-4</v>
      </c>
      <c r="AF96" s="217" t="s">
        <v>749</v>
      </c>
      <c r="AG96" s="44"/>
      <c r="AH96" s="44">
        <v>0.61958333333333326</v>
      </c>
      <c r="AI96" s="44">
        <v>0.61976851851851855</v>
      </c>
      <c r="AJ96" s="44">
        <f t="shared" si="90"/>
        <v>1.8518518518528815E-4</v>
      </c>
      <c r="AK96" s="217" t="s">
        <v>808</v>
      </c>
      <c r="AL96" s="65"/>
      <c r="AM96" s="65"/>
      <c r="AN96" s="65"/>
      <c r="AO96" s="217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72"/>
      <c r="BG96" s="72"/>
      <c r="BH96" s="73"/>
      <c r="BI96" s="65"/>
      <c r="BJ96" s="65"/>
      <c r="BK96" s="65"/>
    </row>
    <row r="97" spans="2:63">
      <c r="B97" s="15"/>
      <c r="C97" s="46">
        <v>0.1499537037037037</v>
      </c>
      <c r="D97" s="46">
        <v>0.15024305555555556</v>
      </c>
      <c r="E97" s="44">
        <f t="shared" si="94"/>
        <v>2.8935185185186008E-4</v>
      </c>
      <c r="F97" s="217" t="s">
        <v>231</v>
      </c>
      <c r="G97" s="65"/>
      <c r="H97" s="46">
        <v>0.38769675925925928</v>
      </c>
      <c r="I97" s="44">
        <v>0.38807870370370368</v>
      </c>
      <c r="J97" s="44">
        <f t="shared" si="92"/>
        <v>3.8194444444439313E-4</v>
      </c>
      <c r="K97" s="215" t="s">
        <v>397</v>
      </c>
      <c r="M97" s="44"/>
      <c r="N97" s="44">
        <v>0.65374999999999994</v>
      </c>
      <c r="O97" s="44">
        <v>0.65409722222222222</v>
      </c>
      <c r="P97" s="44">
        <f t="shared" si="86"/>
        <v>3.472222222222765E-4</v>
      </c>
      <c r="Q97" s="217"/>
      <c r="R97" s="44"/>
      <c r="S97" s="44">
        <v>0.6995717592592593</v>
      </c>
      <c r="T97" s="44">
        <v>0.69982638888888893</v>
      </c>
      <c r="U97" s="44">
        <f t="shared" si="87"/>
        <v>2.5462962962963243E-4</v>
      </c>
      <c r="V97" s="217" t="s">
        <v>583</v>
      </c>
      <c r="X97" s="44">
        <v>0.66686342592592596</v>
      </c>
      <c r="Y97" s="44">
        <v>0.66978009259259252</v>
      </c>
      <c r="Z97" s="44">
        <f t="shared" si="88"/>
        <v>2.9166666666665675E-3</v>
      </c>
      <c r="AA97" s="217" t="s">
        <v>689</v>
      </c>
      <c r="AB97" s="215"/>
      <c r="AC97" s="44">
        <v>0.18490740740740741</v>
      </c>
      <c r="AD97" s="44">
        <v>0.18559027777777778</v>
      </c>
      <c r="AE97" s="44">
        <f t="shared" si="89"/>
        <v>6.8287037037037535E-4</v>
      </c>
      <c r="AF97" s="217" t="s">
        <v>750</v>
      </c>
      <c r="AG97" s="215"/>
      <c r="AH97" s="44">
        <v>0.66733796296296299</v>
      </c>
      <c r="AI97" s="44">
        <v>0.68413194444444436</v>
      </c>
      <c r="AJ97" s="44">
        <f t="shared" si="90"/>
        <v>1.6793981481481368E-2</v>
      </c>
      <c r="AK97" s="217" t="s">
        <v>810</v>
      </c>
      <c r="AL97" s="65"/>
      <c r="AM97" s="65"/>
      <c r="AN97" s="65"/>
      <c r="AO97" s="217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72"/>
      <c r="BG97" s="72"/>
      <c r="BH97" s="73"/>
      <c r="BI97" s="65"/>
      <c r="BJ97" s="65"/>
      <c r="BK97" s="65"/>
    </row>
    <row r="98" spans="2:63">
      <c r="B98" s="65"/>
      <c r="C98" s="44">
        <v>0.15158564814814815</v>
      </c>
      <c r="D98" s="44">
        <v>0.15312499999999998</v>
      </c>
      <c r="E98" s="44">
        <f t="shared" si="94"/>
        <v>1.5393518518518334E-3</v>
      </c>
      <c r="F98" s="217" t="s">
        <v>231</v>
      </c>
      <c r="G98" s="58"/>
      <c r="H98" s="44">
        <v>0.40025462962962965</v>
      </c>
      <c r="I98" s="44">
        <v>0.40031250000000002</v>
      </c>
      <c r="J98" s="44">
        <f t="shared" si="92"/>
        <v>5.7870370370360913E-5</v>
      </c>
      <c r="K98" s="215" t="s">
        <v>397</v>
      </c>
      <c r="M98" s="44"/>
      <c r="N98" s="44">
        <v>0.68456018518518524</v>
      </c>
      <c r="O98" s="44">
        <v>0.68510416666666663</v>
      </c>
      <c r="P98" s="44">
        <f t="shared" si="86"/>
        <v>5.4398148148138148E-4</v>
      </c>
      <c r="Q98" s="217" t="s">
        <v>502</v>
      </c>
      <c r="R98" s="44"/>
      <c r="S98" s="44">
        <v>0.76271990740740747</v>
      </c>
      <c r="T98" s="44">
        <v>0.76292824074074073</v>
      </c>
      <c r="U98" s="44">
        <f t="shared" si="87"/>
        <v>2.0833333333325488E-4</v>
      </c>
      <c r="V98" s="217" t="s">
        <v>586</v>
      </c>
      <c r="X98" s="44">
        <v>0.70387731481481486</v>
      </c>
      <c r="Y98" s="44">
        <v>0.7061574074074074</v>
      </c>
      <c r="Z98" s="44">
        <f t="shared" si="88"/>
        <v>2.2800925925925419E-3</v>
      </c>
      <c r="AA98" s="217" t="s">
        <v>690</v>
      </c>
      <c r="AB98" s="215"/>
      <c r="AC98" s="44">
        <v>0.19954861111111111</v>
      </c>
      <c r="AD98" s="44">
        <v>0.20923611111111109</v>
      </c>
      <c r="AE98" s="44">
        <f t="shared" si="89"/>
        <v>9.6874999999999878E-3</v>
      </c>
      <c r="AF98" s="217" t="s">
        <v>751</v>
      </c>
      <c r="AG98" s="215"/>
      <c r="AH98" s="44">
        <v>0.70097222222222222</v>
      </c>
      <c r="AI98" s="44">
        <v>0.7013194444444445</v>
      </c>
      <c r="AJ98" s="44">
        <f t="shared" si="90"/>
        <v>3.472222222222765E-4</v>
      </c>
      <c r="AK98" s="217" t="s">
        <v>813</v>
      </c>
      <c r="AL98" s="65"/>
      <c r="AM98" s="65"/>
      <c r="AN98" s="65"/>
      <c r="AO98" s="217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72"/>
      <c r="BG98" s="72"/>
      <c r="BH98" s="73"/>
      <c r="BI98" s="65"/>
      <c r="BJ98" s="65"/>
      <c r="BK98" s="65"/>
    </row>
    <row r="99" spans="2:63">
      <c r="B99" s="65"/>
      <c r="C99" s="44">
        <v>0.20027777777777778</v>
      </c>
      <c r="D99" s="44">
        <v>0.20052083333333334</v>
      </c>
      <c r="E99" s="44">
        <f t="shared" si="94"/>
        <v>2.4305555555556579E-4</v>
      </c>
      <c r="F99" s="217" t="s">
        <v>232</v>
      </c>
      <c r="G99" s="65"/>
      <c r="H99" s="46"/>
      <c r="I99" s="222" t="s">
        <v>70</v>
      </c>
      <c r="J99" s="223">
        <f>SUM(J83:J98)</f>
        <v>6.0821759259259242E-2</v>
      </c>
      <c r="K99" s="215"/>
      <c r="M99" s="44"/>
      <c r="N99" s="44">
        <v>0.70299768518518524</v>
      </c>
      <c r="O99" s="44">
        <v>0.70336805555555559</v>
      </c>
      <c r="P99" s="44">
        <f t="shared" si="86"/>
        <v>3.7037037037035425E-4</v>
      </c>
      <c r="Q99" s="217" t="s">
        <v>503</v>
      </c>
      <c r="R99" s="44"/>
      <c r="S99" s="44">
        <v>0.76534722222222218</v>
      </c>
      <c r="T99" s="44">
        <v>0.76556712962962958</v>
      </c>
      <c r="U99" s="44">
        <f t="shared" si="87"/>
        <v>2.1990740740740478E-4</v>
      </c>
      <c r="V99" s="217" t="s">
        <v>587</v>
      </c>
      <c r="X99" s="44">
        <v>0.71311342592592597</v>
      </c>
      <c r="Y99" s="44">
        <v>0.7134490740740741</v>
      </c>
      <c r="Z99" s="44">
        <f t="shared" si="88"/>
        <v>3.356481481481266E-4</v>
      </c>
      <c r="AA99" s="217" t="s">
        <v>691</v>
      </c>
      <c r="AB99" s="215"/>
      <c r="AC99" s="44">
        <v>0.24049768518518519</v>
      </c>
      <c r="AD99" s="44">
        <v>0.2407060185185185</v>
      </c>
      <c r="AE99" s="44">
        <f t="shared" si="89"/>
        <v>2.0833333333331039E-4</v>
      </c>
      <c r="AF99" s="217" t="s">
        <v>752</v>
      </c>
      <c r="AG99" s="215"/>
      <c r="AH99" s="44">
        <v>0.72894675925925922</v>
      </c>
      <c r="AI99" s="44">
        <v>0.72931712962962969</v>
      </c>
      <c r="AJ99" s="44">
        <f t="shared" si="90"/>
        <v>3.7037037037046527E-4</v>
      </c>
      <c r="AK99" s="217" t="s">
        <v>813</v>
      </c>
      <c r="AL99" s="65"/>
      <c r="AM99" s="65"/>
      <c r="AN99" s="65"/>
      <c r="AO99" s="217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72"/>
      <c r="BG99" s="72"/>
      <c r="BH99" s="73"/>
      <c r="BI99" s="65"/>
      <c r="BJ99" s="65"/>
      <c r="BK99" s="65"/>
    </row>
    <row r="100" spans="2:63">
      <c r="B100" s="65"/>
      <c r="C100" s="44">
        <v>0.23402777777777781</v>
      </c>
      <c r="D100" s="44">
        <v>0.23439814814814816</v>
      </c>
      <c r="E100" s="44">
        <f t="shared" si="94"/>
        <v>3.7037037037035425E-4</v>
      </c>
      <c r="F100" s="217" t="s">
        <v>233</v>
      </c>
      <c r="G100" s="65"/>
      <c r="H100" s="46"/>
      <c r="I100" s="44"/>
      <c r="J100" s="44"/>
      <c r="K100" s="215"/>
      <c r="M100" s="44"/>
      <c r="N100" s="44">
        <v>0.71046296296296296</v>
      </c>
      <c r="O100" s="44">
        <v>0.71081018518518524</v>
      </c>
      <c r="P100" s="44">
        <f t="shared" si="86"/>
        <v>3.472222222222765E-4</v>
      </c>
      <c r="Q100" s="217" t="s">
        <v>503</v>
      </c>
      <c r="R100" s="44"/>
      <c r="S100" s="44">
        <v>0.77377314814814813</v>
      </c>
      <c r="T100" s="44">
        <v>0.77398148148148149</v>
      </c>
      <c r="U100" s="44">
        <f t="shared" si="87"/>
        <v>2.083333333333659E-4</v>
      </c>
      <c r="V100" s="217" t="s">
        <v>587</v>
      </c>
      <c r="X100" s="44">
        <v>0.75856481481481486</v>
      </c>
      <c r="Y100" s="44">
        <v>0.75896990740740744</v>
      </c>
      <c r="Z100" s="44">
        <f t="shared" si="88"/>
        <v>4.050925925925819E-4</v>
      </c>
      <c r="AA100" s="217" t="s">
        <v>692</v>
      </c>
      <c r="AB100" s="215"/>
      <c r="AC100" s="44">
        <v>0.27016203703703706</v>
      </c>
      <c r="AD100" s="44">
        <v>0.2706365740740741</v>
      </c>
      <c r="AE100" s="44">
        <f t="shared" si="89"/>
        <v>4.745370370370372E-4</v>
      </c>
      <c r="AF100" s="217"/>
      <c r="AG100" s="215"/>
      <c r="AH100" s="44">
        <v>0.78469907407407413</v>
      </c>
      <c r="AI100" s="44">
        <v>0.78498842592592588</v>
      </c>
      <c r="AJ100" s="44">
        <f t="shared" si="90"/>
        <v>2.8935185185174905E-4</v>
      </c>
      <c r="AK100" s="217" t="s">
        <v>814</v>
      </c>
      <c r="AL100" s="65"/>
      <c r="AM100" s="65"/>
      <c r="AN100" s="65"/>
      <c r="AO100" s="217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72"/>
      <c r="BG100" s="72"/>
      <c r="BH100" s="73"/>
      <c r="BI100" s="65"/>
      <c r="BJ100" s="65"/>
      <c r="BK100" s="65"/>
    </row>
    <row r="101" spans="2:63">
      <c r="B101" s="44"/>
      <c r="C101" s="44">
        <v>0.27731481481481485</v>
      </c>
      <c r="D101" s="44">
        <v>0.27781250000000002</v>
      </c>
      <c r="E101" s="44">
        <f t="shared" si="94"/>
        <v>4.9768518518517046E-4</v>
      </c>
      <c r="F101" s="217" t="s">
        <v>234</v>
      </c>
      <c r="G101" s="65"/>
      <c r="H101" s="44">
        <v>0.85309027777777768</v>
      </c>
      <c r="I101" s="44">
        <v>0.90776620370370376</v>
      </c>
      <c r="J101" s="44">
        <f t="shared" ref="J101:J105" si="95">I101-H101</f>
        <v>5.4675925925926072E-2</v>
      </c>
      <c r="K101" s="215" t="s">
        <v>425</v>
      </c>
      <c r="M101" s="44"/>
      <c r="N101" s="44">
        <v>0.71998842592592593</v>
      </c>
      <c r="O101" s="44">
        <v>0.7205787037037038</v>
      </c>
      <c r="P101" s="44">
        <f t="shared" si="86"/>
        <v>5.9027777777787005E-4</v>
      </c>
      <c r="Q101" s="217" t="s">
        <v>503</v>
      </c>
      <c r="R101" s="44"/>
      <c r="S101" s="44">
        <v>0.80253472222222222</v>
      </c>
      <c r="T101" s="44">
        <v>0.80274305555555558</v>
      </c>
      <c r="U101" s="44">
        <f t="shared" si="87"/>
        <v>2.083333333333659E-4</v>
      </c>
      <c r="V101" s="217" t="s">
        <v>587</v>
      </c>
      <c r="X101" s="44">
        <v>0.76063657407407403</v>
      </c>
      <c r="Y101" s="44">
        <v>0.76092592592592589</v>
      </c>
      <c r="Z101" s="44">
        <f t="shared" si="88"/>
        <v>2.8935185185186008E-4</v>
      </c>
      <c r="AA101" s="217" t="s">
        <v>692</v>
      </c>
      <c r="AB101" s="215"/>
      <c r="AC101" s="44">
        <v>0.2840625</v>
      </c>
      <c r="AD101" s="44">
        <v>0.28437499999999999</v>
      </c>
      <c r="AE101" s="44">
        <f t="shared" si="89"/>
        <v>3.1249999999999334E-4</v>
      </c>
      <c r="AF101" s="217" t="s">
        <v>753</v>
      </c>
      <c r="AG101" s="215"/>
      <c r="AH101" s="44">
        <v>0.86432870370370374</v>
      </c>
      <c r="AI101" s="44">
        <v>0.8647569444444444</v>
      </c>
      <c r="AJ101" s="44">
        <f t="shared" si="90"/>
        <v>4.2824074074065965E-4</v>
      </c>
      <c r="AK101" s="217" t="s">
        <v>817</v>
      </c>
      <c r="AL101" s="65"/>
      <c r="AM101" s="65"/>
      <c r="AN101" s="65"/>
      <c r="AO101" s="217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72"/>
      <c r="BG101" s="72"/>
      <c r="BH101" s="73"/>
      <c r="BI101" s="65"/>
      <c r="BJ101" s="65"/>
      <c r="BK101" s="65"/>
    </row>
    <row r="102" spans="2:63">
      <c r="B102" s="44"/>
      <c r="C102" s="44">
        <v>0.32417824074074075</v>
      </c>
      <c r="D102" s="44">
        <v>0.32442129629629629</v>
      </c>
      <c r="E102" s="44">
        <f t="shared" si="94"/>
        <v>2.4305555555553804E-4</v>
      </c>
      <c r="F102" s="217" t="s">
        <v>235</v>
      </c>
      <c r="G102" s="65"/>
      <c r="H102" s="52">
        <v>0.92322916666666666</v>
      </c>
      <c r="I102" s="44">
        <v>0.92347222222222225</v>
      </c>
      <c r="J102" s="44">
        <f t="shared" si="95"/>
        <v>2.4305555555559355E-4</v>
      </c>
      <c r="K102" s="215" t="s">
        <v>426</v>
      </c>
      <c r="M102" s="44"/>
      <c r="N102" s="44">
        <v>0.74152777777777779</v>
      </c>
      <c r="O102" s="44">
        <v>0.74177083333333327</v>
      </c>
      <c r="P102" s="44">
        <f t="shared" si="86"/>
        <v>2.4305555555548253E-4</v>
      </c>
      <c r="Q102" s="217" t="s">
        <v>504</v>
      </c>
      <c r="R102" s="44"/>
      <c r="S102" s="44">
        <v>0.80381944444444453</v>
      </c>
      <c r="T102" s="44">
        <v>0.80405092592592586</v>
      </c>
      <c r="U102" s="44">
        <f t="shared" si="87"/>
        <v>2.3148148148133263E-4</v>
      </c>
      <c r="V102" s="217" t="s">
        <v>587</v>
      </c>
      <c r="X102" s="44">
        <v>0.7653240740740741</v>
      </c>
      <c r="Y102" s="44">
        <v>0.76913194444444455</v>
      </c>
      <c r="Z102" s="44">
        <f t="shared" si="88"/>
        <v>3.8078703703704475E-3</v>
      </c>
      <c r="AA102" s="217" t="s">
        <v>692</v>
      </c>
      <c r="AB102" s="215"/>
      <c r="AC102" s="44">
        <v>0.28628472222222223</v>
      </c>
      <c r="AD102" s="44">
        <v>0.28652777777777777</v>
      </c>
      <c r="AE102" s="44">
        <f t="shared" si="89"/>
        <v>2.4305555555553804E-4</v>
      </c>
      <c r="AF102" s="217" t="s">
        <v>753</v>
      </c>
      <c r="AG102" s="215"/>
      <c r="AH102" s="44">
        <v>0.86962962962962964</v>
      </c>
      <c r="AI102" s="44">
        <v>0.86996527777777777</v>
      </c>
      <c r="AJ102" s="44">
        <f t="shared" si="90"/>
        <v>3.356481481481266E-4</v>
      </c>
      <c r="AK102" s="217" t="s">
        <v>817</v>
      </c>
      <c r="AL102" s="65"/>
      <c r="AM102" s="65"/>
      <c r="AN102" s="65"/>
      <c r="AO102" s="217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76"/>
      <c r="BG102" s="72"/>
      <c r="BH102" s="73"/>
      <c r="BI102" s="65"/>
      <c r="BJ102" s="65"/>
      <c r="BK102" s="65"/>
    </row>
    <row r="103" spans="2:63">
      <c r="B103" s="44"/>
      <c r="C103" s="44">
        <v>0.32491898148148146</v>
      </c>
      <c r="D103" s="44">
        <v>0.32525462962962964</v>
      </c>
      <c r="E103" s="44">
        <f t="shared" si="94"/>
        <v>3.3564814814818211E-4</v>
      </c>
      <c r="F103" s="217" t="s">
        <v>235</v>
      </c>
      <c r="G103" s="65"/>
      <c r="H103" s="52">
        <v>0.93487268518518529</v>
      </c>
      <c r="I103" s="44">
        <v>0.93533564814814818</v>
      </c>
      <c r="J103" s="44">
        <f t="shared" si="95"/>
        <v>4.629629629628873E-4</v>
      </c>
      <c r="K103" s="215" t="s">
        <v>426</v>
      </c>
      <c r="M103" s="44"/>
      <c r="N103" s="44">
        <v>0.7732175925925926</v>
      </c>
      <c r="O103" s="44">
        <v>0.77346064814814808</v>
      </c>
      <c r="P103" s="44">
        <f t="shared" si="86"/>
        <v>2.4305555555548253E-4</v>
      </c>
      <c r="Q103" s="217" t="s">
        <v>504</v>
      </c>
      <c r="R103" s="44"/>
      <c r="S103" s="44">
        <v>0.80834490740740739</v>
      </c>
      <c r="T103" s="44">
        <v>0.87260416666666663</v>
      </c>
      <c r="U103" s="44">
        <f t="shared" si="87"/>
        <v>6.4259259259259238E-2</v>
      </c>
      <c r="V103" s="217"/>
      <c r="X103" s="44">
        <v>0.78173611111111108</v>
      </c>
      <c r="Y103" s="44">
        <v>0.78244212962962967</v>
      </c>
      <c r="Z103" s="44">
        <f t="shared" si="88"/>
        <v>7.0601851851859188E-4</v>
      </c>
      <c r="AA103" s="217" t="s">
        <v>692</v>
      </c>
      <c r="AB103" s="215"/>
      <c r="AC103" s="44">
        <v>0.28972222222222221</v>
      </c>
      <c r="AD103" s="44">
        <v>0.29582175925925924</v>
      </c>
      <c r="AE103" s="44">
        <f t="shared" si="89"/>
        <v>6.0995370370370283E-3</v>
      </c>
      <c r="AF103" s="217" t="s">
        <v>753</v>
      </c>
      <c r="AG103" s="215"/>
      <c r="AH103" s="44">
        <v>0.90168981481481481</v>
      </c>
      <c r="AI103" s="44">
        <v>0.90195601851851848</v>
      </c>
      <c r="AJ103" s="44">
        <f t="shared" si="90"/>
        <v>2.662037037036713E-4</v>
      </c>
      <c r="AK103" s="217" t="s">
        <v>817</v>
      </c>
      <c r="AL103" s="65"/>
      <c r="AM103" s="65"/>
      <c r="AN103" s="65"/>
      <c r="AO103" s="217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76"/>
      <c r="BG103" s="72"/>
      <c r="BH103" s="73"/>
      <c r="BI103" s="65"/>
      <c r="BJ103" s="65"/>
      <c r="BK103" s="65"/>
    </row>
    <row r="104" spans="2:63">
      <c r="B104" s="44"/>
      <c r="C104" s="44">
        <v>0.35796296296296298</v>
      </c>
      <c r="D104" s="44">
        <v>0.35819444444444443</v>
      </c>
      <c r="E104" s="44">
        <f t="shared" si="94"/>
        <v>2.3148148148144365E-4</v>
      </c>
      <c r="F104" s="217" t="s">
        <v>236</v>
      </c>
      <c r="G104" s="65"/>
      <c r="H104" s="52">
        <v>0.94483796296296296</v>
      </c>
      <c r="I104" s="44">
        <v>0.94520833333333332</v>
      </c>
      <c r="J104" s="44">
        <f t="shared" si="95"/>
        <v>3.7037037037035425E-4</v>
      </c>
      <c r="K104" s="215" t="s">
        <v>426</v>
      </c>
      <c r="M104" s="44"/>
      <c r="N104" s="44">
        <v>0.86232638888888891</v>
      </c>
      <c r="O104" s="44">
        <v>0.8627893518518519</v>
      </c>
      <c r="P104" s="44">
        <f t="shared" si="86"/>
        <v>4.6296296296299833E-4</v>
      </c>
      <c r="Q104" s="217" t="s">
        <v>505</v>
      </c>
      <c r="R104" s="44"/>
      <c r="S104" s="44">
        <v>0.91924768518518529</v>
      </c>
      <c r="T104" s="44">
        <v>0.9196875000000001</v>
      </c>
      <c r="U104" s="44">
        <f t="shared" si="87"/>
        <v>4.3981481481480955E-4</v>
      </c>
      <c r="V104" s="217" t="s">
        <v>588</v>
      </c>
      <c r="X104" s="44">
        <v>0.79111111111111121</v>
      </c>
      <c r="Y104" s="44">
        <v>0.79140046296296296</v>
      </c>
      <c r="Z104" s="44">
        <f t="shared" si="88"/>
        <v>2.8935185185174905E-4</v>
      </c>
      <c r="AA104" s="217" t="s">
        <v>692</v>
      </c>
      <c r="AB104" s="215"/>
      <c r="AC104" s="44">
        <v>0.31491898148148151</v>
      </c>
      <c r="AD104" s="44">
        <v>0.31569444444444444</v>
      </c>
      <c r="AE104" s="44">
        <f t="shared" si="89"/>
        <v>7.7546296296293615E-4</v>
      </c>
      <c r="AF104" s="217" t="s">
        <v>753</v>
      </c>
      <c r="AG104" s="215"/>
      <c r="AH104" s="44">
        <v>0.91417824074074072</v>
      </c>
      <c r="AI104" s="44">
        <v>0.91443287037037047</v>
      </c>
      <c r="AJ104" s="44">
        <f t="shared" si="90"/>
        <v>2.5462962962974345E-4</v>
      </c>
      <c r="AK104" s="217" t="s">
        <v>818</v>
      </c>
      <c r="AL104" s="65"/>
      <c r="AM104" s="65"/>
      <c r="AN104" s="65"/>
      <c r="AO104" s="217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76"/>
      <c r="BG104" s="76"/>
      <c r="BH104" s="73"/>
      <c r="BI104" s="65"/>
      <c r="BJ104" s="65"/>
      <c r="BK104" s="65"/>
    </row>
    <row r="105" spans="2:63">
      <c r="B105" s="65"/>
      <c r="C105" s="44">
        <v>0.36581018518518515</v>
      </c>
      <c r="D105" s="44">
        <v>0.36600694444444443</v>
      </c>
      <c r="E105" s="44">
        <f t="shared" si="94"/>
        <v>1.9675925925927151E-4</v>
      </c>
      <c r="F105" s="217" t="s">
        <v>236</v>
      </c>
      <c r="G105" s="65"/>
      <c r="H105" s="52">
        <v>0.95799768518518524</v>
      </c>
      <c r="I105" s="44">
        <v>0.97307870370370375</v>
      </c>
      <c r="J105" s="44">
        <f t="shared" si="95"/>
        <v>1.5081018518518507E-2</v>
      </c>
      <c r="K105" s="215" t="s">
        <v>427</v>
      </c>
      <c r="M105" s="44"/>
      <c r="N105" s="44">
        <v>0.92961805555555566</v>
      </c>
      <c r="O105" s="44">
        <v>0.92991898148148155</v>
      </c>
      <c r="P105" s="44">
        <f t="shared" si="86"/>
        <v>3.0092592592589895E-4</v>
      </c>
      <c r="Q105" s="217" t="s">
        <v>506</v>
      </c>
      <c r="R105" s="44"/>
      <c r="S105" s="44">
        <v>0.95648148148148149</v>
      </c>
      <c r="T105" s="44">
        <v>0.95711805555555562</v>
      </c>
      <c r="U105" s="44">
        <f t="shared" si="87"/>
        <v>6.3657407407413658E-4</v>
      </c>
      <c r="V105" s="217" t="s">
        <v>588</v>
      </c>
      <c r="X105" s="44">
        <v>0.79765046296296294</v>
      </c>
      <c r="Y105" s="44">
        <v>0.79796296296296287</v>
      </c>
      <c r="Z105" s="44">
        <f t="shared" si="88"/>
        <v>3.1249999999993783E-4</v>
      </c>
      <c r="AA105" s="217" t="s">
        <v>694</v>
      </c>
      <c r="AB105" s="215"/>
      <c r="AC105" s="44">
        <v>0.34407407407407403</v>
      </c>
      <c r="AD105" s="44">
        <v>0.34436342592592589</v>
      </c>
      <c r="AE105" s="44">
        <f t="shared" si="89"/>
        <v>2.8935185185186008E-4</v>
      </c>
      <c r="AF105" s="217" t="s">
        <v>742</v>
      </c>
      <c r="AG105" s="215"/>
      <c r="AH105" s="44">
        <v>0.91978009259259252</v>
      </c>
      <c r="AI105" s="44">
        <v>0.92016203703703703</v>
      </c>
      <c r="AJ105" s="44">
        <f t="shared" si="90"/>
        <v>3.8194444444450415E-4</v>
      </c>
      <c r="AK105" s="217" t="s">
        <v>818</v>
      </c>
      <c r="AL105" s="65"/>
      <c r="AM105" s="65"/>
      <c r="AN105" s="65"/>
      <c r="AO105" s="217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76"/>
      <c r="BG105" s="76"/>
      <c r="BH105" s="73"/>
      <c r="BI105" s="65"/>
      <c r="BJ105" s="65"/>
      <c r="BK105" s="65"/>
    </row>
    <row r="106" spans="2:63">
      <c r="B106" s="65"/>
      <c r="C106" s="44">
        <v>0.3715162037037037</v>
      </c>
      <c r="D106" s="44">
        <v>0.37498842592592596</v>
      </c>
      <c r="E106" s="44">
        <f t="shared" si="94"/>
        <v>3.4722222222222654E-3</v>
      </c>
      <c r="F106" s="217" t="s">
        <v>237</v>
      </c>
      <c r="G106" s="65"/>
      <c r="H106" s="52"/>
      <c r="I106" s="222" t="s">
        <v>70</v>
      </c>
      <c r="J106" s="223">
        <f>SUM(J101:J105)</f>
        <v>7.0833333333333415E-2</v>
      </c>
      <c r="K106" s="215"/>
      <c r="M106" s="44"/>
      <c r="N106" s="44">
        <v>0.96190972222222226</v>
      </c>
      <c r="O106" s="44">
        <v>0.96219907407407401</v>
      </c>
      <c r="P106" s="44">
        <f t="shared" si="86"/>
        <v>2.8935185185174905E-4</v>
      </c>
      <c r="Q106" s="217" t="s">
        <v>507</v>
      </c>
      <c r="R106" s="44"/>
      <c r="S106" s="44"/>
      <c r="T106" s="222" t="s">
        <v>70</v>
      </c>
      <c r="U106" s="223">
        <f>SUM(U76:U105)</f>
        <v>0.19655092592592582</v>
      </c>
      <c r="V106" s="217"/>
      <c r="W106" s="44"/>
      <c r="X106" s="44">
        <v>0.82071759259259258</v>
      </c>
      <c r="Y106" s="44">
        <v>0.82104166666666656</v>
      </c>
      <c r="Z106" s="44">
        <f t="shared" si="88"/>
        <v>3.240740740739767E-4</v>
      </c>
      <c r="AA106" s="217" t="s">
        <v>694</v>
      </c>
      <c r="AB106" s="44"/>
      <c r="AC106" s="44">
        <v>0.34844907407407405</v>
      </c>
      <c r="AD106" s="44">
        <v>0.34880787037037037</v>
      </c>
      <c r="AE106" s="44">
        <f t="shared" si="89"/>
        <v>3.5879629629631538E-4</v>
      </c>
      <c r="AF106" s="217" t="s">
        <v>742</v>
      </c>
      <c r="AG106" s="44"/>
      <c r="AH106" s="44">
        <v>0.92932870370370368</v>
      </c>
      <c r="AI106" s="44">
        <v>0.92971064814814808</v>
      </c>
      <c r="AJ106" s="44">
        <f t="shared" si="90"/>
        <v>3.8194444444439313E-4</v>
      </c>
      <c r="AK106" s="217" t="s">
        <v>818</v>
      </c>
      <c r="AL106" s="65"/>
      <c r="AM106" s="65"/>
      <c r="AN106" s="65"/>
      <c r="AO106" s="217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52"/>
      <c r="BG106" s="77"/>
      <c r="BH106" s="47"/>
      <c r="BI106" s="65"/>
      <c r="BJ106" s="65"/>
      <c r="BK106" s="65"/>
    </row>
    <row r="107" spans="2:63">
      <c r="B107" s="65"/>
      <c r="C107" s="44"/>
      <c r="D107" s="222" t="s">
        <v>178</v>
      </c>
      <c r="E107" s="223">
        <f>SUM(E91:E106)</f>
        <v>2.060185185185185E-2</v>
      </c>
      <c r="F107" s="217"/>
      <c r="M107" s="44"/>
      <c r="N107" s="44"/>
      <c r="O107" s="222" t="s">
        <v>70</v>
      </c>
      <c r="P107" s="223">
        <f>SUM(P76:P106)</f>
        <v>4.4606481481481351E-2</v>
      </c>
      <c r="Q107" s="217"/>
      <c r="R107" s="217"/>
      <c r="W107" s="44"/>
      <c r="X107" s="44">
        <v>0.85024305555555557</v>
      </c>
      <c r="Y107" s="44">
        <v>0.85067129629629623</v>
      </c>
      <c r="Z107" s="44">
        <f t="shared" si="88"/>
        <v>4.2824074074065965E-4</v>
      </c>
      <c r="AA107" s="217" t="s">
        <v>695</v>
      </c>
      <c r="AB107" s="44"/>
      <c r="AC107" s="44">
        <v>0.38620370370370366</v>
      </c>
      <c r="AD107" s="44">
        <v>0.38658564814814816</v>
      </c>
      <c r="AE107" s="44">
        <f t="shared" si="89"/>
        <v>3.8194444444450415E-4</v>
      </c>
      <c r="AF107" s="217" t="s">
        <v>747</v>
      </c>
      <c r="AG107" s="44"/>
      <c r="AH107" s="44">
        <v>0.93739583333333332</v>
      </c>
      <c r="AI107" s="44">
        <v>0.93770833333333325</v>
      </c>
      <c r="AJ107" s="44">
        <f t="shared" si="90"/>
        <v>3.1249999999993783E-4</v>
      </c>
      <c r="AK107" s="217" t="s">
        <v>818</v>
      </c>
    </row>
    <row r="108" spans="2:63">
      <c r="B108" s="65"/>
      <c r="C108" s="44"/>
      <c r="D108" s="44"/>
      <c r="E108" s="44"/>
      <c r="F108" s="217"/>
      <c r="G108" s="12" t="s">
        <v>0</v>
      </c>
      <c r="H108" s="11" t="s">
        <v>14</v>
      </c>
      <c r="I108" s="11" t="s">
        <v>15</v>
      </c>
      <c r="J108" s="11" t="s">
        <v>16</v>
      </c>
      <c r="K108" s="216"/>
      <c r="R108" s="12" t="s">
        <v>0</v>
      </c>
      <c r="S108" s="11" t="s">
        <v>14</v>
      </c>
      <c r="T108" s="11" t="s">
        <v>15</v>
      </c>
      <c r="U108" s="11" t="s">
        <v>16</v>
      </c>
      <c r="V108" s="11"/>
      <c r="W108" s="44"/>
      <c r="X108" s="44">
        <v>0.86170138888888881</v>
      </c>
      <c r="Y108" s="44">
        <v>0.86203703703703705</v>
      </c>
      <c r="Z108" s="44">
        <f t="shared" si="88"/>
        <v>3.3564814814823762E-4</v>
      </c>
      <c r="AA108" s="217" t="s">
        <v>695</v>
      </c>
      <c r="AB108" s="44"/>
      <c r="AC108" s="44">
        <v>0.38743055555555556</v>
      </c>
      <c r="AD108" s="44">
        <v>0.38790509259259259</v>
      </c>
      <c r="AE108" s="44">
        <f t="shared" si="89"/>
        <v>4.745370370370372E-4</v>
      </c>
      <c r="AF108" s="217" t="s">
        <v>747</v>
      </c>
      <c r="AG108" s="44"/>
      <c r="AH108" s="44">
        <v>0.94846064814814823</v>
      </c>
      <c r="AI108" s="44">
        <v>0.94883101851851848</v>
      </c>
      <c r="AJ108" s="44">
        <f t="shared" si="90"/>
        <v>3.7037037037024323E-4</v>
      </c>
      <c r="AK108" s="217" t="s">
        <v>820</v>
      </c>
    </row>
    <row r="109" spans="2:63">
      <c r="B109" s="12" t="s">
        <v>13</v>
      </c>
      <c r="C109" s="11" t="s">
        <v>10</v>
      </c>
      <c r="D109" s="11" t="s">
        <v>11</v>
      </c>
      <c r="E109" s="11" t="s">
        <v>12</v>
      </c>
      <c r="F109" s="219"/>
      <c r="G109" s="58">
        <v>43131</v>
      </c>
      <c r="H109" s="44">
        <v>2.2627314814814819E-2</v>
      </c>
      <c r="I109" s="44">
        <v>2.9976851851851852E-2</v>
      </c>
      <c r="J109" s="44">
        <f t="shared" ref="J109:J124" si="96">I109-H109</f>
        <v>7.3495370370370329E-3</v>
      </c>
      <c r="K109" s="217">
        <v>310</v>
      </c>
      <c r="M109" s="12" t="s">
        <v>0</v>
      </c>
      <c r="N109" s="11" t="s">
        <v>14</v>
      </c>
      <c r="O109" s="11" t="s">
        <v>15</v>
      </c>
      <c r="P109" s="11" t="s">
        <v>16</v>
      </c>
      <c r="Q109" s="216"/>
      <c r="R109" s="58">
        <v>43138</v>
      </c>
      <c r="S109" s="44">
        <v>4.296296296296296E-2</v>
      </c>
      <c r="T109" s="44">
        <v>4.3472222222222225E-2</v>
      </c>
      <c r="U109" s="44">
        <f t="shared" ref="U109:U121" si="97">T109-S109</f>
        <v>5.0925925925926485E-4</v>
      </c>
      <c r="V109" s="217" t="s">
        <v>595</v>
      </c>
      <c r="W109"/>
      <c r="X109" s="44">
        <v>0.87634259259259262</v>
      </c>
      <c r="Y109" s="44">
        <v>0.87902777777777785</v>
      </c>
      <c r="Z109" s="44">
        <f t="shared" si="88"/>
        <v>2.6851851851852349E-3</v>
      </c>
      <c r="AA109" s="215" t="s">
        <v>696</v>
      </c>
      <c r="AC109" s="44">
        <v>0.39443287037037034</v>
      </c>
      <c r="AD109" s="44">
        <v>0.39717592592592593</v>
      </c>
      <c r="AE109" s="44">
        <f t="shared" si="89"/>
        <v>2.7430555555555958E-3</v>
      </c>
      <c r="AF109" s="217" t="s">
        <v>747</v>
      </c>
      <c r="AG109" s="44"/>
      <c r="AH109" s="44">
        <v>0.97233796296296304</v>
      </c>
      <c r="AI109" s="44">
        <v>0.97281249999999997</v>
      </c>
      <c r="AJ109" s="44">
        <f t="shared" si="90"/>
        <v>4.7453703703692618E-4</v>
      </c>
      <c r="AK109" s="217" t="s">
        <v>820</v>
      </c>
    </row>
    <row r="110" spans="2:63">
      <c r="B110" s="58">
        <v>43125</v>
      </c>
      <c r="C110" s="44"/>
      <c r="D110" s="44"/>
      <c r="E110" s="44"/>
      <c r="F110" s="217"/>
      <c r="G110" s="44"/>
      <c r="H110" s="59">
        <v>4.0046296296296295E-2</v>
      </c>
      <c r="I110" s="59">
        <v>4.0451388888888891E-2</v>
      </c>
      <c r="J110" s="44">
        <f t="shared" si="96"/>
        <v>4.0509259259259578E-4</v>
      </c>
      <c r="K110" s="217">
        <v>310</v>
      </c>
      <c r="M110" s="58">
        <v>43135</v>
      </c>
      <c r="N110" s="44">
        <v>1.8159722222222219E-2</v>
      </c>
      <c r="O110" s="44">
        <v>1.8657407407407407E-2</v>
      </c>
      <c r="P110" s="44">
        <f t="shared" ref="P110:P148" si="98">O110-N110</f>
        <v>4.9768518518518781E-4</v>
      </c>
      <c r="Q110" s="217" t="s">
        <v>510</v>
      </c>
      <c r="R110" s="44"/>
      <c r="S110">
        <v>8.7349537037037031E-2</v>
      </c>
      <c r="T110" s="44">
        <v>0.11403935185185186</v>
      </c>
      <c r="U110" s="44">
        <f t="shared" si="97"/>
        <v>2.6689814814814833E-2</v>
      </c>
      <c r="V110" s="217" t="s">
        <v>596</v>
      </c>
      <c r="W110"/>
      <c r="X110" s="44"/>
      <c r="Y110" s="222" t="s">
        <v>70</v>
      </c>
      <c r="Z110" s="223">
        <f>SUM(Z76:Z109)</f>
        <v>6.9421296296296245E-2</v>
      </c>
      <c r="AA110" s="215"/>
      <c r="AC110" s="44">
        <v>0.46666666666666662</v>
      </c>
      <c r="AD110" s="44">
        <v>0.46706018518518522</v>
      </c>
      <c r="AE110" s="44">
        <f t="shared" si="89"/>
        <v>3.9351851851859854E-4</v>
      </c>
      <c r="AF110" s="215" t="s">
        <v>754</v>
      </c>
      <c r="AG110" s="44"/>
      <c r="AH110" s="44"/>
      <c r="AI110" s="222" t="s">
        <v>70</v>
      </c>
      <c r="AJ110" s="223">
        <f>SUM(AJ76:AJ109)</f>
        <v>6.3761574074073818E-2</v>
      </c>
      <c r="AK110" s="217"/>
    </row>
    <row r="111" spans="2:63">
      <c r="B111" s="44"/>
      <c r="C111" s="44"/>
      <c r="D111" s="44"/>
      <c r="E111" s="44"/>
      <c r="F111" s="217"/>
      <c r="G111" s="44"/>
      <c r="H111" s="59">
        <v>4.0914351851851848E-2</v>
      </c>
      <c r="I111" s="59">
        <v>4.1203703703703708E-2</v>
      </c>
      <c r="J111" s="44">
        <f t="shared" si="96"/>
        <v>2.8935185185186008E-4</v>
      </c>
      <c r="K111" s="217">
        <v>310</v>
      </c>
      <c r="M111" s="44"/>
      <c r="N111">
        <v>4.553240740740741E-2</v>
      </c>
      <c r="O111" s="44">
        <v>4.5740740740740742E-2</v>
      </c>
      <c r="P111" s="44">
        <f t="shared" si="98"/>
        <v>2.0833333333333121E-4</v>
      </c>
      <c r="Q111" s="217" t="s">
        <v>511</v>
      </c>
      <c r="R111" s="44"/>
      <c r="S111" s="44">
        <v>0.18481481481481479</v>
      </c>
      <c r="T111" s="44">
        <v>0.18504629629629629</v>
      </c>
      <c r="U111" s="44">
        <f t="shared" si="97"/>
        <v>2.3148148148149916E-4</v>
      </c>
      <c r="V111" s="217" t="s">
        <v>597</v>
      </c>
      <c r="AC111" s="44">
        <v>0.49607638888888889</v>
      </c>
      <c r="AD111" s="44">
        <v>0.49641203703703707</v>
      </c>
      <c r="AE111" s="44">
        <f t="shared" si="89"/>
        <v>3.3564814814818211E-4</v>
      </c>
      <c r="AF111" s="215" t="s">
        <v>754</v>
      </c>
    </row>
    <row r="112" spans="2:63">
      <c r="B112" s="44"/>
      <c r="C112" s="44"/>
      <c r="D112" s="222" t="s">
        <v>70</v>
      </c>
      <c r="E112" s="223">
        <f>SUM(E110:E111)</f>
        <v>0</v>
      </c>
      <c r="F112" s="217"/>
      <c r="G112" s="44"/>
      <c r="H112" s="60">
        <v>7.3576388888888886E-2</v>
      </c>
      <c r="I112" s="60">
        <v>7.3969907407407401E-2</v>
      </c>
      <c r="J112" s="44">
        <f t="shared" si="96"/>
        <v>3.9351851851851527E-4</v>
      </c>
      <c r="K112" s="217" t="s">
        <v>428</v>
      </c>
      <c r="M112" s="44"/>
      <c r="N112" s="44">
        <v>5.7743055555555554E-2</v>
      </c>
      <c r="O112" s="44">
        <v>5.7962962962962959E-2</v>
      </c>
      <c r="P112" s="44">
        <f t="shared" si="98"/>
        <v>2.1990740740740478E-4</v>
      </c>
      <c r="Q112" s="217" t="s">
        <v>511</v>
      </c>
      <c r="R112" s="44"/>
      <c r="S112" s="127">
        <v>0.18635416666666668</v>
      </c>
      <c r="T112" s="44">
        <v>0.1870138888888889</v>
      </c>
      <c r="U112" s="44">
        <f t="shared" si="97"/>
        <v>6.5972222222221433E-4</v>
      </c>
      <c r="V112" s="217" t="s">
        <v>597</v>
      </c>
      <c r="W112" s="12" t="s">
        <v>0</v>
      </c>
      <c r="X112" s="11" t="s">
        <v>14</v>
      </c>
      <c r="Y112" s="11" t="s">
        <v>15</v>
      </c>
      <c r="Z112" s="11" t="s">
        <v>16</v>
      </c>
      <c r="AA112" s="216"/>
      <c r="AC112" s="44">
        <v>0.50452546296296297</v>
      </c>
      <c r="AD112" s="127">
        <v>0.5047800925925926</v>
      </c>
      <c r="AE112" s="44">
        <f t="shared" si="89"/>
        <v>2.5462962962963243E-4</v>
      </c>
      <c r="AF112" s="215" t="s">
        <v>754</v>
      </c>
      <c r="AG112" s="12" t="s">
        <v>0</v>
      </c>
      <c r="AH112" s="11" t="s">
        <v>14</v>
      </c>
      <c r="AI112" s="11" t="s">
        <v>15</v>
      </c>
      <c r="AJ112" s="11" t="s">
        <v>16</v>
      </c>
      <c r="AK112" s="216"/>
    </row>
    <row r="113" spans="2:41">
      <c r="G113" s="44"/>
      <c r="H113" s="60">
        <v>0.13871527777777778</v>
      </c>
      <c r="I113" s="60">
        <v>0.13909722222222223</v>
      </c>
      <c r="J113" s="44">
        <f t="shared" si="96"/>
        <v>3.8194444444444864E-4</v>
      </c>
      <c r="K113" s="217" t="s">
        <v>429</v>
      </c>
      <c r="M113" s="44"/>
      <c r="N113" s="44">
        <v>0.14385416666666667</v>
      </c>
      <c r="O113" s="44">
        <v>0.16043981481481481</v>
      </c>
      <c r="P113" s="44">
        <f t="shared" si="98"/>
        <v>1.6585648148148141E-2</v>
      </c>
      <c r="Q113" s="217" t="s">
        <v>514</v>
      </c>
      <c r="R113" s="44"/>
      <c r="S113" s="44">
        <v>0.21027777777777779</v>
      </c>
      <c r="T113" s="44">
        <v>0.21061342592592591</v>
      </c>
      <c r="U113" s="44">
        <f t="shared" si="97"/>
        <v>3.356481481481266E-4</v>
      </c>
      <c r="V113" s="217" t="s">
        <v>600</v>
      </c>
      <c r="W113" s="58">
        <v>43147</v>
      </c>
      <c r="X113" s="44">
        <v>4.2187499999999996E-2</v>
      </c>
      <c r="Y113" s="127">
        <v>5.0173611111111106E-2</v>
      </c>
      <c r="Z113" s="44">
        <f t="shared" ref="Z113:Z151" si="99">Y113-X113</f>
        <v>7.9861111111111105E-3</v>
      </c>
      <c r="AA113" s="249" t="s">
        <v>698</v>
      </c>
      <c r="AC113" s="44">
        <v>0.58053240740740741</v>
      </c>
      <c r="AD113" s="44">
        <v>0.58104166666666668</v>
      </c>
      <c r="AE113" s="44">
        <f t="shared" si="89"/>
        <v>5.0925925925926485E-4</v>
      </c>
      <c r="AF113" s="215" t="s">
        <v>755</v>
      </c>
      <c r="AG113" s="58">
        <v>43152</v>
      </c>
      <c r="AH113" s="44">
        <v>2.5868055555555557E-2</v>
      </c>
      <c r="AI113" s="127">
        <v>2.9942129629629628E-2</v>
      </c>
      <c r="AJ113" s="44">
        <f t="shared" ref="AJ113:AJ125" si="100">AI113-AH113</f>
        <v>4.0740740740740702E-3</v>
      </c>
      <c r="AK113" s="249" t="s">
        <v>821</v>
      </c>
    </row>
    <row r="114" spans="2:41">
      <c r="B114" s="12" t="s">
        <v>13</v>
      </c>
      <c r="C114" s="11" t="s">
        <v>10</v>
      </c>
      <c r="D114" s="11" t="s">
        <v>11</v>
      </c>
      <c r="E114" s="11" t="s">
        <v>12</v>
      </c>
      <c r="F114" s="216"/>
      <c r="G114" s="65"/>
      <c r="H114" s="60">
        <v>0.1416550925925926</v>
      </c>
      <c r="I114" s="60">
        <v>0.1421064814814815</v>
      </c>
      <c r="J114" s="44">
        <f t="shared" si="96"/>
        <v>4.5138888888890394E-4</v>
      </c>
      <c r="K114" s="217" t="s">
        <v>430</v>
      </c>
      <c r="M114" s="44"/>
      <c r="N114" s="44">
        <v>0.18234953703703705</v>
      </c>
      <c r="O114" s="44">
        <v>0.20473379629629629</v>
      </c>
      <c r="P114" s="44">
        <f t="shared" si="98"/>
        <v>2.2384259259259243E-2</v>
      </c>
      <c r="Q114" s="217" t="s">
        <v>516</v>
      </c>
      <c r="R114" s="44"/>
      <c r="S114" s="44">
        <v>0.21542824074074074</v>
      </c>
      <c r="T114" s="44">
        <v>0.22601851851851851</v>
      </c>
      <c r="U114" s="44">
        <f t="shared" si="97"/>
        <v>1.0590277777777768E-2</v>
      </c>
      <c r="V114" s="217" t="s">
        <v>600</v>
      </c>
      <c r="W114" s="44"/>
      <c r="X114">
        <v>5.4456018518518522E-2</v>
      </c>
      <c r="Y114" s="127">
        <v>5.4722222222222228E-2</v>
      </c>
      <c r="Z114" s="44">
        <f t="shared" si="99"/>
        <v>2.66203703703706E-4</v>
      </c>
      <c r="AA114" s="215" t="s">
        <v>699</v>
      </c>
      <c r="AC114" s="44">
        <v>0.66475694444444444</v>
      </c>
      <c r="AD114" s="250">
        <v>0.6650462962962963</v>
      </c>
      <c r="AE114" s="44">
        <f t="shared" si="89"/>
        <v>2.8935185185186008E-4</v>
      </c>
      <c r="AF114" s="215" t="s">
        <v>756</v>
      </c>
      <c r="AG114" s="44"/>
      <c r="AH114">
        <v>4.3472222222222225E-2</v>
      </c>
      <c r="AI114" s="127">
        <v>4.3761574074074078E-2</v>
      </c>
      <c r="AJ114" s="44">
        <f t="shared" si="100"/>
        <v>2.8935185185185314E-4</v>
      </c>
      <c r="AK114" s="249" t="s">
        <v>822</v>
      </c>
      <c r="AO114"/>
    </row>
    <row r="115" spans="2:41">
      <c r="B115" s="58">
        <v>43126</v>
      </c>
      <c r="C115" s="44">
        <v>2.8703703703703708E-3</v>
      </c>
      <c r="D115" s="44">
        <v>3.3564814814814811E-3</v>
      </c>
      <c r="E115" s="44">
        <f>D115-C115</f>
        <v>4.8611111111111034E-4</v>
      </c>
      <c r="F115" s="217"/>
      <c r="G115" s="65"/>
      <c r="H115" s="60">
        <v>0.15630787037037039</v>
      </c>
      <c r="I115" s="60">
        <v>0.15660879629629629</v>
      </c>
      <c r="J115" s="44">
        <f t="shared" si="96"/>
        <v>3.0092592592589895E-4</v>
      </c>
      <c r="K115" s="217" t="s">
        <v>430</v>
      </c>
      <c r="M115" s="44"/>
      <c r="N115" s="44">
        <v>0.20644675925925926</v>
      </c>
      <c r="O115" s="44">
        <v>0.20953703703703705</v>
      </c>
      <c r="P115" s="44">
        <f t="shared" si="98"/>
        <v>3.090277777777789E-3</v>
      </c>
      <c r="Q115" s="217" t="s">
        <v>517</v>
      </c>
      <c r="R115" s="44"/>
      <c r="S115" s="127">
        <v>0.25335648148148149</v>
      </c>
      <c r="T115" s="52">
        <v>0.25363425925925925</v>
      </c>
      <c r="U115" s="44">
        <f t="shared" si="97"/>
        <v>2.7777777777776569E-4</v>
      </c>
      <c r="V115" s="217" t="s">
        <v>600</v>
      </c>
      <c r="W115" s="44"/>
      <c r="X115" s="127">
        <v>8.0520833333333333E-2</v>
      </c>
      <c r="Y115" s="127">
        <v>8.8101851851851862E-2</v>
      </c>
      <c r="Z115" s="44">
        <f t="shared" si="99"/>
        <v>7.5810185185185286E-3</v>
      </c>
      <c r="AA115" s="215" t="s">
        <v>700</v>
      </c>
      <c r="AC115" s="44">
        <v>0.69317129629629637</v>
      </c>
      <c r="AD115" s="44">
        <v>0.69803240740740735</v>
      </c>
      <c r="AE115" s="44">
        <f t="shared" si="89"/>
        <v>4.8611111111109828E-3</v>
      </c>
      <c r="AF115" s="215"/>
      <c r="AG115" s="44"/>
      <c r="AH115" s="127">
        <v>5.2708333333333336E-2</v>
      </c>
      <c r="AI115" s="127">
        <v>5.2997685185185182E-2</v>
      </c>
      <c r="AJ115" s="44">
        <f t="shared" si="100"/>
        <v>2.893518518518462E-4</v>
      </c>
      <c r="AK115" s="249" t="s">
        <v>822</v>
      </c>
      <c r="AO115"/>
    </row>
    <row r="116" spans="2:41">
      <c r="B116" s="44"/>
      <c r="C116" s="44">
        <v>1.1932870370370371E-2</v>
      </c>
      <c r="D116" s="44">
        <v>1.2280092592592592E-2</v>
      </c>
      <c r="E116" s="44">
        <f>D116-C116</f>
        <v>3.4722222222222099E-4</v>
      </c>
      <c r="F116" s="217"/>
      <c r="G116" s="65"/>
      <c r="H116" s="60">
        <v>0.17261574074074074</v>
      </c>
      <c r="I116" s="60">
        <v>0.18410879629629628</v>
      </c>
      <c r="J116" s="44">
        <f t="shared" si="96"/>
        <v>1.1493055555555548E-2</v>
      </c>
      <c r="K116" s="217" t="s">
        <v>430</v>
      </c>
      <c r="M116" s="44"/>
      <c r="N116" s="44">
        <v>0.30057870370370371</v>
      </c>
      <c r="O116" s="52">
        <v>0.30103009259259256</v>
      </c>
      <c r="P116" s="44">
        <f t="shared" si="98"/>
        <v>4.5138888888884843E-4</v>
      </c>
      <c r="Q116" s="217" t="s">
        <v>518</v>
      </c>
      <c r="R116" s="44"/>
      <c r="S116" s="44">
        <v>0.30002314814814818</v>
      </c>
      <c r="T116" s="127">
        <v>0.30052083333333335</v>
      </c>
      <c r="U116" s="44">
        <f t="shared" si="97"/>
        <v>4.9768518518517046E-4</v>
      </c>
      <c r="V116" s="217" t="s">
        <v>601</v>
      </c>
      <c r="W116" s="44"/>
      <c r="X116" s="127">
        <v>8.9409722222222224E-2</v>
      </c>
      <c r="Y116" s="127">
        <v>9.8900462962962954E-2</v>
      </c>
      <c r="Z116" s="44">
        <f t="shared" si="99"/>
        <v>9.4907407407407302E-3</v>
      </c>
      <c r="AA116" s="215" t="s">
        <v>701</v>
      </c>
      <c r="AB116" s="215"/>
      <c r="AC116" s="44">
        <v>0.71271990740740743</v>
      </c>
      <c r="AD116" s="250">
        <v>0.71315972222222224</v>
      </c>
      <c r="AE116" s="44">
        <f t="shared" si="89"/>
        <v>4.3981481481480955E-4</v>
      </c>
      <c r="AF116" s="215">
        <v>674</v>
      </c>
      <c r="AG116" s="44"/>
      <c r="AH116" s="127">
        <v>6.5925925925925929E-2</v>
      </c>
      <c r="AI116" s="127">
        <v>6.6145833333333334E-2</v>
      </c>
      <c r="AJ116" s="44">
        <f t="shared" si="100"/>
        <v>2.1990740740740478E-4</v>
      </c>
      <c r="AK116" s="249" t="s">
        <v>822</v>
      </c>
      <c r="AO116"/>
    </row>
    <row r="117" spans="2:41">
      <c r="B117" s="44"/>
      <c r="C117" s="44">
        <v>2.1076388888888891E-2</v>
      </c>
      <c r="D117" s="44">
        <v>2.1562499999999998E-2</v>
      </c>
      <c r="E117" s="44">
        <f>D117-C117</f>
        <v>4.861111111111073E-4</v>
      </c>
      <c r="F117" s="217"/>
      <c r="G117" s="65"/>
      <c r="H117" s="60">
        <v>0.18913194444444445</v>
      </c>
      <c r="I117" s="60">
        <v>0.18940972222222222</v>
      </c>
      <c r="J117" s="44">
        <f t="shared" si="96"/>
        <v>2.7777777777776569E-4</v>
      </c>
      <c r="K117" s="236" t="s">
        <v>431</v>
      </c>
      <c r="M117" s="44"/>
      <c r="N117" s="44">
        <v>0.31310185185185185</v>
      </c>
      <c r="O117" s="44">
        <v>0.31344907407407407</v>
      </c>
      <c r="P117" s="44">
        <f t="shared" si="98"/>
        <v>3.4722222222222099E-4</v>
      </c>
      <c r="Q117" s="217" t="s">
        <v>518</v>
      </c>
      <c r="R117" s="44"/>
      <c r="S117" s="44">
        <v>0.3273726851851852</v>
      </c>
      <c r="T117" s="44">
        <v>0.3354166666666667</v>
      </c>
      <c r="U117" s="44">
        <f t="shared" si="97"/>
        <v>8.0439814814814992E-3</v>
      </c>
      <c r="V117" s="217" t="s">
        <v>584</v>
      </c>
      <c r="W117" s="44"/>
      <c r="X117" s="44">
        <v>0.10188657407407407</v>
      </c>
      <c r="Y117" s="44">
        <v>0.10233796296296298</v>
      </c>
      <c r="Z117" s="44">
        <f t="shared" si="99"/>
        <v>4.5138888888890394E-4</v>
      </c>
      <c r="AA117" s="215" t="s">
        <v>701</v>
      </c>
      <c r="AB117" s="215"/>
      <c r="AC117" s="44">
        <v>0.75673611111111105</v>
      </c>
      <c r="AD117" s="44">
        <v>0.75703703703703706</v>
      </c>
      <c r="AE117" s="44">
        <f t="shared" si="89"/>
        <v>3.0092592592600997E-4</v>
      </c>
      <c r="AF117" s="215" t="s">
        <v>758</v>
      </c>
      <c r="AG117" s="44"/>
      <c r="AH117" s="44">
        <v>8.0578703703703694E-2</v>
      </c>
      <c r="AI117" s="44">
        <v>0.11686342592592593</v>
      </c>
      <c r="AJ117" s="44">
        <f t="shared" si="100"/>
        <v>3.6284722222222232E-2</v>
      </c>
      <c r="AK117" s="249" t="s">
        <v>823</v>
      </c>
      <c r="AO117"/>
    </row>
    <row r="118" spans="2:41">
      <c r="B118" s="44"/>
      <c r="C118" s="44">
        <v>5.0879629629629629E-2</v>
      </c>
      <c r="D118" s="44">
        <v>5.1342592592592586E-2</v>
      </c>
      <c r="E118" s="44">
        <f t="shared" ref="E118:E133" si="101">D118-C118</f>
        <v>4.6296296296295669E-4</v>
      </c>
      <c r="F118" s="217" t="s">
        <v>268</v>
      </c>
      <c r="G118" s="65"/>
      <c r="H118" s="60">
        <v>0.23357638888888888</v>
      </c>
      <c r="I118" s="60">
        <v>0.23394675925925926</v>
      </c>
      <c r="J118" s="44">
        <f t="shared" si="96"/>
        <v>3.7037037037038201E-4</v>
      </c>
      <c r="K118" s="237" t="s">
        <v>432</v>
      </c>
      <c r="M118" s="44"/>
      <c r="N118" s="44">
        <v>0.3633912037037037</v>
      </c>
      <c r="O118" s="44">
        <v>0.36381944444444447</v>
      </c>
      <c r="P118" s="44">
        <f t="shared" si="98"/>
        <v>4.2824074074077068E-4</v>
      </c>
      <c r="Q118" s="217" t="s">
        <v>501</v>
      </c>
      <c r="R118" s="44"/>
      <c r="S118" s="44">
        <v>0.3439814814814815</v>
      </c>
      <c r="T118" s="44">
        <v>0.34424768518518517</v>
      </c>
      <c r="U118" s="44">
        <f t="shared" si="97"/>
        <v>2.662037037036713E-4</v>
      </c>
      <c r="V118" s="217" t="s">
        <v>584</v>
      </c>
      <c r="W118" s="44"/>
      <c r="X118" s="44">
        <v>0.13922453703703705</v>
      </c>
      <c r="Y118" s="127">
        <v>0.13950231481481482</v>
      </c>
      <c r="Z118" s="44">
        <f t="shared" si="99"/>
        <v>2.7777777777776569E-4</v>
      </c>
      <c r="AA118" s="215" t="s">
        <v>703</v>
      </c>
      <c r="AB118" s="215"/>
      <c r="AC118" s="44">
        <v>0.77478009259259262</v>
      </c>
      <c r="AD118" s="250">
        <v>0.77512731481481489</v>
      </c>
      <c r="AE118" s="44">
        <f t="shared" si="89"/>
        <v>3.472222222222765E-4</v>
      </c>
      <c r="AF118" s="215" t="s">
        <v>759</v>
      </c>
      <c r="AG118" s="44"/>
      <c r="AH118" s="44">
        <v>0.13468749999999999</v>
      </c>
      <c r="AI118" s="127">
        <v>0.13510416666666666</v>
      </c>
      <c r="AJ118" s="44">
        <f t="shared" si="100"/>
        <v>4.1666666666667629E-4</v>
      </c>
      <c r="AK118" s="249" t="s">
        <v>824</v>
      </c>
      <c r="AO118"/>
    </row>
    <row r="119" spans="2:41">
      <c r="B119" s="63"/>
      <c r="C119" s="64">
        <v>5.3310185185185183E-2</v>
      </c>
      <c r="D119" s="64">
        <v>5.3599537037037036E-2</v>
      </c>
      <c r="E119" s="44">
        <f t="shared" si="101"/>
        <v>2.8935185185185314E-4</v>
      </c>
      <c r="F119" s="217" t="s">
        <v>268</v>
      </c>
      <c r="G119" s="65"/>
      <c r="H119" s="60">
        <v>0.23428240740740738</v>
      </c>
      <c r="I119" s="60">
        <v>0.23515046296296296</v>
      </c>
      <c r="J119" s="44">
        <f t="shared" si="96"/>
        <v>8.6805555555558023E-4</v>
      </c>
      <c r="K119" s="237" t="s">
        <v>432</v>
      </c>
      <c r="M119" s="44"/>
      <c r="N119" s="44">
        <v>0.40604166666666663</v>
      </c>
      <c r="O119" s="44">
        <v>0.40637731481481482</v>
      </c>
      <c r="P119" s="44">
        <f t="shared" si="98"/>
        <v>3.3564814814818211E-4</v>
      </c>
      <c r="Q119" s="217" t="s">
        <v>508</v>
      </c>
      <c r="R119" s="44"/>
      <c r="S119" s="44">
        <v>0.34512731481481485</v>
      </c>
      <c r="T119" s="44">
        <v>0.34547453703703707</v>
      </c>
      <c r="U119" s="44">
        <f t="shared" si="97"/>
        <v>3.4722222222222099E-4</v>
      </c>
      <c r="V119" s="217" t="s">
        <v>584</v>
      </c>
      <c r="W119" s="44"/>
      <c r="X119" s="127">
        <v>0.15488425925925928</v>
      </c>
      <c r="Y119" s="52">
        <v>0.15523148148148147</v>
      </c>
      <c r="Z119" s="44">
        <f t="shared" si="99"/>
        <v>3.4722222222219323E-4</v>
      </c>
      <c r="AA119" s="215" t="s">
        <v>703</v>
      </c>
      <c r="AB119" s="215"/>
      <c r="AC119" s="44">
        <v>0.77945601851851853</v>
      </c>
      <c r="AD119" s="44">
        <v>0.77974537037037039</v>
      </c>
      <c r="AE119" s="44">
        <f t="shared" si="89"/>
        <v>2.8935185185186008E-4</v>
      </c>
      <c r="AF119" s="215" t="s">
        <v>759</v>
      </c>
      <c r="AG119" s="44"/>
      <c r="AH119" s="127">
        <v>0.14274305555555555</v>
      </c>
      <c r="AI119" s="52">
        <v>0.14296296296296296</v>
      </c>
      <c r="AJ119" s="44">
        <f t="shared" si="100"/>
        <v>2.1990740740740478E-4</v>
      </c>
      <c r="AK119" s="249" t="s">
        <v>824</v>
      </c>
      <c r="AO119"/>
    </row>
    <row r="120" spans="2:41">
      <c r="B120" s="15"/>
      <c r="C120" s="46">
        <v>7.481481481481482E-2</v>
      </c>
      <c r="D120" s="46">
        <v>7.5185185185185188E-2</v>
      </c>
      <c r="E120" s="44">
        <f t="shared" si="101"/>
        <v>3.7037037037036813E-4</v>
      </c>
      <c r="F120" s="217" t="s">
        <v>269</v>
      </c>
      <c r="G120" s="44"/>
      <c r="H120" s="60">
        <v>0.23652777777777778</v>
      </c>
      <c r="I120" s="60">
        <v>0.23732638888888888</v>
      </c>
      <c r="J120" s="44">
        <f t="shared" si="96"/>
        <v>7.9861111111109717E-4</v>
      </c>
      <c r="K120" s="237" t="s">
        <v>432</v>
      </c>
      <c r="M120" s="44"/>
      <c r="N120" s="44">
        <v>0.40740740740740744</v>
      </c>
      <c r="O120" s="44">
        <v>0.40763888888888888</v>
      </c>
      <c r="P120" s="44">
        <f t="shared" si="98"/>
        <v>2.3148148148144365E-4</v>
      </c>
      <c r="Q120" s="217" t="s">
        <v>508</v>
      </c>
      <c r="R120" s="44"/>
      <c r="S120" s="127">
        <v>0.35295138888888888</v>
      </c>
      <c r="T120" s="127">
        <v>0.35334490740740737</v>
      </c>
      <c r="U120" s="44">
        <f t="shared" si="97"/>
        <v>3.9351851851848751E-4</v>
      </c>
      <c r="V120" s="217" t="s">
        <v>585</v>
      </c>
      <c r="W120" s="44"/>
      <c r="X120" s="44">
        <v>0.176875</v>
      </c>
      <c r="Y120" s="127">
        <v>0.1771412037037037</v>
      </c>
      <c r="Z120" s="44">
        <f t="shared" si="99"/>
        <v>2.6620370370369906E-4</v>
      </c>
      <c r="AA120" s="215" t="s">
        <v>704</v>
      </c>
      <c r="AB120" s="215"/>
      <c r="AC120" s="44">
        <v>0.80883101851851846</v>
      </c>
      <c r="AD120" s="250">
        <v>0.80920138888888893</v>
      </c>
      <c r="AE120" s="44">
        <f t="shared" si="89"/>
        <v>3.7037037037046527E-4</v>
      </c>
      <c r="AF120" s="215" t="s">
        <v>764</v>
      </c>
      <c r="AG120" s="44"/>
      <c r="AH120" s="44">
        <v>0.16040509259259259</v>
      </c>
      <c r="AI120" s="127">
        <v>0.16065972222222222</v>
      </c>
      <c r="AJ120" s="44">
        <f t="shared" si="100"/>
        <v>2.5462962962963243E-4</v>
      </c>
      <c r="AK120" s="249" t="s">
        <v>825</v>
      </c>
      <c r="AO120"/>
    </row>
    <row r="121" spans="2:41">
      <c r="B121" s="15"/>
      <c r="C121" s="46">
        <v>7.856481481481481E-2</v>
      </c>
      <c r="D121" s="46">
        <v>8.7916666666666657E-2</v>
      </c>
      <c r="E121" s="44">
        <f t="shared" si="101"/>
        <v>9.3518518518518473E-3</v>
      </c>
      <c r="F121" s="217" t="s">
        <v>270</v>
      </c>
      <c r="G121" s="44"/>
      <c r="H121" s="60">
        <v>0.24725694444444443</v>
      </c>
      <c r="I121" s="60">
        <v>0.24797453703703706</v>
      </c>
      <c r="J121" s="44">
        <f t="shared" si="96"/>
        <v>7.1759259259263075E-4</v>
      </c>
      <c r="K121" s="237" t="s">
        <v>432</v>
      </c>
      <c r="M121" s="44"/>
      <c r="N121" s="44">
        <v>0.42064814814814816</v>
      </c>
      <c r="O121" s="44">
        <v>0.42120370370370369</v>
      </c>
      <c r="P121" s="44">
        <f t="shared" si="98"/>
        <v>5.5555555555553138E-4</v>
      </c>
      <c r="Q121" s="217" t="s">
        <v>509</v>
      </c>
      <c r="R121" s="44"/>
      <c r="S121" s="44">
        <v>0.37371527777777774</v>
      </c>
      <c r="T121" s="44">
        <v>0.37502314814814813</v>
      </c>
      <c r="U121" s="44">
        <f t="shared" si="97"/>
        <v>1.3078703703703898E-3</v>
      </c>
      <c r="V121" s="217"/>
      <c r="W121" s="44"/>
      <c r="X121" s="44">
        <v>0.2099537037037037</v>
      </c>
      <c r="Y121" s="127">
        <v>0.2104513888888889</v>
      </c>
      <c r="Z121" s="44">
        <f t="shared" si="99"/>
        <v>4.9768518518519822E-4</v>
      </c>
      <c r="AA121" s="215" t="s">
        <v>704</v>
      </c>
      <c r="AB121" s="215"/>
      <c r="AC121" s="44">
        <v>0.81175925925925929</v>
      </c>
      <c r="AD121" s="44">
        <v>0.81207175925925934</v>
      </c>
      <c r="AE121" s="44">
        <f t="shared" si="89"/>
        <v>3.1250000000004885E-4</v>
      </c>
      <c r="AF121" s="215" t="s">
        <v>764</v>
      </c>
      <c r="AG121" s="44"/>
      <c r="AH121" s="44">
        <v>0.17636574074074074</v>
      </c>
      <c r="AI121" s="127">
        <v>0.17651620370370369</v>
      </c>
      <c r="AJ121" s="44">
        <f t="shared" si="100"/>
        <v>1.5046296296294948E-4</v>
      </c>
      <c r="AK121" s="249" t="s">
        <v>825</v>
      </c>
      <c r="AO121"/>
    </row>
    <row r="122" spans="2:41">
      <c r="B122" s="65"/>
      <c r="C122" s="52">
        <v>0.15174768518518519</v>
      </c>
      <c r="D122" s="52">
        <v>0.15208333333333332</v>
      </c>
      <c r="E122" s="44">
        <f t="shared" si="101"/>
        <v>3.356481481481266E-4</v>
      </c>
      <c r="F122" s="217" t="s">
        <v>272</v>
      </c>
      <c r="G122" s="44"/>
      <c r="H122" s="60">
        <v>0.24936342592592595</v>
      </c>
      <c r="I122" s="60">
        <v>0.25006944444444446</v>
      </c>
      <c r="J122" s="44">
        <f t="shared" si="96"/>
        <v>7.0601851851850861E-4</v>
      </c>
      <c r="K122" s="237" t="s">
        <v>432</v>
      </c>
      <c r="M122" s="44"/>
      <c r="N122" s="44">
        <v>0.44807870370370373</v>
      </c>
      <c r="O122" s="44">
        <v>0.44832175925925927</v>
      </c>
      <c r="P122" s="44">
        <f t="shared" si="98"/>
        <v>2.4305555555553804E-4</v>
      </c>
      <c r="Q122" s="217" t="s">
        <v>519</v>
      </c>
      <c r="R122" s="44"/>
      <c r="S122" s="44"/>
      <c r="T122" s="222" t="s">
        <v>70</v>
      </c>
      <c r="U122" s="223">
        <f>SUM(U109:U121)</f>
        <v>5.0150462962962911E-2</v>
      </c>
      <c r="V122" s="217"/>
      <c r="W122" s="44"/>
      <c r="X122" s="127">
        <v>0.21943287037037038</v>
      </c>
      <c r="Y122" s="44">
        <v>0.21982638888888886</v>
      </c>
      <c r="Z122" s="44">
        <f t="shared" si="99"/>
        <v>3.9351851851848751E-4</v>
      </c>
      <c r="AA122" s="215" t="s">
        <v>705</v>
      </c>
      <c r="AB122" s="215"/>
      <c r="AC122" s="44">
        <v>0.84696759259259258</v>
      </c>
      <c r="AD122" s="250">
        <v>0.84726851851851848</v>
      </c>
      <c r="AE122" s="44">
        <f t="shared" si="89"/>
        <v>3.0092592592589895E-4</v>
      </c>
      <c r="AF122" s="215" t="s">
        <v>765</v>
      </c>
      <c r="AG122" s="44"/>
      <c r="AH122" s="127">
        <v>0.24353009259259259</v>
      </c>
      <c r="AI122" s="44">
        <v>0.24400462962962963</v>
      </c>
      <c r="AJ122" s="44">
        <f t="shared" si="100"/>
        <v>4.745370370370372E-4</v>
      </c>
      <c r="AK122" s="215" t="s">
        <v>827</v>
      </c>
      <c r="AO122"/>
    </row>
    <row r="123" spans="2:41">
      <c r="B123" s="65"/>
      <c r="C123" s="52">
        <v>0.16737268518518519</v>
      </c>
      <c r="D123" s="52">
        <v>0.18148148148148147</v>
      </c>
      <c r="E123" s="44">
        <f t="shared" si="101"/>
        <v>1.4108796296296272E-2</v>
      </c>
      <c r="F123" s="217" t="s">
        <v>274</v>
      </c>
      <c r="G123" s="65"/>
      <c r="H123" s="60">
        <v>0.25339120370370372</v>
      </c>
      <c r="I123" s="60">
        <v>0.2600115740740741</v>
      </c>
      <c r="J123" s="61">
        <f t="shared" si="96"/>
        <v>6.6203703703703876E-3</v>
      </c>
      <c r="K123" s="237" t="s">
        <v>432</v>
      </c>
      <c r="M123" s="44"/>
      <c r="N123" s="44">
        <v>0.49350694444444443</v>
      </c>
      <c r="O123" s="44">
        <v>0.49383101851851857</v>
      </c>
      <c r="P123" s="44">
        <f t="shared" si="98"/>
        <v>3.2407407407414324E-4</v>
      </c>
      <c r="Q123" s="217" t="s">
        <v>519</v>
      </c>
      <c r="R123"/>
      <c r="S123"/>
      <c r="T123"/>
      <c r="U123"/>
      <c r="V123"/>
      <c r="W123" s="44"/>
      <c r="X123" s="127">
        <v>0.24502314814814816</v>
      </c>
      <c r="Y123" s="44">
        <v>0.24532407407407408</v>
      </c>
      <c r="Z123" s="44">
        <f t="shared" si="99"/>
        <v>3.0092592592592671E-4</v>
      </c>
      <c r="AA123" s="215" t="s">
        <v>705</v>
      </c>
      <c r="AB123" s="215"/>
      <c r="AC123" s="44">
        <v>0.85688657407407398</v>
      </c>
      <c r="AD123" s="44">
        <v>0.85723379629629637</v>
      </c>
      <c r="AE123" s="44">
        <f t="shared" si="89"/>
        <v>3.4722222222238752E-4</v>
      </c>
      <c r="AF123" s="215" t="s">
        <v>765</v>
      </c>
      <c r="AG123" s="44"/>
      <c r="AH123" s="127">
        <v>0.30145833333333333</v>
      </c>
      <c r="AI123" s="44">
        <v>0.30195601851851855</v>
      </c>
      <c r="AJ123" s="44">
        <f t="shared" si="100"/>
        <v>4.9768518518522598E-4</v>
      </c>
      <c r="AK123" s="215" t="s">
        <v>828</v>
      </c>
      <c r="AO123"/>
    </row>
    <row r="124" spans="2:41">
      <c r="B124" s="65"/>
      <c r="C124" s="52">
        <v>0.20724537037037036</v>
      </c>
      <c r="D124" s="52">
        <v>0.22171296296296295</v>
      </c>
      <c r="E124" s="44">
        <f t="shared" si="101"/>
        <v>1.4467592592592587E-2</v>
      </c>
      <c r="F124" s="217" t="s">
        <v>275</v>
      </c>
      <c r="G124" s="65"/>
      <c r="H124" s="60">
        <v>0.31798611111111114</v>
      </c>
      <c r="I124" s="60">
        <v>0.32687499999999997</v>
      </c>
      <c r="J124" s="61">
        <f t="shared" si="96"/>
        <v>8.8888888888888351E-3</v>
      </c>
      <c r="K124" s="217" t="s">
        <v>433</v>
      </c>
      <c r="M124" s="44"/>
      <c r="N124" s="44">
        <v>0.50483796296296302</v>
      </c>
      <c r="O124" s="44">
        <v>0.50519675925925933</v>
      </c>
      <c r="P124" s="44">
        <f t="shared" si="98"/>
        <v>3.5879629629631538E-4</v>
      </c>
      <c r="Q124" s="217" t="s">
        <v>520</v>
      </c>
      <c r="R124" s="12" t="s">
        <v>0</v>
      </c>
      <c r="S124" s="11" t="s">
        <v>14</v>
      </c>
      <c r="T124" s="11" t="s">
        <v>15</v>
      </c>
      <c r="U124" s="11" t="s">
        <v>16</v>
      </c>
      <c r="V124" s="216"/>
      <c r="W124" s="44"/>
      <c r="X124" s="127">
        <v>0.24937500000000001</v>
      </c>
      <c r="Y124" s="127">
        <v>0.24966435185185185</v>
      </c>
      <c r="Z124" s="44">
        <f t="shared" si="99"/>
        <v>2.8935185185183232E-4</v>
      </c>
      <c r="AA124" s="215" t="s">
        <v>705</v>
      </c>
      <c r="AB124" s="215"/>
      <c r="AC124" s="44">
        <v>0.88201388888888888</v>
      </c>
      <c r="AD124" s="250">
        <v>0.8822916666666667</v>
      </c>
      <c r="AE124" s="44">
        <f t="shared" si="89"/>
        <v>2.777777777778212E-4</v>
      </c>
      <c r="AF124" s="215" t="s">
        <v>765</v>
      </c>
      <c r="AG124" s="44"/>
      <c r="AH124" s="127">
        <v>0.31091435185185184</v>
      </c>
      <c r="AI124" s="127">
        <v>0.33331018518518518</v>
      </c>
      <c r="AJ124" s="44">
        <f t="shared" si="100"/>
        <v>2.2395833333333337E-2</v>
      </c>
      <c r="AK124" s="215" t="s">
        <v>829</v>
      </c>
      <c r="AO124"/>
    </row>
    <row r="125" spans="2:41">
      <c r="B125" s="44"/>
      <c r="C125" s="44">
        <v>0.22376157407407407</v>
      </c>
      <c r="D125" s="44">
        <v>0.22399305555555557</v>
      </c>
      <c r="E125" s="44">
        <f t="shared" si="101"/>
        <v>2.3148148148149916E-4</v>
      </c>
      <c r="F125" s="217" t="s">
        <v>276</v>
      </c>
      <c r="G125" s="65"/>
      <c r="H125" s="60"/>
      <c r="I125" s="222" t="s">
        <v>70</v>
      </c>
      <c r="J125" s="223">
        <f>SUM(J109:J124)</f>
        <v>4.0312499999999987E-2</v>
      </c>
      <c r="K125" s="217"/>
      <c r="M125" s="58"/>
      <c r="N125" s="44">
        <v>0.53373842592592591</v>
      </c>
      <c r="O125" s="44">
        <v>0.54366898148148146</v>
      </c>
      <c r="P125" s="44">
        <f t="shared" si="98"/>
        <v>9.9305555555555536E-3</v>
      </c>
      <c r="Q125" s="217" t="s">
        <v>521</v>
      </c>
      <c r="R125" s="58">
        <v>43139</v>
      </c>
      <c r="S125" s="44">
        <v>0.48363425925925929</v>
      </c>
      <c r="T125" s="44">
        <v>0.48391203703703706</v>
      </c>
      <c r="U125" s="44">
        <f>T125-S125</f>
        <v>2.7777777777776569E-4</v>
      </c>
      <c r="V125" s="249">
        <v>515</v>
      </c>
      <c r="W125" s="44"/>
      <c r="X125" s="44">
        <v>0.30531249999999999</v>
      </c>
      <c r="Y125" s="44">
        <v>0.30569444444444444</v>
      </c>
      <c r="Z125" s="44">
        <f t="shared" si="99"/>
        <v>3.8194444444444864E-4</v>
      </c>
      <c r="AA125" s="215" t="s">
        <v>707</v>
      </c>
      <c r="AB125" s="215"/>
      <c r="AC125" s="44">
        <v>0.9127777777777778</v>
      </c>
      <c r="AD125" s="44">
        <v>0.91305555555555562</v>
      </c>
      <c r="AE125" s="44">
        <f t="shared" si="89"/>
        <v>2.777777777778212E-4</v>
      </c>
      <c r="AF125" s="215" t="s">
        <v>766</v>
      </c>
      <c r="AG125" s="44"/>
      <c r="AH125" s="44">
        <v>0.35488425925925932</v>
      </c>
      <c r="AI125" s="44">
        <v>0.35811342592592593</v>
      </c>
      <c r="AJ125" s="44">
        <f t="shared" si="100"/>
        <v>3.2291666666666163E-3</v>
      </c>
      <c r="AK125" s="215" t="s">
        <v>819</v>
      </c>
      <c r="AO125"/>
    </row>
    <row r="126" spans="2:41">
      <c r="B126" s="58"/>
      <c r="C126" s="44">
        <v>0.22559027777777776</v>
      </c>
      <c r="D126" s="44">
        <v>0.22600694444444444</v>
      </c>
      <c r="E126" s="44">
        <f t="shared" si="101"/>
        <v>4.1666666666667629E-4</v>
      </c>
      <c r="F126" s="217" t="s">
        <v>276</v>
      </c>
      <c r="M126" s="44"/>
      <c r="N126" s="44">
        <v>0.56082175925925926</v>
      </c>
      <c r="O126" s="44">
        <v>0.56119212962962961</v>
      </c>
      <c r="P126" s="44">
        <f t="shared" si="98"/>
        <v>3.7037037037035425E-4</v>
      </c>
      <c r="Q126" s="217" t="s">
        <v>523</v>
      </c>
      <c r="R126" s="44"/>
      <c r="S126">
        <v>0.50208333333333333</v>
      </c>
      <c r="T126" s="127">
        <v>0.50239583333333326</v>
      </c>
      <c r="U126" s="44">
        <f t="shared" ref="U126:U144" si="102">T126-S126</f>
        <v>3.1249999999993783E-4</v>
      </c>
      <c r="V126" s="215" t="s">
        <v>603</v>
      </c>
      <c r="W126" s="44"/>
      <c r="X126" s="44">
        <v>0.31418981481481484</v>
      </c>
      <c r="Y126" s="44">
        <v>0.31450231481481478</v>
      </c>
      <c r="Z126" s="44">
        <f t="shared" si="99"/>
        <v>3.1249999999993783E-4</v>
      </c>
      <c r="AA126" s="215" t="s">
        <v>707</v>
      </c>
      <c r="AB126" s="215"/>
      <c r="AC126" s="44">
        <v>0.95324074074074072</v>
      </c>
      <c r="AD126" s="250">
        <v>0.95373842592592595</v>
      </c>
      <c r="AE126" s="44">
        <f t="shared" si="89"/>
        <v>4.9768518518522598E-4</v>
      </c>
      <c r="AF126" s="215" t="s">
        <v>767</v>
      </c>
      <c r="AG126" s="44"/>
      <c r="AH126" s="44"/>
      <c r="AI126" s="222" t="s">
        <v>70</v>
      </c>
      <c r="AJ126" s="223">
        <f>SUM(AJ113:AJ125)</f>
        <v>6.8796296296296286E-2</v>
      </c>
      <c r="AK126" s="215"/>
      <c r="AO126"/>
    </row>
    <row r="127" spans="2:41">
      <c r="B127" s="44"/>
      <c r="C127" s="44">
        <v>0.22923611111111111</v>
      </c>
      <c r="D127" s="44">
        <v>0.23247685185185185</v>
      </c>
      <c r="E127" s="44">
        <f t="shared" si="101"/>
        <v>3.2407407407407385E-3</v>
      </c>
      <c r="F127" s="217" t="s">
        <v>276</v>
      </c>
      <c r="G127" s="12" t="s">
        <v>0</v>
      </c>
      <c r="H127" s="11" t="s">
        <v>14</v>
      </c>
      <c r="I127" s="11" t="s">
        <v>15</v>
      </c>
      <c r="J127" s="11" t="s">
        <v>16</v>
      </c>
      <c r="K127" s="216"/>
      <c r="M127" s="44"/>
      <c r="N127" s="44">
        <v>0.59684027777777782</v>
      </c>
      <c r="O127" s="44">
        <v>0.60077546296296302</v>
      </c>
      <c r="P127" s="44">
        <f t="shared" si="98"/>
        <v>3.9351851851852082E-3</v>
      </c>
      <c r="Q127" s="217" t="s">
        <v>524</v>
      </c>
      <c r="R127" s="44"/>
      <c r="S127" s="44">
        <v>0.50731481481481489</v>
      </c>
      <c r="T127" s="44">
        <v>0.50777777777777777</v>
      </c>
      <c r="U127" s="44">
        <f t="shared" si="102"/>
        <v>4.629629629628873E-4</v>
      </c>
      <c r="V127" s="215" t="s">
        <v>603</v>
      </c>
      <c r="W127" s="44"/>
      <c r="X127" s="44">
        <v>0.37533564814814818</v>
      </c>
      <c r="Y127" s="44">
        <v>0.37565972222222221</v>
      </c>
      <c r="Z127" s="44">
        <f t="shared" si="99"/>
        <v>3.2407407407403221E-4</v>
      </c>
      <c r="AA127" s="217" t="s">
        <v>702</v>
      </c>
      <c r="AB127" s="217"/>
      <c r="AC127" s="44">
        <v>0.9743518518518518</v>
      </c>
      <c r="AD127" s="44">
        <v>0.9799768518518519</v>
      </c>
      <c r="AE127" s="44">
        <f t="shared" si="89"/>
        <v>5.6250000000001021E-3</v>
      </c>
      <c r="AF127" s="217" t="s">
        <v>768</v>
      </c>
      <c r="AO127"/>
    </row>
    <row r="128" spans="2:41">
      <c r="B128" s="44"/>
      <c r="C128" s="44">
        <v>0.32045138888888891</v>
      </c>
      <c r="D128" s="44">
        <v>0.32091435185185185</v>
      </c>
      <c r="E128" s="44">
        <f t="shared" si="101"/>
        <v>4.6296296296294281E-4</v>
      </c>
      <c r="F128" s="217" t="s">
        <v>241</v>
      </c>
      <c r="G128" s="58">
        <v>43132</v>
      </c>
      <c r="H128" s="44">
        <v>0.67739583333333331</v>
      </c>
      <c r="I128" s="44">
        <v>0.7149537037037037</v>
      </c>
      <c r="J128" s="44">
        <f t="shared" ref="J128:J142" si="103">I128-H128</f>
        <v>3.7557870370370394E-2</v>
      </c>
      <c r="K128" s="217"/>
      <c r="M128" s="44"/>
      <c r="N128" s="44">
        <v>0.61153935185185182</v>
      </c>
      <c r="O128" s="44">
        <v>0.61197916666666663</v>
      </c>
      <c r="P128" s="44">
        <f t="shared" si="98"/>
        <v>4.3981481481480955E-4</v>
      </c>
      <c r="Q128" s="217" t="s">
        <v>526</v>
      </c>
      <c r="R128" s="44"/>
      <c r="S128" s="127">
        <v>0.51030092592592591</v>
      </c>
      <c r="T128" s="127">
        <v>0.51412037037037039</v>
      </c>
      <c r="U128" s="44">
        <f t="shared" si="102"/>
        <v>3.8194444444444864E-3</v>
      </c>
      <c r="V128" s="217" t="s">
        <v>602</v>
      </c>
      <c r="W128" s="58"/>
      <c r="X128" s="44">
        <v>0.41124999999999995</v>
      </c>
      <c r="Y128" s="44">
        <v>0.4114814814814815</v>
      </c>
      <c r="Z128" s="44">
        <f t="shared" si="99"/>
        <v>2.3148148148155467E-4</v>
      </c>
      <c r="AA128" s="217" t="s">
        <v>708</v>
      </c>
      <c r="AB128" s="217"/>
      <c r="AC128" s="44">
        <v>0.98560185185185178</v>
      </c>
      <c r="AD128" s="259">
        <v>0.98597222222222225</v>
      </c>
      <c r="AE128" s="44">
        <f t="shared" si="89"/>
        <v>3.7037037037046527E-4</v>
      </c>
      <c r="AF128" s="217" t="s">
        <v>769</v>
      </c>
      <c r="AO128"/>
    </row>
    <row r="129" spans="2:41">
      <c r="B129" s="65"/>
      <c r="C129" s="52">
        <v>0.32853009259259258</v>
      </c>
      <c r="D129" s="52">
        <v>0.32899305555555552</v>
      </c>
      <c r="E129" s="44">
        <f t="shared" si="101"/>
        <v>4.6296296296294281E-4</v>
      </c>
      <c r="F129" s="217" t="s">
        <v>241</v>
      </c>
      <c r="G129" s="44"/>
      <c r="H129" s="44">
        <v>0.72526620370370365</v>
      </c>
      <c r="I129" s="52">
        <v>0.73591435185185183</v>
      </c>
      <c r="J129" s="44">
        <f t="shared" si="103"/>
        <v>1.0648148148148184E-2</v>
      </c>
      <c r="K129" s="217"/>
      <c r="M129" s="44"/>
      <c r="N129" s="44">
        <v>0.63770833333333332</v>
      </c>
      <c r="O129" s="44">
        <v>0.63793981481481488</v>
      </c>
      <c r="P129" s="44">
        <f t="shared" si="98"/>
        <v>2.3148148148155467E-4</v>
      </c>
      <c r="Q129" s="217" t="s">
        <v>526</v>
      </c>
      <c r="R129" s="44"/>
      <c r="S129" s="44">
        <v>0.53773148148148142</v>
      </c>
      <c r="T129" s="44">
        <v>0.54537037037037039</v>
      </c>
      <c r="U129" s="44">
        <f t="shared" si="102"/>
        <v>7.6388888888889728E-3</v>
      </c>
      <c r="W129" s="44"/>
      <c r="X129" s="44">
        <v>0.41424768518518523</v>
      </c>
      <c r="Y129" s="44">
        <v>0.41876157407407405</v>
      </c>
      <c r="Z129" s="44">
        <f t="shared" si="99"/>
        <v>4.5138888888888173E-3</v>
      </c>
      <c r="AA129" s="217" t="s">
        <v>706</v>
      </c>
      <c r="AB129" s="217"/>
      <c r="AC129" s="44">
        <v>0.99753472222222228</v>
      </c>
      <c r="AD129" s="44">
        <v>0.9977893518518518</v>
      </c>
      <c r="AE129" s="44">
        <f t="shared" si="89"/>
        <v>2.546296296295214E-4</v>
      </c>
      <c r="AF129" s="217" t="s">
        <v>769</v>
      </c>
      <c r="AO129"/>
    </row>
    <row r="130" spans="2:41">
      <c r="B130" s="65"/>
      <c r="C130" s="52">
        <v>0.32960648148148147</v>
      </c>
      <c r="D130" s="52">
        <v>0.33008101851851851</v>
      </c>
      <c r="E130" s="44">
        <f t="shared" si="101"/>
        <v>4.745370370370372E-4</v>
      </c>
      <c r="F130" s="217" t="s">
        <v>241</v>
      </c>
      <c r="G130" s="44"/>
      <c r="H130" s="44">
        <v>0.75337962962962957</v>
      </c>
      <c r="I130" s="44">
        <v>0.75405092592592593</v>
      </c>
      <c r="J130" s="44">
        <f t="shared" si="103"/>
        <v>6.7129629629636423E-4</v>
      </c>
      <c r="K130" s="217">
        <v>334</v>
      </c>
      <c r="M130" s="44"/>
      <c r="N130" s="44">
        <v>0.63900462962962956</v>
      </c>
      <c r="O130" s="44">
        <v>0.63944444444444448</v>
      </c>
      <c r="P130" s="44">
        <f t="shared" si="98"/>
        <v>4.3981481481492057E-4</v>
      </c>
      <c r="Q130" s="217" t="s">
        <v>526</v>
      </c>
      <c r="R130" s="44"/>
      <c r="S130" s="44">
        <v>0.6154398148148148</v>
      </c>
      <c r="T130" s="127">
        <v>0.61584490740740738</v>
      </c>
      <c r="U130" s="44">
        <f t="shared" si="102"/>
        <v>4.050925925925819E-4</v>
      </c>
      <c r="V130" s="215" t="s">
        <v>610</v>
      </c>
      <c r="W130" s="44"/>
      <c r="X130" s="44">
        <v>0.45023148148148145</v>
      </c>
      <c r="Y130" s="44">
        <v>0.45046296296296301</v>
      </c>
      <c r="Z130" s="44">
        <f t="shared" si="99"/>
        <v>2.3148148148155467E-4</v>
      </c>
      <c r="AA130" s="217" t="s">
        <v>709</v>
      </c>
      <c r="AB130" s="217"/>
      <c r="AC130" s="44">
        <v>0.99847222222222232</v>
      </c>
      <c r="AD130" s="259">
        <v>0.99881944444444448</v>
      </c>
      <c r="AE130" s="44">
        <f t="shared" si="89"/>
        <v>3.4722222222216548E-4</v>
      </c>
      <c r="AF130" s="217" t="s">
        <v>769</v>
      </c>
      <c r="AO130"/>
    </row>
    <row r="131" spans="2:41">
      <c r="B131" s="65"/>
      <c r="C131" s="52">
        <v>0.34854166666666669</v>
      </c>
      <c r="D131" s="44">
        <v>0.35327546296296292</v>
      </c>
      <c r="E131" s="44">
        <f t="shared" si="101"/>
        <v>4.7337962962962221E-3</v>
      </c>
      <c r="F131" s="217" t="s">
        <v>240</v>
      </c>
      <c r="G131" s="44"/>
      <c r="H131" s="44">
        <v>0.75921296296296292</v>
      </c>
      <c r="I131" s="52">
        <v>0.75968750000000007</v>
      </c>
      <c r="J131" s="44">
        <f t="shared" si="103"/>
        <v>4.7453703703714822E-4</v>
      </c>
      <c r="K131" s="217">
        <v>334</v>
      </c>
      <c r="M131" s="44"/>
      <c r="N131" s="44">
        <v>0.67033564814814817</v>
      </c>
      <c r="O131" s="44">
        <v>0.67069444444444448</v>
      </c>
      <c r="P131" s="44">
        <f t="shared" si="98"/>
        <v>3.5879629629631538E-4</v>
      </c>
      <c r="Q131" s="217" t="s">
        <v>528</v>
      </c>
      <c r="R131" s="44"/>
      <c r="S131" s="127">
        <v>0.64079861111111114</v>
      </c>
      <c r="T131" s="52">
        <v>0.64370370370370367</v>
      </c>
      <c r="U131" s="44">
        <f t="shared" si="102"/>
        <v>2.9050925925925286E-3</v>
      </c>
      <c r="V131" s="215" t="s">
        <v>611</v>
      </c>
      <c r="W131" s="44"/>
      <c r="X131" s="44">
        <v>0.45782407407407405</v>
      </c>
      <c r="Y131" s="44">
        <v>0.46238425925925924</v>
      </c>
      <c r="Z131" s="44">
        <f t="shared" si="99"/>
        <v>4.5601851851851949E-3</v>
      </c>
      <c r="AA131" s="217" t="s">
        <v>710</v>
      </c>
      <c r="AB131" s="217"/>
      <c r="AC131" s="44"/>
      <c r="AD131" s="222" t="s">
        <v>70</v>
      </c>
      <c r="AE131" s="223">
        <f>SUM(AE76:AE130)</f>
        <v>5.0243055555556228E-2</v>
      </c>
      <c r="AF131" s="217"/>
      <c r="AO131"/>
    </row>
    <row r="132" spans="2:41">
      <c r="B132" s="65"/>
      <c r="C132" s="52">
        <v>0.37109953703703707</v>
      </c>
      <c r="D132" s="52">
        <v>0.3715046296296296</v>
      </c>
      <c r="E132" s="44">
        <f t="shared" si="101"/>
        <v>4.0509259259252639E-4</v>
      </c>
      <c r="F132" s="217" t="s">
        <v>242</v>
      </c>
      <c r="G132" s="44"/>
      <c r="H132" s="44">
        <v>0.78142361111111114</v>
      </c>
      <c r="I132" s="44">
        <v>0.78175925925925915</v>
      </c>
      <c r="J132" s="44">
        <f t="shared" si="103"/>
        <v>3.3564814814801558E-4</v>
      </c>
      <c r="K132" s="217">
        <v>334</v>
      </c>
      <c r="M132" s="44"/>
      <c r="N132" s="44">
        <v>0.67418981481481488</v>
      </c>
      <c r="O132" s="44">
        <v>0.67439814814814814</v>
      </c>
      <c r="P132" s="44">
        <f t="shared" si="98"/>
        <v>2.0833333333325488E-4</v>
      </c>
      <c r="Q132" s="217" t="s">
        <v>528</v>
      </c>
      <c r="R132" s="44"/>
      <c r="S132" s="44">
        <v>0.67836805555555557</v>
      </c>
      <c r="T132" s="127">
        <v>0.67864583333333339</v>
      </c>
      <c r="U132" s="44">
        <f t="shared" si="102"/>
        <v>2.777777777778212E-4</v>
      </c>
      <c r="V132" s="215" t="s">
        <v>612</v>
      </c>
      <c r="W132" s="44"/>
      <c r="X132" s="44">
        <v>0.46451388888888889</v>
      </c>
      <c r="Y132" s="44">
        <v>0.46483796296296293</v>
      </c>
      <c r="Z132" s="44">
        <f t="shared" si="99"/>
        <v>3.2407407407403221E-4</v>
      </c>
      <c r="AA132" s="217" t="s">
        <v>711</v>
      </c>
      <c r="AO132"/>
    </row>
    <row r="133" spans="2:41">
      <c r="B133" s="65"/>
      <c r="C133" s="52">
        <v>0.42528935185185185</v>
      </c>
      <c r="D133" s="52">
        <v>0.42598379629629629</v>
      </c>
      <c r="E133" s="44">
        <f t="shared" si="101"/>
        <v>6.9444444444444198E-4</v>
      </c>
      <c r="F133" s="217" t="s">
        <v>277</v>
      </c>
      <c r="G133" s="44"/>
      <c r="H133" s="44">
        <v>0.78420138888888891</v>
      </c>
      <c r="I133" s="44">
        <v>0.78449074074074077</v>
      </c>
      <c r="J133" s="44">
        <f t="shared" si="103"/>
        <v>2.8935185185186008E-4</v>
      </c>
      <c r="K133" s="217">
        <v>334</v>
      </c>
      <c r="M133" s="44"/>
      <c r="N133" s="44">
        <v>0.70111111111111113</v>
      </c>
      <c r="O133" s="44">
        <v>0.70144675925925926</v>
      </c>
      <c r="P133" s="44">
        <f t="shared" si="98"/>
        <v>3.356481481481266E-4</v>
      </c>
      <c r="Q133" s="217" t="s">
        <v>528</v>
      </c>
      <c r="R133" s="44"/>
      <c r="S133" s="44">
        <v>0.70513888888888887</v>
      </c>
      <c r="T133" s="127">
        <v>0.70545138888888881</v>
      </c>
      <c r="U133" s="44">
        <f t="shared" si="102"/>
        <v>3.1249999999993783E-4</v>
      </c>
      <c r="V133" s="215" t="s">
        <v>612</v>
      </c>
      <c r="W133" s="44"/>
      <c r="X133" s="44">
        <v>0.58231481481481484</v>
      </c>
      <c r="Y133" s="44">
        <v>0.58277777777777773</v>
      </c>
      <c r="Z133" s="44">
        <f t="shared" si="99"/>
        <v>4.629629629628873E-4</v>
      </c>
      <c r="AA133" s="217" t="s">
        <v>712</v>
      </c>
      <c r="AB133" s="12" t="s">
        <v>0</v>
      </c>
      <c r="AC133" s="11" t="s">
        <v>14</v>
      </c>
      <c r="AD133" s="11" t="s">
        <v>15</v>
      </c>
      <c r="AE133" s="11" t="s">
        <v>16</v>
      </c>
      <c r="AF133" s="216"/>
      <c r="AO133"/>
    </row>
    <row r="134" spans="2:41">
      <c r="B134" s="65"/>
      <c r="C134" s="52"/>
      <c r="D134" s="222" t="s">
        <v>70</v>
      </c>
      <c r="E134" s="223">
        <f>SUM(E115:E133)</f>
        <v>5.1828703703703474E-2</v>
      </c>
      <c r="F134" s="217"/>
      <c r="G134" s="44"/>
      <c r="H134" s="44">
        <v>0.81103009259259251</v>
      </c>
      <c r="I134" s="44">
        <v>0.81149305555555562</v>
      </c>
      <c r="J134" s="44">
        <f t="shared" si="103"/>
        <v>4.6296296296310935E-4</v>
      </c>
      <c r="K134" s="217" t="s">
        <v>445</v>
      </c>
      <c r="M134" s="44"/>
      <c r="N134" s="44">
        <v>0.70261574074074085</v>
      </c>
      <c r="O134" s="44">
        <v>0.70283564814814825</v>
      </c>
      <c r="P134" s="44">
        <f t="shared" si="98"/>
        <v>2.1990740740740478E-4</v>
      </c>
      <c r="Q134" s="217" t="s">
        <v>528</v>
      </c>
      <c r="R134" s="44"/>
      <c r="S134" s="44">
        <v>0.71114583333333325</v>
      </c>
      <c r="T134" s="44">
        <v>0.7116203703703704</v>
      </c>
      <c r="U134" s="44">
        <f t="shared" si="102"/>
        <v>4.7453703703714822E-4</v>
      </c>
      <c r="V134" s="215" t="s">
        <v>612</v>
      </c>
      <c r="X134" s="44">
        <v>0.59516203703703707</v>
      </c>
      <c r="Y134" s="44">
        <v>0.59542824074074074</v>
      </c>
      <c r="Z134" s="44">
        <f t="shared" si="99"/>
        <v>2.662037037036713E-4</v>
      </c>
      <c r="AA134" s="217" t="s">
        <v>714</v>
      </c>
      <c r="AB134" s="58">
        <v>43150</v>
      </c>
      <c r="AC134" s="44">
        <v>4.0902777777777781E-2</v>
      </c>
      <c r="AD134" s="127">
        <v>4.1238425925925921E-2</v>
      </c>
      <c r="AE134" s="44">
        <f t="shared" ref="AE134:AE169" si="104">AD134-AC134</f>
        <v>3.3564814814814048E-4</v>
      </c>
      <c r="AF134" s="249" t="s">
        <v>770</v>
      </c>
      <c r="AO134"/>
    </row>
    <row r="135" spans="2:41">
      <c r="B135" s="65"/>
      <c r="C135" s="52"/>
      <c r="D135" s="52"/>
      <c r="E135" s="44"/>
      <c r="F135" s="217"/>
      <c r="G135" s="58"/>
      <c r="H135" s="44">
        <v>0.85758101851851853</v>
      </c>
      <c r="I135" s="44">
        <v>0.85781249999999998</v>
      </c>
      <c r="J135" s="44">
        <f t="shared" si="103"/>
        <v>2.3148148148144365E-4</v>
      </c>
      <c r="K135" s="217" t="s">
        <v>446</v>
      </c>
      <c r="M135" s="44"/>
      <c r="N135" s="44">
        <v>0.72921296296296301</v>
      </c>
      <c r="O135" s="44">
        <v>0.72950231481481476</v>
      </c>
      <c r="P135" s="44">
        <f t="shared" si="98"/>
        <v>2.8935185185174905E-4</v>
      </c>
      <c r="Q135" s="217" t="s">
        <v>529</v>
      </c>
      <c r="R135" s="44"/>
      <c r="S135" s="44">
        <v>0.81003472222222228</v>
      </c>
      <c r="T135" s="44">
        <v>0.81046296296296294</v>
      </c>
      <c r="U135" s="44">
        <f t="shared" si="102"/>
        <v>4.2824074074065965E-4</v>
      </c>
      <c r="V135" s="215" t="s">
        <v>618</v>
      </c>
      <c r="X135" s="44">
        <v>0.62585648148148143</v>
      </c>
      <c r="Y135" s="44">
        <v>0.6291782407407408</v>
      </c>
      <c r="Z135" s="44">
        <f t="shared" si="99"/>
        <v>3.3217592592593714E-3</v>
      </c>
      <c r="AA135" s="217" t="s">
        <v>715</v>
      </c>
      <c r="AB135" s="44"/>
      <c r="AC135">
        <v>5.4305555555555551E-2</v>
      </c>
      <c r="AD135" s="127">
        <v>5.4502314814814816E-2</v>
      </c>
      <c r="AE135" s="44">
        <f t="shared" si="104"/>
        <v>1.9675925925926457E-4</v>
      </c>
      <c r="AF135" s="249" t="s">
        <v>770</v>
      </c>
      <c r="AO135"/>
    </row>
    <row r="136" spans="2:41">
      <c r="B136" s="65"/>
      <c r="C136" s="52">
        <v>0.98546296296296287</v>
      </c>
      <c r="D136" s="52">
        <v>1</v>
      </c>
      <c r="E136" s="44">
        <f>D136-C136</f>
        <v>1.4537037037037126E-2</v>
      </c>
      <c r="F136" s="217"/>
      <c r="G136" s="44"/>
      <c r="H136" s="44">
        <v>0.87519675925925933</v>
      </c>
      <c r="I136" s="52">
        <v>0.88585648148148144</v>
      </c>
      <c r="J136" s="44">
        <f t="shared" si="103"/>
        <v>1.0659722222222112E-2</v>
      </c>
      <c r="K136" s="217" t="s">
        <v>447</v>
      </c>
      <c r="M136" s="44"/>
      <c r="N136" s="44">
        <v>0.74512731481481476</v>
      </c>
      <c r="O136" s="44">
        <v>0.7453819444444445</v>
      </c>
      <c r="P136" s="44">
        <f t="shared" si="98"/>
        <v>2.5462962962974345E-4</v>
      </c>
      <c r="Q136" s="217" t="s">
        <v>529</v>
      </c>
      <c r="R136" s="44"/>
      <c r="S136" s="127">
        <v>0.81549768518518517</v>
      </c>
      <c r="T136" s="127">
        <v>0.81593749999999998</v>
      </c>
      <c r="U136" s="44">
        <f t="shared" si="102"/>
        <v>4.3981481481480955E-4</v>
      </c>
      <c r="V136" s="215" t="s">
        <v>618</v>
      </c>
      <c r="X136" s="44">
        <v>0.63902777777777775</v>
      </c>
      <c r="Y136" s="44">
        <v>0.63971064814814815</v>
      </c>
      <c r="Z136" s="44">
        <f t="shared" si="99"/>
        <v>6.828703703704031E-4</v>
      </c>
      <c r="AA136" s="217" t="s">
        <v>716</v>
      </c>
      <c r="AB136" s="44"/>
      <c r="AC136" s="127">
        <v>5.7326388888888892E-2</v>
      </c>
      <c r="AD136" s="127">
        <v>5.7777777777777782E-2</v>
      </c>
      <c r="AE136" s="44">
        <f t="shared" si="104"/>
        <v>4.5138888888889006E-4</v>
      </c>
      <c r="AF136" s="249" t="s">
        <v>770</v>
      </c>
      <c r="AO136"/>
    </row>
    <row r="137" spans="2:41">
      <c r="B137" s="65"/>
      <c r="C137" s="52"/>
      <c r="D137" s="222" t="s">
        <v>70</v>
      </c>
      <c r="E137" s="223">
        <f>SUM(E136:E136)</f>
        <v>1.4537037037037126E-2</v>
      </c>
      <c r="F137" s="217"/>
      <c r="G137" s="44"/>
      <c r="H137" s="44">
        <v>0.88937499999999992</v>
      </c>
      <c r="I137" s="44">
        <v>0.8924537037037038</v>
      </c>
      <c r="J137" s="44">
        <f t="shared" si="103"/>
        <v>3.0787037037038889E-3</v>
      </c>
      <c r="K137" s="217" t="s">
        <v>447</v>
      </c>
      <c r="M137" s="44"/>
      <c r="N137" s="44">
        <v>0.75332175925925926</v>
      </c>
      <c r="O137" s="44">
        <v>0.75377314814814822</v>
      </c>
      <c r="P137" s="44">
        <f t="shared" si="98"/>
        <v>4.5138888888895945E-4</v>
      </c>
      <c r="Q137" s="217" t="s">
        <v>530</v>
      </c>
      <c r="R137" s="44"/>
      <c r="S137" s="44">
        <v>0.8644560185185185</v>
      </c>
      <c r="T137" s="44">
        <v>0.86481481481481481</v>
      </c>
      <c r="U137" s="44">
        <f t="shared" si="102"/>
        <v>3.5879629629631538E-4</v>
      </c>
      <c r="V137" s="215" t="s">
        <v>620</v>
      </c>
      <c r="X137" s="44">
        <v>0.64484953703703707</v>
      </c>
      <c r="Y137" s="44">
        <v>0.64542824074074068</v>
      </c>
      <c r="Z137" s="44">
        <f t="shared" si="99"/>
        <v>5.7870370370360913E-4</v>
      </c>
      <c r="AA137" s="217" t="s">
        <v>716</v>
      </c>
      <c r="AB137" s="44"/>
      <c r="AC137" s="127">
        <v>0.12314814814814816</v>
      </c>
      <c r="AD137" s="127">
        <v>0.12341435185185186</v>
      </c>
      <c r="AE137" s="44">
        <f t="shared" si="104"/>
        <v>2.6620370370369906E-4</v>
      </c>
      <c r="AF137" s="249" t="s">
        <v>772</v>
      </c>
      <c r="AO137"/>
    </row>
    <row r="138" spans="2:41">
      <c r="B138"/>
      <c r="C138"/>
      <c r="D138"/>
      <c r="E138"/>
      <c r="G138" s="44"/>
      <c r="H138" s="44">
        <v>0.91327546296296302</v>
      </c>
      <c r="I138" s="52">
        <v>0.9135416666666667</v>
      </c>
      <c r="J138" s="44">
        <f t="shared" si="103"/>
        <v>2.662037037036713E-4</v>
      </c>
      <c r="K138" s="217" t="s">
        <v>447</v>
      </c>
      <c r="M138" s="44"/>
      <c r="N138" s="44">
        <v>0.78053240740740737</v>
      </c>
      <c r="O138" s="44">
        <v>0.78075231481481477</v>
      </c>
      <c r="P138" s="44">
        <f t="shared" si="98"/>
        <v>2.1990740740740478E-4</v>
      </c>
      <c r="Q138" s="217" t="s">
        <v>530</v>
      </c>
      <c r="R138" s="44"/>
      <c r="S138" s="44">
        <v>0.86920138888888887</v>
      </c>
      <c r="T138" s="44">
        <v>0.8693981481481482</v>
      </c>
      <c r="U138" s="44">
        <f t="shared" si="102"/>
        <v>1.9675925925932702E-4</v>
      </c>
      <c r="V138" s="215" t="s">
        <v>620</v>
      </c>
      <c r="X138" s="44">
        <v>0.65202546296296293</v>
      </c>
      <c r="Y138" s="44">
        <v>0.65240740740740744</v>
      </c>
      <c r="Z138" s="44">
        <f t="shared" si="99"/>
        <v>3.8194444444450415E-4</v>
      </c>
      <c r="AA138" s="217" t="s">
        <v>716</v>
      </c>
      <c r="AB138" s="44"/>
      <c r="AC138" s="44">
        <v>0.14715277777777777</v>
      </c>
      <c r="AD138" s="44">
        <v>0.14737268518518518</v>
      </c>
      <c r="AE138" s="44">
        <f t="shared" si="104"/>
        <v>2.1990740740740478E-4</v>
      </c>
      <c r="AF138" s="249" t="s">
        <v>772</v>
      </c>
      <c r="AO138"/>
    </row>
    <row r="139" spans="2:41">
      <c r="B139" s="12" t="s">
        <v>13</v>
      </c>
      <c r="C139" s="11" t="s">
        <v>10</v>
      </c>
      <c r="D139" s="11" t="s">
        <v>11</v>
      </c>
      <c r="E139" s="11" t="s">
        <v>12</v>
      </c>
      <c r="F139" s="216"/>
      <c r="G139" s="44"/>
      <c r="H139" s="44">
        <v>0.9307523148148148</v>
      </c>
      <c r="I139" s="44">
        <v>0.93099537037037028</v>
      </c>
      <c r="J139" s="44">
        <f t="shared" si="103"/>
        <v>2.4305555555548253E-4</v>
      </c>
      <c r="K139" s="217" t="s">
        <v>453</v>
      </c>
      <c r="M139" s="44"/>
      <c r="N139" s="44">
        <v>0.79527777777777775</v>
      </c>
      <c r="O139" s="44">
        <v>0.79553240740740738</v>
      </c>
      <c r="P139" s="44">
        <f t="shared" si="98"/>
        <v>2.5462962962963243E-4</v>
      </c>
      <c r="Q139" s="217" t="s">
        <v>531</v>
      </c>
      <c r="R139" s="44"/>
      <c r="S139" s="44">
        <v>0.88695601851851846</v>
      </c>
      <c r="T139" s="44">
        <v>0.88717592592592587</v>
      </c>
      <c r="U139" s="44">
        <f t="shared" si="102"/>
        <v>2.1990740740740478E-4</v>
      </c>
      <c r="V139" s="217" t="s">
        <v>621</v>
      </c>
      <c r="X139" s="44">
        <v>0.66836805555555545</v>
      </c>
      <c r="Y139" s="44">
        <v>0.67979166666666668</v>
      </c>
      <c r="Z139" s="44">
        <f t="shared" si="99"/>
        <v>1.1423611111111232E-2</v>
      </c>
      <c r="AA139" s="217" t="s">
        <v>717</v>
      </c>
      <c r="AB139" s="44"/>
      <c r="AC139" s="44">
        <v>0.24737268518518518</v>
      </c>
      <c r="AD139" s="127">
        <v>0.24775462962962966</v>
      </c>
      <c r="AE139" s="44">
        <f t="shared" si="104"/>
        <v>3.8194444444447639E-4</v>
      </c>
      <c r="AF139" s="249" t="s">
        <v>773</v>
      </c>
      <c r="AO139"/>
    </row>
    <row r="140" spans="2:41">
      <c r="B140" s="58">
        <v>43127</v>
      </c>
      <c r="C140" s="44">
        <v>0</v>
      </c>
      <c r="D140" s="44">
        <v>3.5995370370370369E-3</v>
      </c>
      <c r="E140" s="44">
        <f>D140-C140</f>
        <v>3.5995370370370369E-3</v>
      </c>
      <c r="F140" s="217"/>
      <c r="G140" s="44"/>
      <c r="H140" s="44">
        <v>0.93946759259259249</v>
      </c>
      <c r="I140" s="52">
        <v>0.93997685185185187</v>
      </c>
      <c r="J140" s="44">
        <f t="shared" si="103"/>
        <v>5.0925925925937587E-4</v>
      </c>
      <c r="K140" s="217" t="s">
        <v>453</v>
      </c>
      <c r="M140" s="44"/>
      <c r="N140" s="44">
        <v>0.81243055555555566</v>
      </c>
      <c r="O140" s="44">
        <v>0.81265046296296306</v>
      </c>
      <c r="P140" s="44">
        <f t="shared" si="98"/>
        <v>2.1990740740740478E-4</v>
      </c>
      <c r="Q140" s="217" t="s">
        <v>531</v>
      </c>
      <c r="R140" s="58"/>
      <c r="S140" s="44">
        <v>0.89001157407407405</v>
      </c>
      <c r="T140" s="44">
        <v>0.89027777777777783</v>
      </c>
      <c r="U140" s="44">
        <f t="shared" si="102"/>
        <v>2.6620370370378232E-4</v>
      </c>
      <c r="V140" s="217" t="s">
        <v>621</v>
      </c>
      <c r="X140" s="44">
        <v>0.68087962962962967</v>
      </c>
      <c r="Y140" s="44">
        <v>0.68135416666666659</v>
      </c>
      <c r="Z140" s="44">
        <f t="shared" si="99"/>
        <v>4.7453703703692618E-4</v>
      </c>
      <c r="AA140" s="217"/>
      <c r="AB140" s="44"/>
      <c r="AC140" s="127">
        <v>0.25818287037037035</v>
      </c>
      <c r="AD140" s="52">
        <v>0.25846064814814812</v>
      </c>
      <c r="AE140" s="44">
        <f t="shared" si="104"/>
        <v>2.7777777777776569E-4</v>
      </c>
      <c r="AF140" s="249" t="s">
        <v>773</v>
      </c>
      <c r="AO140"/>
    </row>
    <row r="141" spans="2:41">
      <c r="B141" s="44"/>
      <c r="C141" s="127">
        <v>1.283564814814815E-2</v>
      </c>
      <c r="D141" s="44">
        <v>1.3969907407407408E-2</v>
      </c>
      <c r="E141" s="44">
        <f>D141-C141</f>
        <v>1.1342592592592585E-3</v>
      </c>
      <c r="F141" s="217"/>
      <c r="G141" s="44"/>
      <c r="H141" s="52">
        <v>0.9779282407407407</v>
      </c>
      <c r="I141" s="44">
        <v>0.98109953703703701</v>
      </c>
      <c r="J141" s="44">
        <f t="shared" si="103"/>
        <v>3.1712962962963109E-3</v>
      </c>
      <c r="K141" s="217" t="s">
        <v>454</v>
      </c>
      <c r="M141" s="44"/>
      <c r="N141" s="44">
        <v>0.8416203703703703</v>
      </c>
      <c r="O141" s="44">
        <v>0.84195601851851853</v>
      </c>
      <c r="P141" s="44">
        <f t="shared" si="98"/>
        <v>3.3564814814823762E-4</v>
      </c>
      <c r="Q141" s="217" t="s">
        <v>533</v>
      </c>
      <c r="R141" s="44"/>
      <c r="S141" s="44">
        <v>0.92115740740740737</v>
      </c>
      <c r="T141" s="44">
        <v>0.921412037037037</v>
      </c>
      <c r="U141" s="44">
        <f t="shared" si="102"/>
        <v>2.5462962962963243E-4</v>
      </c>
      <c r="V141" s="217" t="s">
        <v>621</v>
      </c>
      <c r="X141" s="44">
        <v>0.68374999999999997</v>
      </c>
      <c r="Y141" s="44">
        <v>0.68424768518518519</v>
      </c>
      <c r="Z141" s="44">
        <f t="shared" si="99"/>
        <v>4.9768518518522598E-4</v>
      </c>
      <c r="AA141" s="217"/>
      <c r="AB141" s="44"/>
      <c r="AC141" s="44">
        <v>0.32591435185185186</v>
      </c>
      <c r="AD141" s="127">
        <v>0.32620370370370372</v>
      </c>
      <c r="AE141" s="44">
        <f t="shared" si="104"/>
        <v>2.8935185185186008E-4</v>
      </c>
      <c r="AF141" s="215" t="s">
        <v>757</v>
      </c>
      <c r="AO141"/>
    </row>
    <row r="142" spans="2:41">
      <c r="B142" s="44"/>
      <c r="C142" s="44">
        <v>9.28587962962963E-2</v>
      </c>
      <c r="D142" s="44">
        <v>9.3333333333333338E-2</v>
      </c>
      <c r="E142" s="44">
        <f t="shared" ref="E142:E152" si="105">D142-C142</f>
        <v>4.745370370370372E-4</v>
      </c>
      <c r="F142" s="217" t="s">
        <v>311</v>
      </c>
      <c r="G142" s="65"/>
      <c r="H142" s="52">
        <v>0.995</v>
      </c>
      <c r="I142" s="52">
        <v>0.99523148148148144</v>
      </c>
      <c r="J142" s="44">
        <f t="shared" si="103"/>
        <v>2.3148148148144365E-4</v>
      </c>
      <c r="K142" s="217" t="s">
        <v>454</v>
      </c>
      <c r="M142" s="44"/>
      <c r="N142" s="44">
        <v>0.86042824074074076</v>
      </c>
      <c r="O142" s="44">
        <v>0.86069444444444443</v>
      </c>
      <c r="P142" s="44">
        <f t="shared" si="98"/>
        <v>2.662037037036713E-4</v>
      </c>
      <c r="Q142" s="217" t="s">
        <v>533</v>
      </c>
      <c r="R142" s="44"/>
      <c r="S142" s="44">
        <v>0.96820601851851851</v>
      </c>
      <c r="T142" s="44">
        <v>0.96863425925925928</v>
      </c>
      <c r="U142" s="44">
        <f t="shared" si="102"/>
        <v>4.2824074074077068E-4</v>
      </c>
      <c r="V142" s="217" t="s">
        <v>622</v>
      </c>
      <c r="X142" s="44">
        <v>0.70012731481481483</v>
      </c>
      <c r="Y142" s="44">
        <v>0.70056712962962964</v>
      </c>
      <c r="Z142" s="44">
        <f t="shared" si="99"/>
        <v>4.3981481481480955E-4</v>
      </c>
      <c r="AA142" s="217" t="s">
        <v>722</v>
      </c>
      <c r="AB142" s="44"/>
      <c r="AC142" s="44">
        <v>0.35314814814814816</v>
      </c>
      <c r="AD142" s="127">
        <v>0.35350694444444447</v>
      </c>
      <c r="AE142" s="44">
        <f t="shared" si="104"/>
        <v>3.5879629629631538E-4</v>
      </c>
      <c r="AF142" s="215" t="s">
        <v>757</v>
      </c>
      <c r="AO142"/>
    </row>
    <row r="143" spans="2:41">
      <c r="B143" s="44"/>
      <c r="C143" s="44">
        <v>9.521990740740742E-2</v>
      </c>
      <c r="D143" s="44">
        <v>9.5659722222222229E-2</v>
      </c>
      <c r="E143" s="44">
        <f t="shared" si="105"/>
        <v>4.3981481481480955E-4</v>
      </c>
      <c r="F143" s="217" t="s">
        <v>311</v>
      </c>
      <c r="G143" s="65"/>
      <c r="H143" s="52"/>
      <c r="I143" s="222" t="s">
        <v>70</v>
      </c>
      <c r="J143" s="223">
        <f>SUM(J128:J142)</f>
        <v>6.8831018518518805E-2</v>
      </c>
      <c r="K143" s="217"/>
      <c r="M143" s="44"/>
      <c r="N143" s="44">
        <v>0.86623842592592604</v>
      </c>
      <c r="O143" s="44">
        <v>0.86645833333333344</v>
      </c>
      <c r="P143" s="44">
        <f t="shared" si="98"/>
        <v>2.1990740740740478E-4</v>
      </c>
      <c r="Q143" s="217" t="s">
        <v>533</v>
      </c>
      <c r="R143" s="44"/>
      <c r="S143" s="44">
        <v>0.97074074074074079</v>
      </c>
      <c r="T143" s="44">
        <v>0.98074074074074069</v>
      </c>
      <c r="U143" s="44">
        <f t="shared" si="102"/>
        <v>9.9999999999998979E-3</v>
      </c>
      <c r="V143" s="217" t="s">
        <v>623</v>
      </c>
      <c r="W143" s="44"/>
      <c r="X143" s="44">
        <v>0.70108796296296294</v>
      </c>
      <c r="Y143" s="44">
        <v>0.70152777777777775</v>
      </c>
      <c r="Z143" s="44">
        <f t="shared" si="99"/>
        <v>4.3981481481480955E-4</v>
      </c>
      <c r="AA143" s="217" t="s">
        <v>722</v>
      </c>
      <c r="AB143" s="44"/>
      <c r="AC143" s="127">
        <v>0.38649305555555552</v>
      </c>
      <c r="AD143" s="44">
        <v>0.38675925925925925</v>
      </c>
      <c r="AE143" s="44">
        <f t="shared" si="104"/>
        <v>2.6620370370372681E-4</v>
      </c>
      <c r="AF143" s="215" t="s">
        <v>771</v>
      </c>
      <c r="AO143"/>
    </row>
    <row r="144" spans="2:41">
      <c r="B144" s="63"/>
      <c r="C144" s="64">
        <v>0.11438657407407408</v>
      </c>
      <c r="D144" s="64">
        <v>0.12622685185185187</v>
      </c>
      <c r="E144" s="44">
        <f t="shared" si="105"/>
        <v>1.1840277777777783E-2</v>
      </c>
      <c r="F144" s="217" t="s">
        <v>312</v>
      </c>
      <c r="M144" s="65"/>
      <c r="N144" s="44">
        <v>0.90599537037037037</v>
      </c>
      <c r="O144" s="44">
        <v>0.90621527777777777</v>
      </c>
      <c r="P144" s="44">
        <f t="shared" si="98"/>
        <v>2.1990740740740478E-4</v>
      </c>
      <c r="Q144" s="217" t="s">
        <v>536</v>
      </c>
      <c r="R144" s="44"/>
      <c r="S144" s="44">
        <v>0.98462962962962963</v>
      </c>
      <c r="T144" s="44">
        <v>0.98496527777777787</v>
      </c>
      <c r="U144" s="44">
        <f t="shared" si="102"/>
        <v>3.3564814814823762E-4</v>
      </c>
      <c r="V144" s="217" t="s">
        <v>625</v>
      </c>
      <c r="W144" s="44"/>
      <c r="X144" s="44">
        <v>0.70509259259259249</v>
      </c>
      <c r="Y144" s="44">
        <v>0.70561342592592602</v>
      </c>
      <c r="Z144" s="44">
        <f t="shared" si="99"/>
        <v>5.2083333333352577E-4</v>
      </c>
      <c r="AA144" s="217" t="s">
        <v>722</v>
      </c>
      <c r="AB144" s="44"/>
      <c r="AC144" s="127">
        <v>0.42042824074074076</v>
      </c>
      <c r="AD144" s="44">
        <v>0.42177083333333337</v>
      </c>
      <c r="AE144" s="44">
        <f t="shared" si="104"/>
        <v>1.3425925925926174E-3</v>
      </c>
      <c r="AF144" s="215" t="s">
        <v>776</v>
      </c>
      <c r="AO144"/>
    </row>
    <row r="145" spans="2:41">
      <c r="B145" s="15"/>
      <c r="C145" s="46">
        <v>0.14877314814814815</v>
      </c>
      <c r="D145" s="46">
        <v>0.14927083333333332</v>
      </c>
      <c r="E145" s="44">
        <f t="shared" si="105"/>
        <v>4.9768518518517046E-4</v>
      </c>
      <c r="F145" s="217" t="s">
        <v>314</v>
      </c>
      <c r="G145" s="12" t="s">
        <v>0</v>
      </c>
      <c r="H145" s="11" t="s">
        <v>14</v>
      </c>
      <c r="I145" s="11" t="s">
        <v>15</v>
      </c>
      <c r="J145" s="11" t="s">
        <v>16</v>
      </c>
      <c r="K145" s="216"/>
      <c r="M145" s="65"/>
      <c r="N145" s="44">
        <v>0.92236111111111108</v>
      </c>
      <c r="O145" s="44">
        <v>0.92273148148148154</v>
      </c>
      <c r="P145" s="44">
        <f t="shared" si="98"/>
        <v>3.7037037037046527E-4</v>
      </c>
      <c r="Q145" s="217" t="s">
        <v>536</v>
      </c>
      <c r="R145" s="44"/>
      <c r="S145" s="44"/>
      <c r="T145" s="222" t="s">
        <v>70</v>
      </c>
      <c r="U145" s="223">
        <f>SUM(U125:U144)</f>
        <v>2.9814814814814905E-2</v>
      </c>
      <c r="V145" s="217"/>
      <c r="W145" s="44"/>
      <c r="X145" s="44">
        <v>0.70592592592592596</v>
      </c>
      <c r="Y145" s="44">
        <v>0.70621527777777782</v>
      </c>
      <c r="Z145" s="44">
        <f t="shared" si="99"/>
        <v>2.8935185185186008E-4</v>
      </c>
      <c r="AA145" s="217" t="s">
        <v>722</v>
      </c>
      <c r="AB145" s="44"/>
      <c r="AC145" s="127">
        <v>0.44444444444444442</v>
      </c>
      <c r="AD145" s="127">
        <v>0.44466435185185182</v>
      </c>
      <c r="AE145" s="44">
        <f t="shared" si="104"/>
        <v>2.1990740740740478E-4</v>
      </c>
      <c r="AF145" s="215" t="s">
        <v>782</v>
      </c>
      <c r="AO145"/>
    </row>
    <row r="146" spans="2:41">
      <c r="B146" s="15"/>
      <c r="C146" s="46">
        <v>0.1497337962962963</v>
      </c>
      <c r="D146" s="46">
        <v>0.15836805555555555</v>
      </c>
      <c r="E146" s="44">
        <f t="shared" si="105"/>
        <v>8.6342592592592582E-3</v>
      </c>
      <c r="F146" s="217" t="s">
        <v>315</v>
      </c>
      <c r="G146" s="58">
        <v>43133</v>
      </c>
      <c r="H146" s="44">
        <v>1.3194444444444443E-3</v>
      </c>
      <c r="I146" s="44">
        <v>1.8865740740740742E-3</v>
      </c>
      <c r="J146" s="44">
        <f t="shared" ref="J146:J187" si="106">I146-H146</f>
        <v>5.6712962962962988E-4</v>
      </c>
      <c r="K146" s="217" t="s">
        <v>454</v>
      </c>
      <c r="M146" s="44"/>
      <c r="N146" s="44">
        <v>0.9264930555555555</v>
      </c>
      <c r="O146" s="44">
        <v>0.92694444444444446</v>
      </c>
      <c r="P146" s="44">
        <f t="shared" si="98"/>
        <v>4.5138888888895945E-4</v>
      </c>
      <c r="Q146" s="217" t="s">
        <v>538</v>
      </c>
      <c r="R146"/>
      <c r="S146"/>
      <c r="T146"/>
      <c r="U146"/>
      <c r="V146"/>
      <c r="W146"/>
      <c r="X146" s="44">
        <v>0.70737268518518526</v>
      </c>
      <c r="Y146" s="44">
        <v>0.70879629629629637</v>
      </c>
      <c r="Z146" s="44">
        <f t="shared" si="99"/>
        <v>1.4236111111111116E-3</v>
      </c>
      <c r="AA146" s="217" t="s">
        <v>722</v>
      </c>
      <c r="AB146" s="44"/>
      <c r="AC146" s="44">
        <v>0.46182870370370371</v>
      </c>
      <c r="AD146" s="44">
        <v>0.46207175925925931</v>
      </c>
      <c r="AE146" s="44">
        <f t="shared" si="104"/>
        <v>2.4305555555559355E-4</v>
      </c>
      <c r="AF146" s="215" t="s">
        <v>782</v>
      </c>
      <c r="AO146"/>
    </row>
    <row r="147" spans="2:41">
      <c r="B147" s="58"/>
      <c r="C147" s="44">
        <v>0.19521990740740738</v>
      </c>
      <c r="D147" s="44">
        <v>0.19559027777777779</v>
      </c>
      <c r="E147" s="44">
        <f t="shared" si="105"/>
        <v>3.7037037037040976E-4</v>
      </c>
      <c r="F147" s="217" t="s">
        <v>316</v>
      </c>
      <c r="G147" s="44"/>
      <c r="H147" s="44">
        <v>1.6041666666666666E-2</v>
      </c>
      <c r="I147" s="44">
        <v>1.6863425925925928E-2</v>
      </c>
      <c r="J147" s="44">
        <f t="shared" si="106"/>
        <v>8.2175925925926166E-4</v>
      </c>
      <c r="K147" s="217" t="s">
        <v>454</v>
      </c>
      <c r="N147" s="44">
        <v>0.93388888888888888</v>
      </c>
      <c r="O147" s="44">
        <v>0.9341666666666667</v>
      </c>
      <c r="P147" s="44">
        <f t="shared" si="98"/>
        <v>2.777777777778212E-4</v>
      </c>
      <c r="Q147" s="217" t="s">
        <v>538</v>
      </c>
      <c r="R147" s="12" t="s">
        <v>0</v>
      </c>
      <c r="S147" s="11" t="s">
        <v>14</v>
      </c>
      <c r="T147" s="11" t="s">
        <v>15</v>
      </c>
      <c r="U147" s="11" t="s">
        <v>16</v>
      </c>
      <c r="V147" s="216"/>
      <c r="W147"/>
      <c r="X147" s="44">
        <v>0.73302083333333334</v>
      </c>
      <c r="Y147" s="44">
        <v>0.7336111111111111</v>
      </c>
      <c r="Z147" s="44">
        <f t="shared" si="99"/>
        <v>5.9027777777775903E-4</v>
      </c>
      <c r="AA147" s="215" t="s">
        <v>723</v>
      </c>
      <c r="AB147" s="44"/>
      <c r="AC147" s="44">
        <v>0.46771990740740743</v>
      </c>
      <c r="AD147" s="44">
        <v>0.46812499999999996</v>
      </c>
      <c r="AE147" s="44">
        <f t="shared" si="104"/>
        <v>4.0509259259252639E-4</v>
      </c>
      <c r="AF147" s="215" t="s">
        <v>782</v>
      </c>
      <c r="AO147"/>
    </row>
    <row r="148" spans="2:41">
      <c r="B148" s="65"/>
      <c r="C148" s="44">
        <v>0.21149305555555556</v>
      </c>
      <c r="D148" s="44">
        <v>0.21190972222222224</v>
      </c>
      <c r="E148" s="44">
        <f t="shared" si="105"/>
        <v>4.1666666666667629E-4</v>
      </c>
      <c r="F148" s="217" t="s">
        <v>318</v>
      </c>
      <c r="G148" s="44"/>
      <c r="H148" s="44">
        <v>4.2546296296296297E-2</v>
      </c>
      <c r="I148" s="44">
        <v>4.2835648148148144E-2</v>
      </c>
      <c r="J148" s="44">
        <f t="shared" si="106"/>
        <v>2.893518518518462E-4</v>
      </c>
      <c r="K148" s="217">
        <v>340</v>
      </c>
      <c r="N148" s="44">
        <v>0.99523148148148144</v>
      </c>
      <c r="O148" s="44">
        <v>0.99575231481481474</v>
      </c>
      <c r="P148" s="44">
        <f t="shared" si="98"/>
        <v>5.2083333333330373E-4</v>
      </c>
      <c r="Q148" s="215">
        <v>416</v>
      </c>
      <c r="R148" s="58">
        <v>43140</v>
      </c>
      <c r="S148" s="44">
        <v>1.9976851851851853E-2</v>
      </c>
      <c r="T148" s="44">
        <v>2.9537037037037039E-2</v>
      </c>
      <c r="U148" s="44">
        <f t="shared" ref="U148:U189" si="107">T148-S148</f>
        <v>9.5601851851851855E-3</v>
      </c>
      <c r="V148" s="249" t="s">
        <v>626</v>
      </c>
      <c r="W148"/>
      <c r="X148" s="44">
        <v>0.73717592592592596</v>
      </c>
      <c r="Y148" s="44">
        <v>0.73760416666666673</v>
      </c>
      <c r="Z148" s="44">
        <f t="shared" si="99"/>
        <v>4.2824074074077068E-4</v>
      </c>
      <c r="AA148" s="215" t="s">
        <v>724</v>
      </c>
      <c r="AB148" s="44"/>
      <c r="AC148" s="44">
        <v>0.48509259259259258</v>
      </c>
      <c r="AD148" s="44">
        <v>0.48547453703703702</v>
      </c>
      <c r="AE148" s="44">
        <f t="shared" si="104"/>
        <v>3.8194444444444864E-4</v>
      </c>
      <c r="AF148" s="215" t="s">
        <v>783</v>
      </c>
      <c r="AO148"/>
    </row>
    <row r="149" spans="2:41">
      <c r="B149" s="65"/>
      <c r="C149" s="44">
        <v>0.23480324074074074</v>
      </c>
      <c r="D149" s="44">
        <v>0.24547453703703703</v>
      </c>
      <c r="E149" s="44">
        <f t="shared" si="105"/>
        <v>1.067129629629629E-2</v>
      </c>
      <c r="F149" s="217" t="s">
        <v>317</v>
      </c>
      <c r="G149" s="58"/>
      <c r="H149" s="44">
        <v>4.7581018518518516E-2</v>
      </c>
      <c r="I149" s="44">
        <v>4.7812500000000001E-2</v>
      </c>
      <c r="J149" s="44">
        <f t="shared" si="106"/>
        <v>2.3148148148148529E-4</v>
      </c>
      <c r="K149" s="217">
        <v>340</v>
      </c>
      <c r="O149" s="222" t="s">
        <v>70</v>
      </c>
      <c r="P149" s="223">
        <f>SUM(P110:P148)</f>
        <v>6.7083333333333758E-2</v>
      </c>
      <c r="R149" s="44"/>
      <c r="S149">
        <v>5.7361111111111113E-2</v>
      </c>
      <c r="T149" s="127">
        <v>5.7789351851851856E-2</v>
      </c>
      <c r="U149" s="44">
        <f t="shared" si="107"/>
        <v>4.2824074074074292E-4</v>
      </c>
      <c r="V149" s="215" t="s">
        <v>628</v>
      </c>
      <c r="W149"/>
      <c r="X149" s="44">
        <v>0.73819444444444438</v>
      </c>
      <c r="Y149" s="127">
        <v>0.73856481481481484</v>
      </c>
      <c r="Z149" s="44">
        <f t="shared" si="99"/>
        <v>3.7037037037046527E-4</v>
      </c>
      <c r="AA149" s="215" t="s">
        <v>724</v>
      </c>
      <c r="AB149" s="58"/>
      <c r="AC149" s="44">
        <v>0.50167824074074074</v>
      </c>
      <c r="AD149" s="44">
        <v>0.50188657407407411</v>
      </c>
      <c r="AE149" s="44">
        <f t="shared" si="104"/>
        <v>2.083333333333659E-4</v>
      </c>
      <c r="AF149" s="215" t="s">
        <v>783</v>
      </c>
      <c r="AO149"/>
    </row>
    <row r="150" spans="2:41">
      <c r="B150" s="44"/>
      <c r="C150" s="44">
        <v>0.25298611111111108</v>
      </c>
      <c r="D150" s="44">
        <v>0.26434027777777774</v>
      </c>
      <c r="E150" s="44">
        <f t="shared" si="105"/>
        <v>1.1354166666666665E-2</v>
      </c>
      <c r="F150" s="217" t="s">
        <v>320</v>
      </c>
      <c r="G150" s="44"/>
      <c r="H150" s="44">
        <v>4.9629629629629635E-2</v>
      </c>
      <c r="I150" s="52">
        <v>5.8877314814814813E-2</v>
      </c>
      <c r="J150" s="44">
        <f t="shared" si="106"/>
        <v>9.2476851851851782E-3</v>
      </c>
      <c r="K150" s="217">
        <v>340</v>
      </c>
      <c r="R150" s="44"/>
      <c r="S150" s="127">
        <v>7.8831018518518522E-2</v>
      </c>
      <c r="T150" s="127">
        <v>7.9131944444444449E-2</v>
      </c>
      <c r="U150" s="44">
        <f t="shared" si="107"/>
        <v>3.0092592592592671E-4</v>
      </c>
      <c r="V150" s="215" t="s">
        <v>629</v>
      </c>
      <c r="W150"/>
      <c r="X150" s="44">
        <v>0.73905092592592592</v>
      </c>
      <c r="Y150" s="44">
        <v>0.7416666666666667</v>
      </c>
      <c r="Z150" s="44">
        <f t="shared" si="99"/>
        <v>2.6157407407407796E-3</v>
      </c>
      <c r="AA150" s="215" t="s">
        <v>724</v>
      </c>
      <c r="AB150" s="44"/>
      <c r="AC150" s="44">
        <v>0.50875000000000004</v>
      </c>
      <c r="AD150" s="44">
        <v>0.51034722222222217</v>
      </c>
      <c r="AE150" s="44">
        <f t="shared" si="104"/>
        <v>1.5972222222221388E-3</v>
      </c>
      <c r="AF150" s="215" t="s">
        <v>783</v>
      </c>
      <c r="AO150"/>
    </row>
    <row r="151" spans="2:41">
      <c r="B151" s="44"/>
      <c r="C151" s="44">
        <v>0.27556712962962965</v>
      </c>
      <c r="D151" s="44">
        <v>0.27608796296296295</v>
      </c>
      <c r="E151" s="44">
        <f t="shared" si="105"/>
        <v>5.2083333333330373E-4</v>
      </c>
      <c r="F151" s="217" t="s">
        <v>321</v>
      </c>
      <c r="G151" s="44"/>
      <c r="H151" s="44">
        <v>0.11337962962962962</v>
      </c>
      <c r="I151" s="44">
        <v>0.11385416666666666</v>
      </c>
      <c r="J151" s="44">
        <f t="shared" si="106"/>
        <v>4.745370370370372E-4</v>
      </c>
      <c r="K151" s="217" t="s">
        <v>457</v>
      </c>
      <c r="M151" s="12" t="s">
        <v>0</v>
      </c>
      <c r="N151" s="11" t="s">
        <v>14</v>
      </c>
      <c r="O151" s="11" t="s">
        <v>15</v>
      </c>
      <c r="P151" s="11" t="s">
        <v>16</v>
      </c>
      <c r="Q151" s="216"/>
      <c r="R151" s="44"/>
      <c r="S151" s="127">
        <v>9.8506944444444453E-2</v>
      </c>
      <c r="T151" s="127">
        <v>0.10826388888888888</v>
      </c>
      <c r="U151" s="44">
        <f t="shared" si="107"/>
        <v>9.7569444444444292E-3</v>
      </c>
      <c r="V151" s="215" t="s">
        <v>632</v>
      </c>
      <c r="W151"/>
      <c r="X151" s="44">
        <v>0.74217592592592585</v>
      </c>
      <c r="Y151" s="250">
        <v>0.98649305555555555</v>
      </c>
      <c r="Z151" s="44">
        <f t="shared" si="99"/>
        <v>0.2443171296296297</v>
      </c>
      <c r="AA151" s="215" t="s">
        <v>725</v>
      </c>
      <c r="AB151" s="44"/>
      <c r="AC151" s="44">
        <v>0.52495370370370364</v>
      </c>
      <c r="AD151" s="44">
        <v>0.53249999999999997</v>
      </c>
      <c r="AE151" s="44">
        <f t="shared" si="104"/>
        <v>7.5462962962963287E-3</v>
      </c>
      <c r="AF151" s="215" t="s">
        <v>784</v>
      </c>
      <c r="AO151"/>
    </row>
    <row r="152" spans="2:41">
      <c r="B152" s="44"/>
      <c r="C152" s="44">
        <v>0.32290509259259259</v>
      </c>
      <c r="D152" s="44">
        <v>0.32335648148148149</v>
      </c>
      <c r="E152" s="44">
        <f t="shared" si="105"/>
        <v>4.5138888888890394E-4</v>
      </c>
      <c r="F152" s="217" t="s">
        <v>322</v>
      </c>
      <c r="G152" s="44"/>
      <c r="H152" s="44">
        <v>0.14086805555555557</v>
      </c>
      <c r="I152" s="44">
        <v>0.14115740740740743</v>
      </c>
      <c r="J152" s="44">
        <f t="shared" si="106"/>
        <v>2.8935185185186008E-4</v>
      </c>
      <c r="K152" s="217" t="s">
        <v>457</v>
      </c>
      <c r="M152" s="58">
        <v>43136</v>
      </c>
      <c r="N152" s="44">
        <v>6.6666666666666671E-3</v>
      </c>
      <c r="O152" s="44">
        <v>7.1643518518518514E-3</v>
      </c>
      <c r="P152" s="44">
        <f t="shared" ref="P152:P187" si="108">O152-N152</f>
        <v>4.9768518518518434E-4</v>
      </c>
      <c r="Q152" s="217" t="s">
        <v>540</v>
      </c>
      <c r="R152" s="44"/>
      <c r="S152" s="44">
        <v>0.11925925925925925</v>
      </c>
      <c r="T152" s="44">
        <v>0.11960648148148149</v>
      </c>
      <c r="U152" s="44">
        <f t="shared" si="107"/>
        <v>3.4722222222224874E-4</v>
      </c>
      <c r="V152" s="215" t="s">
        <v>631</v>
      </c>
      <c r="W152"/>
      <c r="X152" s="44"/>
      <c r="Y152" s="222" t="s">
        <v>70</v>
      </c>
      <c r="Z152" s="223">
        <f>SUM(Z113:Z151)</f>
        <v>0.30855324074074109</v>
      </c>
      <c r="AA152" s="215"/>
      <c r="AB152" s="44"/>
      <c r="AC152" s="44">
        <v>0.53630787037037042</v>
      </c>
      <c r="AD152" s="44">
        <v>0.53664351851851855</v>
      </c>
      <c r="AE152" s="44">
        <f t="shared" si="104"/>
        <v>3.356481481481266E-4</v>
      </c>
      <c r="AF152" s="217" t="s">
        <v>784</v>
      </c>
      <c r="AO152"/>
    </row>
    <row r="153" spans="2:41">
      <c r="B153" s="44"/>
      <c r="C153" s="44">
        <v>0.33791666666666664</v>
      </c>
      <c r="D153" s="44">
        <v>0.33826388888888892</v>
      </c>
      <c r="E153" s="44">
        <f t="shared" ref="E153:E158" si="109">D153-C153</f>
        <v>3.472222222222765E-4</v>
      </c>
      <c r="F153" s="217" t="s">
        <v>322</v>
      </c>
      <c r="G153" s="44"/>
      <c r="H153" s="44">
        <v>0.15472222222222223</v>
      </c>
      <c r="I153" s="44">
        <v>0.15512731481481482</v>
      </c>
      <c r="J153" s="44">
        <f t="shared" si="106"/>
        <v>4.050925925925819E-4</v>
      </c>
      <c r="K153" s="217" t="s">
        <v>458</v>
      </c>
      <c r="M153" s="44"/>
      <c r="N153">
        <v>1.269675925925926E-2</v>
      </c>
      <c r="O153" s="44">
        <v>1.3333333333333334E-2</v>
      </c>
      <c r="P153" s="44">
        <f t="shared" si="108"/>
        <v>6.3657407407407413E-4</v>
      </c>
      <c r="Q153" s="217" t="s">
        <v>541</v>
      </c>
      <c r="R153" s="44"/>
      <c r="S153" s="44">
        <v>0.13885416666666667</v>
      </c>
      <c r="T153" s="127">
        <v>0.13923611111111112</v>
      </c>
      <c r="U153" s="44">
        <f t="shared" si="107"/>
        <v>3.8194444444444864E-4</v>
      </c>
      <c r="V153" s="215" t="s">
        <v>631</v>
      </c>
      <c r="W153"/>
      <c r="Z153"/>
      <c r="AB153" s="44"/>
      <c r="AC153" s="44">
        <v>0.56388888888888888</v>
      </c>
      <c r="AD153" s="44">
        <v>0.57150462962962967</v>
      </c>
      <c r="AE153" s="44">
        <f t="shared" si="104"/>
        <v>7.615740740740784E-3</v>
      </c>
      <c r="AF153" s="217" t="s">
        <v>785</v>
      </c>
      <c r="AO153"/>
    </row>
    <row r="154" spans="2:41">
      <c r="B154" s="58"/>
      <c r="C154" s="44">
        <v>0.35145833333333337</v>
      </c>
      <c r="D154" s="44">
        <v>0.37251157407407409</v>
      </c>
      <c r="E154" s="44">
        <f t="shared" si="109"/>
        <v>2.105324074074072E-2</v>
      </c>
      <c r="F154" s="217" t="s">
        <v>323</v>
      </c>
      <c r="G154" s="44"/>
      <c r="H154" s="44">
        <v>0.198125</v>
      </c>
      <c r="I154" s="44">
        <v>0.19848379629629631</v>
      </c>
      <c r="J154" s="44">
        <f t="shared" si="106"/>
        <v>3.5879629629631538E-4</v>
      </c>
      <c r="K154" s="217" t="s">
        <v>460</v>
      </c>
      <c r="M154" s="44"/>
      <c r="N154" s="44">
        <v>0.10039351851851852</v>
      </c>
      <c r="O154" s="44">
        <v>0.1158912037037037</v>
      </c>
      <c r="P154" s="44">
        <f t="shared" si="108"/>
        <v>1.5497685185185184E-2</v>
      </c>
      <c r="Q154" s="217" t="s">
        <v>542</v>
      </c>
      <c r="R154" s="44"/>
      <c r="S154" s="127">
        <v>0.15012731481481481</v>
      </c>
      <c r="T154" s="52">
        <v>0.15049768518518519</v>
      </c>
      <c r="U154" s="44">
        <f t="shared" si="107"/>
        <v>3.7037037037038201E-4</v>
      </c>
      <c r="V154" s="215" t="s">
        <v>633</v>
      </c>
      <c r="W154" s="12" t="s">
        <v>0</v>
      </c>
      <c r="X154" s="11" t="s">
        <v>14</v>
      </c>
      <c r="Y154" s="11" t="s">
        <v>15</v>
      </c>
      <c r="Z154" s="11" t="s">
        <v>16</v>
      </c>
      <c r="AA154" s="216"/>
      <c r="AB154" s="44"/>
      <c r="AC154" s="44">
        <v>0.58185185185185184</v>
      </c>
      <c r="AD154" s="44">
        <v>0.58233796296296292</v>
      </c>
      <c r="AE154" s="44">
        <f t="shared" si="104"/>
        <v>4.8611111111107608E-4</v>
      </c>
      <c r="AF154" s="217" t="s">
        <v>786</v>
      </c>
      <c r="AO154"/>
    </row>
    <row r="155" spans="2:41">
      <c r="B155" s="65"/>
      <c r="C155" s="44">
        <v>0.38052083333333336</v>
      </c>
      <c r="D155" s="44">
        <v>0.39070601851851849</v>
      </c>
      <c r="E155" s="44">
        <f t="shared" si="109"/>
        <v>1.018518518518513E-2</v>
      </c>
      <c r="F155" s="217" t="s">
        <v>323</v>
      </c>
      <c r="G155" s="44"/>
      <c r="H155" s="44">
        <v>0.20497685185185185</v>
      </c>
      <c r="I155" s="44">
        <v>0.20538194444444446</v>
      </c>
      <c r="J155" s="44">
        <f t="shared" si="106"/>
        <v>4.0509259259260966E-4</v>
      </c>
      <c r="K155" s="217" t="s">
        <v>460</v>
      </c>
      <c r="M155" s="44"/>
      <c r="N155" s="44">
        <v>0.21299768518518516</v>
      </c>
      <c r="O155" s="44">
        <v>0.21350694444444443</v>
      </c>
      <c r="P155" s="44">
        <f t="shared" si="108"/>
        <v>5.0925925925926485E-4</v>
      </c>
      <c r="Q155" s="217" t="s">
        <v>543</v>
      </c>
      <c r="R155" s="44"/>
      <c r="S155" s="44">
        <v>0.20520833333333333</v>
      </c>
      <c r="T155" s="127">
        <v>0.22253472222222223</v>
      </c>
      <c r="U155" s="44">
        <f t="shared" si="107"/>
        <v>1.7326388888888905E-2</v>
      </c>
      <c r="V155" s="215" t="s">
        <v>634</v>
      </c>
      <c r="W155" s="58">
        <v>43148</v>
      </c>
      <c r="X155" s="44">
        <v>6.4004629629629628E-3</v>
      </c>
      <c r="Y155" s="127">
        <v>1.0381944444444444E-2</v>
      </c>
      <c r="Z155" s="44">
        <f t="shared" ref="Z155:Z183" si="110">Y155-X155</f>
        <v>3.9814814814814808E-3</v>
      </c>
      <c r="AA155" s="249" t="s">
        <v>728</v>
      </c>
      <c r="AB155" s="215"/>
      <c r="AC155" s="44">
        <v>0.63796296296296295</v>
      </c>
      <c r="AD155" s="44">
        <v>0.63836805555555554</v>
      </c>
      <c r="AE155" s="44">
        <f t="shared" si="104"/>
        <v>4.050925925925819E-4</v>
      </c>
      <c r="AF155" s="217" t="s">
        <v>787</v>
      </c>
      <c r="AO155"/>
    </row>
    <row r="156" spans="2:41">
      <c r="B156" s="65"/>
      <c r="C156" s="44">
        <v>0.39128472222222221</v>
      </c>
      <c r="D156" s="44">
        <v>0.3916782407407407</v>
      </c>
      <c r="E156" s="44">
        <f t="shared" si="109"/>
        <v>3.9351851851848751E-4</v>
      </c>
      <c r="F156" s="217" t="s">
        <v>323</v>
      </c>
      <c r="G156" s="58"/>
      <c r="H156" s="44">
        <v>0.21589120370370371</v>
      </c>
      <c r="I156" s="44">
        <v>0.21627314814814813</v>
      </c>
      <c r="J156" s="44">
        <f t="shared" si="106"/>
        <v>3.8194444444442088E-4</v>
      </c>
      <c r="K156" s="217" t="s">
        <v>462</v>
      </c>
      <c r="M156" s="44"/>
      <c r="N156" s="44">
        <v>0.22399305555555557</v>
      </c>
      <c r="O156" s="44">
        <v>0.22436342592592592</v>
      </c>
      <c r="P156" s="44">
        <f t="shared" si="108"/>
        <v>3.7037037037035425E-4</v>
      </c>
      <c r="Q156" s="217" t="s">
        <v>543</v>
      </c>
      <c r="R156" s="44"/>
      <c r="S156" s="44">
        <v>0.25267361111111114</v>
      </c>
      <c r="T156" s="127">
        <v>0.25299768518518517</v>
      </c>
      <c r="U156" s="44">
        <f t="shared" si="107"/>
        <v>3.2407407407403221E-4</v>
      </c>
      <c r="V156" s="215" t="s">
        <v>636</v>
      </c>
      <c r="W156" s="44"/>
      <c r="X156">
        <v>6.3414351851851847E-2</v>
      </c>
      <c r="Y156" s="127">
        <v>6.3738425925925921E-2</v>
      </c>
      <c r="Z156" s="44">
        <f t="shared" si="110"/>
        <v>3.2407407407407385E-4</v>
      </c>
      <c r="AA156" s="215" t="s">
        <v>730</v>
      </c>
      <c r="AB156" s="215"/>
      <c r="AC156" s="44">
        <v>0.66923611111111114</v>
      </c>
      <c r="AD156" s="44">
        <v>0.66973379629629637</v>
      </c>
      <c r="AE156" s="44">
        <f t="shared" si="104"/>
        <v>4.9768518518522598E-4</v>
      </c>
      <c r="AF156" s="217" t="s">
        <v>788</v>
      </c>
      <c r="AO156"/>
    </row>
    <row r="157" spans="2:41">
      <c r="B157" s="65"/>
      <c r="C157" s="44">
        <v>0.42089120370370375</v>
      </c>
      <c r="D157" s="44">
        <v>0.42173611111111109</v>
      </c>
      <c r="E157" s="44">
        <f t="shared" si="109"/>
        <v>8.4490740740733594E-4</v>
      </c>
      <c r="F157" s="217" t="s">
        <v>323</v>
      </c>
      <c r="G157" s="44"/>
      <c r="H157" s="44">
        <v>0.24701388888888889</v>
      </c>
      <c r="I157" s="52">
        <v>0.24744212962962964</v>
      </c>
      <c r="J157" s="44">
        <f t="shared" si="106"/>
        <v>4.2824074074074292E-4</v>
      </c>
      <c r="K157" s="217" t="s">
        <v>462</v>
      </c>
      <c r="M157" s="44"/>
      <c r="N157" s="44">
        <v>0.22939814814814816</v>
      </c>
      <c r="O157" s="44">
        <v>0.22968750000000002</v>
      </c>
      <c r="P157" s="44">
        <f t="shared" si="108"/>
        <v>2.8935185185186008E-4</v>
      </c>
      <c r="Q157" s="217" t="s">
        <v>543</v>
      </c>
      <c r="R157" s="44"/>
      <c r="S157" s="44">
        <v>0.26435185185185184</v>
      </c>
      <c r="T157" s="44">
        <v>0.26474537037037038</v>
      </c>
      <c r="U157" s="44">
        <f t="shared" si="107"/>
        <v>3.9351851851854303E-4</v>
      </c>
      <c r="V157" s="215" t="s">
        <v>636</v>
      </c>
      <c r="W157" s="44"/>
      <c r="X157" s="127">
        <v>7.1006944444444442E-2</v>
      </c>
      <c r="Y157" s="127">
        <v>0.73050925925925936</v>
      </c>
      <c r="Z157" s="44">
        <f t="shared" si="110"/>
        <v>0.65950231481481492</v>
      </c>
      <c r="AA157" s="215" t="s">
        <v>729</v>
      </c>
      <c r="AB157" s="215"/>
      <c r="AC157" s="44">
        <v>0.687037037037037</v>
      </c>
      <c r="AD157" s="44">
        <v>0.68741898148148151</v>
      </c>
      <c r="AE157" s="44">
        <f t="shared" si="104"/>
        <v>3.8194444444450415E-4</v>
      </c>
      <c r="AF157" s="217" t="s">
        <v>789</v>
      </c>
      <c r="AO157"/>
    </row>
    <row r="158" spans="2:41">
      <c r="B158" s="65"/>
      <c r="C158" s="44">
        <v>0.43813657407407408</v>
      </c>
      <c r="D158" s="44">
        <v>0.43843750000000004</v>
      </c>
      <c r="E158" s="44">
        <f t="shared" si="109"/>
        <v>3.0092592592595446E-4</v>
      </c>
      <c r="F158" s="217" t="s">
        <v>323</v>
      </c>
      <c r="G158" s="44"/>
      <c r="H158" s="44">
        <v>0.26725694444444442</v>
      </c>
      <c r="I158" s="44">
        <v>0.26754629629629628</v>
      </c>
      <c r="J158" s="44">
        <f t="shared" si="106"/>
        <v>2.8935185185186008E-4</v>
      </c>
      <c r="K158" s="217" t="s">
        <v>463</v>
      </c>
      <c r="M158" s="44"/>
      <c r="N158" s="44">
        <v>0.23315972222222223</v>
      </c>
      <c r="O158" s="52">
        <v>0.23349537037037038</v>
      </c>
      <c r="P158" s="44">
        <f t="shared" si="108"/>
        <v>3.3564814814815436E-4</v>
      </c>
      <c r="Q158" s="217" t="s">
        <v>544</v>
      </c>
      <c r="R158" s="44"/>
      <c r="S158" s="44">
        <v>0.26495370370370369</v>
      </c>
      <c r="T158" s="44">
        <v>0.26538194444444446</v>
      </c>
      <c r="U158" s="44">
        <f t="shared" si="107"/>
        <v>4.2824074074077068E-4</v>
      </c>
      <c r="V158" s="215" t="s">
        <v>636</v>
      </c>
      <c r="W158" s="44"/>
      <c r="X158" s="2">
        <v>0.73643518518518514</v>
      </c>
      <c r="Y158" s="233">
        <v>0.73670138888888881</v>
      </c>
      <c r="Z158" s="44">
        <f t="shared" si="110"/>
        <v>2.662037037036713E-4</v>
      </c>
      <c r="AA158" s="215" t="s">
        <v>734</v>
      </c>
      <c r="AB158" s="215"/>
      <c r="AC158" s="44">
        <v>0.70306712962962958</v>
      </c>
      <c r="AD158" s="44">
        <v>0.70349537037037047</v>
      </c>
      <c r="AE158" s="44">
        <f t="shared" si="104"/>
        <v>4.282407407408817E-4</v>
      </c>
      <c r="AF158" s="217" t="s">
        <v>790</v>
      </c>
      <c r="AO158"/>
    </row>
    <row r="159" spans="2:41">
      <c r="B159" s="65"/>
      <c r="C159" s="44"/>
      <c r="D159" s="222" t="s">
        <v>70</v>
      </c>
      <c r="E159" s="223">
        <f>SUM(E140:E158)</f>
        <v>8.3530092592592503E-2</v>
      </c>
      <c r="F159" s="217"/>
      <c r="G159" s="44"/>
      <c r="H159" s="44">
        <v>0.27878472222222223</v>
      </c>
      <c r="I159" s="44">
        <v>0.2792824074074074</v>
      </c>
      <c r="J159" s="44">
        <f t="shared" si="106"/>
        <v>4.9768518518517046E-4</v>
      </c>
      <c r="K159" s="217" t="s">
        <v>463</v>
      </c>
      <c r="M159" s="44"/>
      <c r="N159" s="44">
        <v>0.34306712962962965</v>
      </c>
      <c r="O159" s="44">
        <v>0.34328703703703706</v>
      </c>
      <c r="P159" s="44">
        <f t="shared" si="108"/>
        <v>2.1990740740740478E-4</v>
      </c>
      <c r="Q159" s="217" t="s">
        <v>534</v>
      </c>
      <c r="R159" s="44"/>
      <c r="S159" s="127">
        <v>0.32555555555555554</v>
      </c>
      <c r="T159" s="127">
        <v>0.32603009259259258</v>
      </c>
      <c r="U159" s="44">
        <f t="shared" si="107"/>
        <v>4.745370370370372E-4</v>
      </c>
      <c r="V159" s="215" t="s">
        <v>617</v>
      </c>
      <c r="W159" s="44"/>
      <c r="X159" s="44">
        <v>0.74018518518518517</v>
      </c>
      <c r="Y159" s="127">
        <v>0.75072916666666656</v>
      </c>
      <c r="Z159" s="44">
        <f t="shared" si="110"/>
        <v>1.054398148148139E-2</v>
      </c>
      <c r="AA159" s="215" t="s">
        <v>734</v>
      </c>
      <c r="AB159" s="215"/>
      <c r="AC159" s="44">
        <v>0.71703703703703703</v>
      </c>
      <c r="AD159" s="44">
        <v>0.71749999999999992</v>
      </c>
      <c r="AE159" s="44">
        <f t="shared" si="104"/>
        <v>4.629629629628873E-4</v>
      </c>
      <c r="AF159" s="217" t="s">
        <v>790</v>
      </c>
      <c r="AO159"/>
    </row>
    <row r="160" spans="2:41">
      <c r="B160"/>
      <c r="C160"/>
      <c r="D160"/>
      <c r="E160"/>
      <c r="G160" s="58"/>
      <c r="H160" s="44">
        <v>0.29875000000000002</v>
      </c>
      <c r="I160" s="127">
        <v>0.29901620370370369</v>
      </c>
      <c r="J160" s="44">
        <f t="shared" si="106"/>
        <v>2.662037037036713E-4</v>
      </c>
      <c r="K160" s="217" t="s">
        <v>464</v>
      </c>
      <c r="M160" s="44"/>
      <c r="N160" s="44">
        <v>0.36049768518518516</v>
      </c>
      <c r="O160" s="44">
        <v>0.36068287037037039</v>
      </c>
      <c r="P160" s="44">
        <f t="shared" si="108"/>
        <v>1.8518518518523264E-4</v>
      </c>
      <c r="Q160" s="217" t="s">
        <v>535</v>
      </c>
      <c r="R160" s="44"/>
      <c r="S160" s="44">
        <v>0.34962962962962968</v>
      </c>
      <c r="T160" s="44">
        <v>0.35009259259259262</v>
      </c>
      <c r="U160" s="44">
        <f t="shared" si="107"/>
        <v>4.6296296296294281E-4</v>
      </c>
      <c r="V160" s="215" t="s">
        <v>627</v>
      </c>
      <c r="W160" s="44"/>
      <c r="X160" s="44">
        <v>0.75564814814814818</v>
      </c>
      <c r="Y160" s="2">
        <v>0.75631944444444443</v>
      </c>
      <c r="Z160" s="44">
        <f t="shared" si="110"/>
        <v>6.712962962962532E-4</v>
      </c>
      <c r="AA160" s="215" t="s">
        <v>734</v>
      </c>
      <c r="AB160" s="215"/>
      <c r="AC160" s="44">
        <v>0.74103009259259256</v>
      </c>
      <c r="AD160" s="44">
        <v>0.74135416666666665</v>
      </c>
      <c r="AE160" s="44">
        <f t="shared" si="104"/>
        <v>3.2407407407408773E-4</v>
      </c>
      <c r="AF160" s="217" t="s">
        <v>790</v>
      </c>
      <c r="AO160"/>
    </row>
    <row r="161" spans="2:41">
      <c r="B161" s="12" t="s">
        <v>13</v>
      </c>
      <c r="C161" s="11" t="s">
        <v>10</v>
      </c>
      <c r="D161" s="11" t="s">
        <v>11</v>
      </c>
      <c r="E161" s="11" t="s">
        <v>12</v>
      </c>
      <c r="F161" s="11"/>
      <c r="G161" s="58"/>
      <c r="H161" s="44">
        <v>0.31108796296296298</v>
      </c>
      <c r="I161" s="44">
        <v>0.31156250000000002</v>
      </c>
      <c r="J161" s="44">
        <f t="shared" si="106"/>
        <v>4.745370370370372E-4</v>
      </c>
      <c r="K161" s="217" t="s">
        <v>464</v>
      </c>
      <c r="M161" s="44"/>
      <c r="N161" s="44">
        <v>0.36934027777777773</v>
      </c>
      <c r="O161" s="44">
        <v>0.36953703703703705</v>
      </c>
      <c r="P161" s="44">
        <f t="shared" si="108"/>
        <v>1.9675925925932702E-4</v>
      </c>
      <c r="Q161" s="217" t="s">
        <v>535</v>
      </c>
      <c r="R161" s="44"/>
      <c r="S161" s="44">
        <v>0.35883101851851856</v>
      </c>
      <c r="T161" s="44">
        <v>0.35927083333333337</v>
      </c>
      <c r="U161" s="44">
        <f t="shared" si="107"/>
        <v>4.3981481481480955E-4</v>
      </c>
      <c r="V161" s="215" t="s">
        <v>627</v>
      </c>
      <c r="W161" s="44"/>
      <c r="X161" s="127">
        <v>0.76744212962962965</v>
      </c>
      <c r="Y161" s="52">
        <v>0.77221064814814822</v>
      </c>
      <c r="Z161" s="44">
        <f t="shared" si="110"/>
        <v>4.7685185185185608E-3</v>
      </c>
      <c r="AA161" s="215" t="s">
        <v>734</v>
      </c>
      <c r="AB161" s="215"/>
      <c r="AC161" s="44">
        <v>0.74403935185185188</v>
      </c>
      <c r="AD161" s="44">
        <v>0.74446759259259254</v>
      </c>
      <c r="AE161" s="44">
        <f t="shared" si="104"/>
        <v>4.2824074074065965E-4</v>
      </c>
      <c r="AF161" s="217" t="s">
        <v>791</v>
      </c>
      <c r="AO161"/>
    </row>
    <row r="162" spans="2:41">
      <c r="B162" s="58">
        <v>43128</v>
      </c>
      <c r="C162" s="2">
        <v>4.2222222222222223E-2</v>
      </c>
      <c r="D162" s="2">
        <v>9.1817129629629624E-2</v>
      </c>
      <c r="E162" s="44">
        <f>D162-C162</f>
        <v>4.95949074074074E-2</v>
      </c>
      <c r="F162" s="215" t="s">
        <v>343</v>
      </c>
      <c r="G162" s="44"/>
      <c r="H162" s="44">
        <v>0.33175925925925925</v>
      </c>
      <c r="I162" s="52">
        <v>0.33206018518518515</v>
      </c>
      <c r="J162" s="44">
        <f t="shared" si="106"/>
        <v>3.0092592592589895E-4</v>
      </c>
      <c r="K162" s="217" t="s">
        <v>465</v>
      </c>
      <c r="M162" s="44"/>
      <c r="N162" s="44">
        <v>0.40077546296296296</v>
      </c>
      <c r="O162" s="44">
        <v>0.40113425925925927</v>
      </c>
      <c r="P162" s="44">
        <f t="shared" si="108"/>
        <v>3.5879629629631538E-4</v>
      </c>
      <c r="Q162" s="217" t="s">
        <v>545</v>
      </c>
      <c r="R162" s="44"/>
      <c r="S162" s="44">
        <v>0.39436342592592594</v>
      </c>
      <c r="T162" s="44">
        <v>0.39473379629629629</v>
      </c>
      <c r="U162" s="44">
        <f t="shared" si="107"/>
        <v>3.7037037037035425E-4</v>
      </c>
      <c r="V162" s="217" t="s">
        <v>637</v>
      </c>
      <c r="W162" s="44"/>
      <c r="X162" s="44">
        <v>0.77659722222222216</v>
      </c>
      <c r="Y162" s="127">
        <v>0.77665509259259258</v>
      </c>
      <c r="Z162" s="44">
        <f t="shared" si="110"/>
        <v>5.7870370370416424E-5</v>
      </c>
      <c r="AA162" s="215" t="s">
        <v>734</v>
      </c>
      <c r="AB162" s="215"/>
      <c r="AC162" s="44">
        <v>0.75047453703703704</v>
      </c>
      <c r="AD162" s="44">
        <v>0.75084490740740739</v>
      </c>
      <c r="AE162" s="44">
        <f t="shared" si="104"/>
        <v>3.7037037037035425E-4</v>
      </c>
      <c r="AF162" s="217" t="s">
        <v>791</v>
      </c>
      <c r="AO162"/>
    </row>
    <row r="163" spans="2:41">
      <c r="B163" s="2"/>
      <c r="C163" s="2">
        <v>0.17043981481481482</v>
      </c>
      <c r="D163" s="2">
        <v>0.17108796296296294</v>
      </c>
      <c r="E163" s="44">
        <f t="shared" ref="E163:E190" si="111">D163-C163</f>
        <v>6.4814814814811994E-4</v>
      </c>
      <c r="F163" s="215" t="s">
        <v>344</v>
      </c>
      <c r="G163" s="44"/>
      <c r="H163" s="44">
        <v>0.34697916666666667</v>
      </c>
      <c r="I163" s="44">
        <v>0.34718749999999998</v>
      </c>
      <c r="J163" s="44">
        <f t="shared" si="106"/>
        <v>2.0833333333331039E-4</v>
      </c>
      <c r="K163" s="217" t="s">
        <v>465</v>
      </c>
      <c r="M163" s="44"/>
      <c r="N163" s="44">
        <v>0.45173611111111112</v>
      </c>
      <c r="O163" s="44">
        <v>0.46165509259259258</v>
      </c>
      <c r="P163" s="44">
        <f t="shared" si="108"/>
        <v>9.9189814814814592E-3</v>
      </c>
      <c r="Q163" s="217" t="s">
        <v>546</v>
      </c>
      <c r="R163" s="58"/>
      <c r="S163" s="44">
        <v>0.40482638888888894</v>
      </c>
      <c r="T163" s="44">
        <v>0.40545138888888888</v>
      </c>
      <c r="U163" s="44">
        <f t="shared" si="107"/>
        <v>6.2499999999993117E-4</v>
      </c>
      <c r="V163" s="217" t="s">
        <v>637</v>
      </c>
      <c r="W163" s="44"/>
      <c r="X163" s="44">
        <v>0.77961805555555552</v>
      </c>
      <c r="Y163" s="127">
        <v>0.77998842592592599</v>
      </c>
      <c r="Z163" s="44">
        <f t="shared" si="110"/>
        <v>3.7037037037046527E-4</v>
      </c>
      <c r="AA163" s="215" t="s">
        <v>734</v>
      </c>
      <c r="AB163" s="215"/>
      <c r="AC163" s="44">
        <v>0.7697222222222222</v>
      </c>
      <c r="AD163" s="44">
        <v>0.77004629629629628</v>
      </c>
      <c r="AE163" s="44">
        <f t="shared" si="104"/>
        <v>3.2407407407408773E-4</v>
      </c>
      <c r="AF163" s="217" t="s">
        <v>791</v>
      </c>
      <c r="AO163"/>
    </row>
    <row r="164" spans="2:41">
      <c r="B164" s="2"/>
      <c r="C164" s="2">
        <v>0.19763888888888889</v>
      </c>
      <c r="D164" s="233">
        <v>0.19811342592592593</v>
      </c>
      <c r="E164" s="44">
        <f t="shared" si="111"/>
        <v>4.745370370370372E-4</v>
      </c>
      <c r="F164" s="215" t="s">
        <v>345</v>
      </c>
      <c r="G164" s="44"/>
      <c r="H164" s="44">
        <v>0.38011574074074073</v>
      </c>
      <c r="I164" s="52">
        <v>0.38039351851851855</v>
      </c>
      <c r="J164" s="44">
        <f t="shared" si="106"/>
        <v>2.777777777778212E-4</v>
      </c>
      <c r="K164" s="217" t="s">
        <v>466</v>
      </c>
      <c r="M164" s="44"/>
      <c r="N164" s="44">
        <v>0.50841435185185191</v>
      </c>
      <c r="O164" s="44">
        <v>0.50892361111111117</v>
      </c>
      <c r="P164" s="44">
        <f t="shared" si="108"/>
        <v>5.0925925925926485E-4</v>
      </c>
      <c r="Q164" s="217" t="s">
        <v>547</v>
      </c>
      <c r="R164" s="44"/>
      <c r="S164" s="44">
        <v>0.42236111111111113</v>
      </c>
      <c r="T164" s="44">
        <v>0.4228703703703704</v>
      </c>
      <c r="U164" s="44">
        <f t="shared" si="107"/>
        <v>5.0925925925926485E-4</v>
      </c>
      <c r="V164" s="217" t="s">
        <v>638</v>
      </c>
      <c r="W164" s="44"/>
      <c r="X164" s="127">
        <v>0.78530092592592593</v>
      </c>
      <c r="Y164" s="44">
        <v>0.78575231481481478</v>
      </c>
      <c r="Z164" s="44">
        <f t="shared" si="110"/>
        <v>4.5138888888884843E-4</v>
      </c>
      <c r="AA164" s="215" t="s">
        <v>734</v>
      </c>
      <c r="AB164" s="44"/>
      <c r="AC164" s="44">
        <v>0.7892824074074074</v>
      </c>
      <c r="AD164" s="44">
        <v>0.78973379629629636</v>
      </c>
      <c r="AE164" s="44">
        <f t="shared" si="104"/>
        <v>4.5138888888895945E-4</v>
      </c>
      <c r="AF164" s="217" t="s">
        <v>793</v>
      </c>
      <c r="AO164"/>
    </row>
    <row r="165" spans="2:41">
      <c r="B165" s="2"/>
      <c r="C165" s="2">
        <v>0.20858796296296298</v>
      </c>
      <c r="D165" s="2">
        <v>0.20905092592592592</v>
      </c>
      <c r="E165" s="44">
        <f t="shared" si="111"/>
        <v>4.6296296296294281E-4</v>
      </c>
      <c r="F165" s="215" t="s">
        <v>345</v>
      </c>
      <c r="G165" s="44"/>
      <c r="H165" s="44">
        <v>0.39254629629629628</v>
      </c>
      <c r="I165" s="44">
        <v>0.40228009259259262</v>
      </c>
      <c r="J165" s="44">
        <f t="shared" si="106"/>
        <v>9.7337962962963376E-3</v>
      </c>
      <c r="K165" s="217" t="s">
        <v>466</v>
      </c>
      <c r="M165" s="44"/>
      <c r="N165" s="44">
        <v>0.52252314814814815</v>
      </c>
      <c r="O165" s="44">
        <v>0.52369212962962963</v>
      </c>
      <c r="P165" s="44">
        <f t="shared" si="108"/>
        <v>1.1689814814814792E-3</v>
      </c>
      <c r="Q165" s="217" t="s">
        <v>547</v>
      </c>
      <c r="R165" s="44"/>
      <c r="S165" s="44">
        <v>0.43747685185185187</v>
      </c>
      <c r="T165" s="44">
        <v>0.43783564814814818</v>
      </c>
      <c r="U165" s="44">
        <f t="shared" si="107"/>
        <v>3.5879629629631538E-4</v>
      </c>
      <c r="V165" s="217" t="s">
        <v>638</v>
      </c>
      <c r="W165" s="44"/>
      <c r="X165" s="127">
        <v>0.79254629629629625</v>
      </c>
      <c r="Y165" s="44">
        <v>0.79289351851851853</v>
      </c>
      <c r="Z165" s="44">
        <f t="shared" si="110"/>
        <v>3.472222222222765E-4</v>
      </c>
      <c r="AA165" s="215" t="s">
        <v>735</v>
      </c>
      <c r="AB165" s="44"/>
      <c r="AC165" s="44">
        <v>0.80351851851851841</v>
      </c>
      <c r="AD165" s="44">
        <v>0.80387731481481473</v>
      </c>
      <c r="AE165" s="44">
        <f t="shared" si="104"/>
        <v>3.5879629629631538E-4</v>
      </c>
      <c r="AF165" s="217" t="s">
        <v>793</v>
      </c>
      <c r="AO165"/>
    </row>
    <row r="166" spans="2:41">
      <c r="B166" s="2"/>
      <c r="C166" s="2">
        <v>0.26210648148148147</v>
      </c>
      <c r="D166" s="2">
        <v>0.28622685185185187</v>
      </c>
      <c r="E166" s="44">
        <f t="shared" si="111"/>
        <v>2.4120370370370403E-2</v>
      </c>
      <c r="F166" s="215" t="s">
        <v>346</v>
      </c>
      <c r="G166" s="44"/>
      <c r="H166" s="44">
        <v>0.42218749999999999</v>
      </c>
      <c r="I166" s="44">
        <v>0.42246527777777776</v>
      </c>
      <c r="J166" s="44">
        <f t="shared" si="106"/>
        <v>2.7777777777776569E-4</v>
      </c>
      <c r="K166" s="217" t="s">
        <v>466</v>
      </c>
      <c r="M166" s="44"/>
      <c r="N166" s="44">
        <v>0.60819444444444437</v>
      </c>
      <c r="O166" s="44">
        <v>0.60854166666666665</v>
      </c>
      <c r="P166" s="44">
        <f t="shared" si="108"/>
        <v>3.472222222222765E-4</v>
      </c>
      <c r="Q166" s="217" t="s">
        <v>548</v>
      </c>
      <c r="R166" s="44"/>
      <c r="S166" s="44">
        <v>0.45399305555555558</v>
      </c>
      <c r="T166" s="44">
        <v>0.45436342592592593</v>
      </c>
      <c r="U166" s="44">
        <f t="shared" si="107"/>
        <v>3.7037037037035425E-4</v>
      </c>
      <c r="V166" s="217" t="s">
        <v>638</v>
      </c>
      <c r="W166" s="44"/>
      <c r="X166" s="127">
        <v>0.79796296296296287</v>
      </c>
      <c r="Y166" s="127">
        <v>0.79842592592592598</v>
      </c>
      <c r="Z166" s="44">
        <f t="shared" si="110"/>
        <v>4.6296296296310935E-4</v>
      </c>
      <c r="AA166" s="215" t="s">
        <v>735</v>
      </c>
      <c r="AB166" s="44"/>
      <c r="AC166" s="44">
        <v>0.89777777777777779</v>
      </c>
      <c r="AD166" s="44">
        <v>0.89829861111111109</v>
      </c>
      <c r="AE166" s="44">
        <f t="shared" si="104"/>
        <v>5.2083333333330373E-4</v>
      </c>
      <c r="AF166" s="217" t="s">
        <v>794</v>
      </c>
      <c r="AO166"/>
    </row>
    <row r="167" spans="2:41">
      <c r="B167" s="2"/>
      <c r="C167" s="2">
        <v>0.34899305555555554</v>
      </c>
      <c r="D167" s="2">
        <v>0.36210648148148145</v>
      </c>
      <c r="E167" s="2">
        <f t="shared" si="111"/>
        <v>1.3113425925925903E-2</v>
      </c>
      <c r="F167" s="215" t="s">
        <v>347</v>
      </c>
      <c r="G167" s="44"/>
      <c r="H167" s="44">
        <v>0.44994212962962959</v>
      </c>
      <c r="I167" s="44">
        <v>0.45025462962962964</v>
      </c>
      <c r="J167" s="44">
        <f t="shared" si="106"/>
        <v>3.1250000000004885E-4</v>
      </c>
      <c r="K167" s="217" t="s">
        <v>467</v>
      </c>
      <c r="M167" s="58"/>
      <c r="N167" s="44">
        <v>0.61841435185185178</v>
      </c>
      <c r="O167" s="44">
        <v>0.63665509259259256</v>
      </c>
      <c r="P167" s="44">
        <f t="shared" si="108"/>
        <v>1.824074074074078E-2</v>
      </c>
      <c r="Q167" s="217" t="s">
        <v>550</v>
      </c>
      <c r="R167" s="44"/>
      <c r="S167" s="44">
        <v>0.47935185185185186</v>
      </c>
      <c r="T167" s="44">
        <v>0.47972222222222222</v>
      </c>
      <c r="U167" s="44">
        <f t="shared" si="107"/>
        <v>3.7037037037035425E-4</v>
      </c>
      <c r="V167" s="217" t="s">
        <v>639</v>
      </c>
      <c r="W167" s="44"/>
      <c r="X167" s="44">
        <v>0.79907407407407405</v>
      </c>
      <c r="Y167" s="44">
        <v>0.79947916666666663</v>
      </c>
      <c r="Z167" s="44">
        <f t="shared" si="110"/>
        <v>4.050925925925819E-4</v>
      </c>
      <c r="AA167" s="215" t="s">
        <v>735</v>
      </c>
      <c r="AB167" s="44"/>
      <c r="AC167" s="44">
        <v>0.89998842592592598</v>
      </c>
      <c r="AD167" s="44">
        <v>0.90081018518518519</v>
      </c>
      <c r="AE167" s="44">
        <f t="shared" si="104"/>
        <v>8.2175925925920268E-4</v>
      </c>
      <c r="AF167" s="217" t="s">
        <v>794</v>
      </c>
      <c r="AO167"/>
    </row>
    <row r="168" spans="2:41">
      <c r="B168" s="2"/>
      <c r="C168" s="2">
        <v>0.38026620370370368</v>
      </c>
      <c r="D168" s="2">
        <v>0.38065972222222227</v>
      </c>
      <c r="E168" s="2">
        <f t="shared" si="111"/>
        <v>3.9351851851859854E-4</v>
      </c>
      <c r="F168" s="215" t="s">
        <v>352</v>
      </c>
      <c r="G168" s="65"/>
      <c r="H168" s="52">
        <v>0.4695833333333333</v>
      </c>
      <c r="I168" s="52">
        <v>0.48289351851851853</v>
      </c>
      <c r="J168" s="44">
        <f t="shared" si="106"/>
        <v>1.331018518518523E-2</v>
      </c>
      <c r="K168" s="217" t="s">
        <v>469</v>
      </c>
      <c r="M168" s="44"/>
      <c r="N168" s="44">
        <v>0.64846064814814819</v>
      </c>
      <c r="O168" s="44">
        <v>0.65184027777777775</v>
      </c>
      <c r="P168" s="44">
        <f t="shared" si="108"/>
        <v>3.3796296296295658E-3</v>
      </c>
      <c r="Q168" s="217" t="s">
        <v>551</v>
      </c>
      <c r="R168" s="44"/>
      <c r="S168" s="44">
        <v>0.48969907407407409</v>
      </c>
      <c r="T168" s="44">
        <v>0.49012731481481481</v>
      </c>
      <c r="U168" s="44">
        <f t="shared" si="107"/>
        <v>4.2824074074071516E-4</v>
      </c>
      <c r="V168" s="217" t="s">
        <v>639</v>
      </c>
      <c r="W168" s="44"/>
      <c r="X168" s="44">
        <v>0.80429398148148146</v>
      </c>
      <c r="Y168" s="44">
        <v>0.80466435185185192</v>
      </c>
      <c r="Z168" s="44">
        <f t="shared" si="110"/>
        <v>3.7037037037046527E-4</v>
      </c>
      <c r="AA168" s="215" t="s">
        <v>735</v>
      </c>
      <c r="AB168" s="44"/>
      <c r="AC168" s="44">
        <v>0.98267361111111118</v>
      </c>
      <c r="AD168" s="44">
        <v>0.98293981481481474</v>
      </c>
      <c r="AE168" s="44">
        <f t="shared" si="104"/>
        <v>2.6620370370356028E-4</v>
      </c>
      <c r="AF168" s="217" t="s">
        <v>795</v>
      </c>
      <c r="AO168"/>
    </row>
    <row r="169" spans="2:41">
      <c r="B169" s="2"/>
      <c r="C169" s="2">
        <v>0.38747685185185188</v>
      </c>
      <c r="D169" s="2">
        <v>0.38799768518518518</v>
      </c>
      <c r="E169" s="2">
        <f t="shared" si="111"/>
        <v>5.2083333333330373E-4</v>
      </c>
      <c r="F169" s="215" t="s">
        <v>352</v>
      </c>
      <c r="G169" s="58"/>
      <c r="H169" s="44">
        <v>0.51495370370370364</v>
      </c>
      <c r="I169" s="127">
        <v>0.5153240740740741</v>
      </c>
      <c r="J169" s="44">
        <f t="shared" si="106"/>
        <v>3.7037037037046527E-4</v>
      </c>
      <c r="K169" s="217" t="s">
        <v>470</v>
      </c>
      <c r="M169" s="44"/>
      <c r="N169" s="44">
        <v>0.65452546296296299</v>
      </c>
      <c r="O169" s="44">
        <v>0.65503472222222225</v>
      </c>
      <c r="P169" s="44">
        <f t="shared" si="108"/>
        <v>5.0925925925926485E-4</v>
      </c>
      <c r="Q169" s="217" t="s">
        <v>551</v>
      </c>
      <c r="S169" s="44">
        <v>0.50082175925925931</v>
      </c>
      <c r="T169" s="44">
        <v>0.50114583333333329</v>
      </c>
      <c r="U169" s="44">
        <f t="shared" si="107"/>
        <v>3.240740740739767E-4</v>
      </c>
      <c r="V169" s="217" t="s">
        <v>640</v>
      </c>
      <c r="W169" s="44"/>
      <c r="X169" s="44">
        <v>0.80592592592592593</v>
      </c>
      <c r="Y169" s="44">
        <v>0.80631944444444448</v>
      </c>
      <c r="Z169" s="44">
        <f t="shared" si="110"/>
        <v>3.9351851851854303E-4</v>
      </c>
      <c r="AA169" s="215" t="s">
        <v>735</v>
      </c>
      <c r="AC169" s="44">
        <v>0.98511574074074071</v>
      </c>
      <c r="AD169" s="44">
        <v>0.98550925925925925</v>
      </c>
      <c r="AE169" s="44">
        <f t="shared" si="104"/>
        <v>3.9351851851854303E-4</v>
      </c>
      <c r="AF169" s="217" t="s">
        <v>795</v>
      </c>
      <c r="AO169"/>
    </row>
    <row r="170" spans="2:41">
      <c r="B170" s="2"/>
      <c r="C170" s="2">
        <v>0.39730324074074069</v>
      </c>
      <c r="D170" s="2">
        <v>0.3976041666666667</v>
      </c>
      <c r="E170" s="2">
        <f t="shared" si="111"/>
        <v>3.0092592592600997E-4</v>
      </c>
      <c r="F170" s="215" t="s">
        <v>352</v>
      </c>
      <c r="G170" s="65"/>
      <c r="H170" s="52">
        <v>0.54571759259259256</v>
      </c>
      <c r="I170" s="52">
        <v>0.54623842592592597</v>
      </c>
      <c r="J170" s="44">
        <f t="shared" si="106"/>
        <v>5.2083333333341475E-4</v>
      </c>
      <c r="K170" s="217" t="s">
        <v>471</v>
      </c>
      <c r="M170" s="44"/>
      <c r="N170" s="44">
        <v>0.65825231481481483</v>
      </c>
      <c r="O170" s="44">
        <v>0.6586805555555556</v>
      </c>
      <c r="P170" s="44">
        <f t="shared" si="108"/>
        <v>4.2824074074077068E-4</v>
      </c>
      <c r="Q170" s="217" t="s">
        <v>551</v>
      </c>
      <c r="S170" s="44">
        <v>0.56797453703703704</v>
      </c>
      <c r="T170" s="44">
        <v>0.57065972222222217</v>
      </c>
      <c r="U170" s="44">
        <f t="shared" si="107"/>
        <v>2.6851851851851238E-3</v>
      </c>
      <c r="V170" s="217" t="s">
        <v>641</v>
      </c>
      <c r="W170" s="58"/>
      <c r="X170" s="44">
        <v>0.81554398148148144</v>
      </c>
      <c r="Y170" s="44">
        <v>0.81945601851851846</v>
      </c>
      <c r="Z170" s="44">
        <f t="shared" si="110"/>
        <v>3.9120370370370194E-3</v>
      </c>
      <c r="AA170" s="215" t="s">
        <v>735</v>
      </c>
      <c r="AC170" s="44"/>
      <c r="AD170" s="222" t="s">
        <v>70</v>
      </c>
      <c r="AE170" s="223">
        <f>SUM(AE134:AE169)</f>
        <v>2.9861111111111109E-2</v>
      </c>
      <c r="AF170" s="215"/>
      <c r="AO170"/>
    </row>
    <row r="171" spans="2:41">
      <c r="B171" s="2"/>
      <c r="C171" s="2">
        <v>0.40956018518518517</v>
      </c>
      <c r="D171" s="2">
        <v>0.41849537037037038</v>
      </c>
      <c r="E171" s="2">
        <f t="shared" si="111"/>
        <v>8.9351851851852127E-3</v>
      </c>
      <c r="F171" s="215" t="s">
        <v>353</v>
      </c>
      <c r="G171" s="65"/>
      <c r="H171" s="52">
        <v>0.58638888888888896</v>
      </c>
      <c r="I171" s="52">
        <v>0.59545138888888893</v>
      </c>
      <c r="J171" s="44">
        <f t="shared" si="106"/>
        <v>9.0624999999999734E-3</v>
      </c>
      <c r="K171" s="217" t="s">
        <v>472</v>
      </c>
      <c r="M171" s="44"/>
      <c r="N171" s="44">
        <v>0.65878472222222217</v>
      </c>
      <c r="O171" s="44">
        <v>0.65923611111111113</v>
      </c>
      <c r="P171" s="44">
        <f t="shared" si="108"/>
        <v>4.5138888888895945E-4</v>
      </c>
      <c r="Q171" s="217" t="s">
        <v>551</v>
      </c>
      <c r="S171" s="44">
        <v>0.5777430555555555</v>
      </c>
      <c r="T171" s="44">
        <v>0.57819444444444446</v>
      </c>
      <c r="U171" s="44">
        <f t="shared" si="107"/>
        <v>4.5138888888895945E-4</v>
      </c>
      <c r="V171" s="217" t="s">
        <v>641</v>
      </c>
      <c r="W171" s="44"/>
      <c r="X171" s="44">
        <v>0.82449074074074069</v>
      </c>
      <c r="Y171" s="44">
        <v>0.82490740740740742</v>
      </c>
      <c r="Z171" s="44">
        <f t="shared" si="110"/>
        <v>4.166666666667318E-4</v>
      </c>
      <c r="AA171" s="215" t="s">
        <v>735</v>
      </c>
      <c r="AE171"/>
      <c r="AO171"/>
    </row>
    <row r="172" spans="2:41">
      <c r="B172" s="2"/>
      <c r="C172" s="2">
        <v>0.43709490740740736</v>
      </c>
      <c r="D172" s="2">
        <v>0.45248842592592592</v>
      </c>
      <c r="E172" s="2">
        <f t="shared" si="111"/>
        <v>1.5393518518518556E-2</v>
      </c>
      <c r="F172" s="215" t="s">
        <v>355</v>
      </c>
      <c r="G172" s="65"/>
      <c r="H172" s="52">
        <v>0.61559027777777775</v>
      </c>
      <c r="I172" s="52">
        <v>0.61603009259259256</v>
      </c>
      <c r="J172" s="44">
        <f t="shared" si="106"/>
        <v>4.3981481481480955E-4</v>
      </c>
      <c r="K172" s="217" t="s">
        <v>472</v>
      </c>
      <c r="M172" s="44"/>
      <c r="N172" s="44">
        <v>0.65930555555555559</v>
      </c>
      <c r="O172" s="44">
        <v>0.6595833333333333</v>
      </c>
      <c r="P172" s="44">
        <f t="shared" si="108"/>
        <v>2.7777777777771018E-4</v>
      </c>
      <c r="Q172" s="217" t="s">
        <v>551</v>
      </c>
      <c r="S172" s="44">
        <v>0.58482638888888883</v>
      </c>
      <c r="T172" s="44">
        <v>0.58510416666666665</v>
      </c>
      <c r="U172" s="44">
        <f t="shared" si="107"/>
        <v>2.777777777778212E-4</v>
      </c>
      <c r="V172" s="217" t="s">
        <v>642</v>
      </c>
      <c r="W172" s="44"/>
      <c r="X172" s="44">
        <v>0.8356365740740741</v>
      </c>
      <c r="Y172" s="44">
        <v>0.83876157407407403</v>
      </c>
      <c r="Z172" s="44">
        <f t="shared" si="110"/>
        <v>3.1249999999999334E-3</v>
      </c>
      <c r="AA172" s="215" t="s">
        <v>737</v>
      </c>
      <c r="AO172"/>
    </row>
    <row r="173" spans="2:41">
      <c r="B173" s="2"/>
      <c r="C173" s="2">
        <v>0.46180555555555558</v>
      </c>
      <c r="D173" s="2">
        <v>0.46252314814814816</v>
      </c>
      <c r="E173" s="2">
        <f t="shared" si="111"/>
        <v>7.1759259259257524E-4</v>
      </c>
      <c r="F173" s="215" t="s">
        <v>356</v>
      </c>
      <c r="G173" s="44"/>
      <c r="H173" s="52">
        <v>0.66788194444444438</v>
      </c>
      <c r="I173" s="52">
        <v>0.67704861111111114</v>
      </c>
      <c r="J173" s="44">
        <f t="shared" si="106"/>
        <v>9.1666666666667673E-3</v>
      </c>
      <c r="K173" s="217" t="s">
        <v>475</v>
      </c>
      <c r="M173" s="44"/>
      <c r="N173" s="44">
        <v>0.66008101851851853</v>
      </c>
      <c r="O173" s="44">
        <v>0.66067129629629628</v>
      </c>
      <c r="P173" s="44">
        <f t="shared" si="108"/>
        <v>5.9027777777775903E-4</v>
      </c>
      <c r="Q173" s="217" t="s">
        <v>551</v>
      </c>
      <c r="S173" s="44">
        <v>0.61197916666666663</v>
      </c>
      <c r="T173" s="44">
        <v>0.61237268518518517</v>
      </c>
      <c r="U173" s="44">
        <f t="shared" si="107"/>
        <v>3.9351851851854303E-4</v>
      </c>
      <c r="V173" s="217" t="s">
        <v>642</v>
      </c>
      <c r="W173" s="44"/>
      <c r="X173" s="44">
        <v>0.84490740740740744</v>
      </c>
      <c r="Y173" s="44">
        <v>0.84761574074074064</v>
      </c>
      <c r="Z173" s="44">
        <f t="shared" si="110"/>
        <v>2.7083333333332016E-3</v>
      </c>
      <c r="AA173" s="217" t="s">
        <v>739</v>
      </c>
      <c r="AO173"/>
    </row>
    <row r="174" spans="2:41">
      <c r="B174" s="2"/>
      <c r="C174" s="2">
        <v>0.46284722222222219</v>
      </c>
      <c r="D174" s="2">
        <v>0.46299768518518519</v>
      </c>
      <c r="E174" s="2">
        <f t="shared" si="111"/>
        <v>1.5046296296300499E-4</v>
      </c>
      <c r="F174" s="215" t="s">
        <v>356</v>
      </c>
      <c r="G174" s="44"/>
      <c r="H174" s="52">
        <v>0.70297453703703694</v>
      </c>
      <c r="I174" s="52">
        <v>0.703587962962963</v>
      </c>
      <c r="J174" s="44">
        <f t="shared" si="106"/>
        <v>6.1342592592605882E-4</v>
      </c>
      <c r="K174" s="217" t="s">
        <v>474</v>
      </c>
      <c r="M174" s="44"/>
      <c r="N174" s="44">
        <v>0.69980324074074074</v>
      </c>
      <c r="O174" s="44">
        <v>0.70011574074074068</v>
      </c>
      <c r="P174" s="44">
        <f t="shared" si="108"/>
        <v>3.1249999999993783E-4</v>
      </c>
      <c r="Q174" s="217" t="s">
        <v>552</v>
      </c>
      <c r="S174" s="44">
        <v>0.6129282407407407</v>
      </c>
      <c r="T174" s="44">
        <v>0.61351851851851846</v>
      </c>
      <c r="U174" s="44">
        <f t="shared" si="107"/>
        <v>5.9027777777775903E-4</v>
      </c>
      <c r="V174" s="217" t="s">
        <v>642</v>
      </c>
      <c r="W174" s="44"/>
      <c r="X174" s="44">
        <v>0.8577893518518519</v>
      </c>
      <c r="Y174" s="44">
        <v>0.85826388888888883</v>
      </c>
      <c r="Z174" s="44">
        <f t="shared" si="110"/>
        <v>4.7453703703692618E-4</v>
      </c>
      <c r="AA174" s="217" t="s">
        <v>739</v>
      </c>
      <c r="AO174"/>
    </row>
    <row r="175" spans="2:41">
      <c r="B175" s="2"/>
      <c r="C175" s="2">
        <v>0.47010416666666671</v>
      </c>
      <c r="D175" s="2">
        <v>0.47650462962962964</v>
      </c>
      <c r="E175" s="2">
        <f t="shared" si="111"/>
        <v>6.4004629629629273E-3</v>
      </c>
      <c r="F175" s="215" t="s">
        <v>356</v>
      </c>
      <c r="G175" s="44"/>
      <c r="H175" s="52">
        <v>0.7205555555555555</v>
      </c>
      <c r="I175" s="52">
        <v>0.7289930555555556</v>
      </c>
      <c r="J175" s="44">
        <f t="shared" si="106"/>
        <v>8.4375000000000977E-3</v>
      </c>
      <c r="K175" s="217" t="s">
        <v>476</v>
      </c>
      <c r="M175" s="44"/>
      <c r="N175" s="44">
        <v>0.70188657407407407</v>
      </c>
      <c r="O175" s="44">
        <v>0.70211805555555562</v>
      </c>
      <c r="P175" s="44">
        <f t="shared" si="108"/>
        <v>2.3148148148155467E-4</v>
      </c>
      <c r="Q175" s="217" t="s">
        <v>552</v>
      </c>
      <c r="S175" s="44">
        <v>0.61370370370370375</v>
      </c>
      <c r="T175" s="44">
        <v>0.61430555555555555</v>
      </c>
      <c r="U175" s="44">
        <f t="shared" si="107"/>
        <v>6.018518518517979E-4</v>
      </c>
      <c r="V175" s="217" t="s">
        <v>642</v>
      </c>
      <c r="W175" s="44"/>
      <c r="X175" s="44">
        <v>0.85935185185185192</v>
      </c>
      <c r="Y175" s="44">
        <v>0.86390046296296286</v>
      </c>
      <c r="Z175" s="44">
        <f t="shared" si="110"/>
        <v>4.548611111110934E-3</v>
      </c>
      <c r="AA175" s="217" t="s">
        <v>739</v>
      </c>
      <c r="AO175"/>
    </row>
    <row r="176" spans="2:41">
      <c r="B176" s="2"/>
      <c r="C176" s="2">
        <v>0.4894444444444444</v>
      </c>
      <c r="D176" s="2">
        <v>0.48979166666666668</v>
      </c>
      <c r="E176" s="2">
        <f t="shared" si="111"/>
        <v>3.472222222222765E-4</v>
      </c>
      <c r="F176" s="215" t="s">
        <v>356</v>
      </c>
      <c r="G176" s="44"/>
      <c r="H176" s="52">
        <v>0.73086805555555545</v>
      </c>
      <c r="I176" s="52">
        <v>0.73135416666666664</v>
      </c>
      <c r="J176" s="44">
        <f t="shared" si="106"/>
        <v>4.861111111111871E-4</v>
      </c>
      <c r="K176" s="217" t="s">
        <v>477</v>
      </c>
      <c r="M176" s="44"/>
      <c r="N176" s="44">
        <v>0.70703703703703702</v>
      </c>
      <c r="O176" s="44">
        <v>0.70747685185185183</v>
      </c>
      <c r="P176" s="44">
        <f t="shared" si="108"/>
        <v>4.3981481481480955E-4</v>
      </c>
      <c r="Q176" s="217" t="s">
        <v>552</v>
      </c>
      <c r="S176" s="44">
        <v>0.62010416666666668</v>
      </c>
      <c r="T176" s="44">
        <v>0.62067129629629625</v>
      </c>
      <c r="U176" s="44">
        <f t="shared" si="107"/>
        <v>5.6712962962957025E-4</v>
      </c>
      <c r="V176" s="217" t="s">
        <v>642</v>
      </c>
      <c r="X176" s="44">
        <v>0.86541666666666661</v>
      </c>
      <c r="Y176" s="44">
        <v>0.8658217592592593</v>
      </c>
      <c r="Z176" s="44">
        <f t="shared" si="110"/>
        <v>4.0509259259269292E-4</v>
      </c>
      <c r="AA176" s="217" t="s">
        <v>739</v>
      </c>
      <c r="AO176"/>
    </row>
    <row r="177" spans="2:41">
      <c r="B177" s="2"/>
      <c r="C177" s="2">
        <v>0.54361111111111116</v>
      </c>
      <c r="D177" s="2">
        <v>0.54396990740740747</v>
      </c>
      <c r="E177" s="2">
        <f t="shared" si="111"/>
        <v>3.5879629629631538E-4</v>
      </c>
      <c r="F177" s="215" t="s">
        <v>357</v>
      </c>
      <c r="G177" s="44"/>
      <c r="H177" s="52">
        <v>0.74086805555555557</v>
      </c>
      <c r="I177" s="52">
        <v>0.74134259259259261</v>
      </c>
      <c r="J177" s="44">
        <f t="shared" si="106"/>
        <v>4.745370370370372E-4</v>
      </c>
      <c r="K177" s="217" t="s">
        <v>477</v>
      </c>
      <c r="M177" s="44"/>
      <c r="N177" s="44">
        <v>0.76333333333333331</v>
      </c>
      <c r="O177" s="44">
        <v>0.76355324074074071</v>
      </c>
      <c r="P177" s="44">
        <f t="shared" si="108"/>
        <v>2.1990740740740478E-4</v>
      </c>
      <c r="Q177" s="217" t="s">
        <v>554</v>
      </c>
      <c r="S177" s="44">
        <v>0.62172453703703701</v>
      </c>
      <c r="T177" s="44">
        <v>0.62452546296296296</v>
      </c>
      <c r="U177" s="44">
        <f t="shared" si="107"/>
        <v>2.8009259259259567E-3</v>
      </c>
      <c r="V177" s="217" t="s">
        <v>643</v>
      </c>
      <c r="X177" s="44">
        <v>0.87383101851851863</v>
      </c>
      <c r="Y177" s="44">
        <v>0.87420138888888888</v>
      </c>
      <c r="Z177" s="44">
        <f t="shared" si="110"/>
        <v>3.7037037037024323E-4</v>
      </c>
      <c r="AA177" s="217" t="s">
        <v>739</v>
      </c>
      <c r="AO177"/>
    </row>
    <row r="178" spans="2:41">
      <c r="B178" s="2"/>
      <c r="C178" s="2">
        <v>0.54781250000000004</v>
      </c>
      <c r="D178" s="2">
        <v>0.56517361111111108</v>
      </c>
      <c r="E178" s="2">
        <f t="shared" si="111"/>
        <v>1.7361111111111049E-2</v>
      </c>
      <c r="F178" s="215" t="s">
        <v>357</v>
      </c>
      <c r="G178" s="44"/>
      <c r="H178" s="52">
        <v>0.74465277777777772</v>
      </c>
      <c r="I178" s="52">
        <v>0.74495370370370362</v>
      </c>
      <c r="J178" s="44">
        <f t="shared" si="106"/>
        <v>3.0092592592589895E-4</v>
      </c>
      <c r="K178" s="217" t="s">
        <v>477</v>
      </c>
      <c r="M178" s="44"/>
      <c r="N178" s="44">
        <v>0.76424768518518515</v>
      </c>
      <c r="O178" s="44">
        <v>0.76469907407407411</v>
      </c>
      <c r="P178" s="44">
        <f t="shared" si="108"/>
        <v>4.5138888888895945E-4</v>
      </c>
      <c r="Q178" s="217" t="s">
        <v>554</v>
      </c>
      <c r="S178" s="44">
        <v>0.63219907407407405</v>
      </c>
      <c r="T178" s="44">
        <v>0.63254629629629633</v>
      </c>
      <c r="U178" s="44">
        <f t="shared" si="107"/>
        <v>3.472222222222765E-4</v>
      </c>
      <c r="V178" s="217" t="s">
        <v>644</v>
      </c>
      <c r="X178" s="44">
        <v>0.87725694444444446</v>
      </c>
      <c r="Y178" s="127">
        <v>0.87763888888888886</v>
      </c>
      <c r="Z178" s="44">
        <f t="shared" si="110"/>
        <v>3.8194444444439313E-4</v>
      </c>
      <c r="AA178" s="217" t="s">
        <v>739</v>
      </c>
      <c r="AO178"/>
    </row>
    <row r="179" spans="2:41">
      <c r="B179" s="2"/>
      <c r="C179" s="2">
        <v>0.60123842592592591</v>
      </c>
      <c r="D179" s="2">
        <v>0.60145833333333332</v>
      </c>
      <c r="E179" s="2">
        <f t="shared" si="111"/>
        <v>2.1990740740740478E-4</v>
      </c>
      <c r="F179" s="215" t="s">
        <v>358</v>
      </c>
      <c r="G179" s="60"/>
      <c r="H179" s="52">
        <v>0.76126157407407413</v>
      </c>
      <c r="I179" s="52">
        <v>0.76149305555555558</v>
      </c>
      <c r="J179" s="44">
        <f t="shared" si="106"/>
        <v>2.3148148148144365E-4</v>
      </c>
      <c r="K179" s="217" t="s">
        <v>477</v>
      </c>
      <c r="M179" s="44"/>
      <c r="N179" s="44">
        <v>0.77473379629629635</v>
      </c>
      <c r="O179" s="44">
        <v>0.77494212962962961</v>
      </c>
      <c r="P179" s="44">
        <f t="shared" si="108"/>
        <v>2.0833333333325488E-4</v>
      </c>
      <c r="Q179" s="217" t="s">
        <v>554</v>
      </c>
      <c r="R179" s="44"/>
      <c r="S179" s="44">
        <v>0.64460648148148147</v>
      </c>
      <c r="T179" s="44">
        <v>0.64504629629629628</v>
      </c>
      <c r="U179" s="44">
        <f t="shared" si="107"/>
        <v>4.3981481481480955E-4</v>
      </c>
      <c r="V179" s="217" t="s">
        <v>645</v>
      </c>
      <c r="X179" s="44">
        <v>0.87861111111111112</v>
      </c>
      <c r="Y179" s="44">
        <v>0.88914351851851858</v>
      </c>
      <c r="Z179" s="44">
        <f t="shared" si="110"/>
        <v>1.0532407407407463E-2</v>
      </c>
      <c r="AA179" s="217" t="s">
        <v>739</v>
      </c>
      <c r="AO179"/>
    </row>
    <row r="180" spans="2:41">
      <c r="B180" s="2"/>
      <c r="C180" s="2">
        <v>0.60590277777777779</v>
      </c>
      <c r="D180" s="2">
        <v>0.60614583333333327</v>
      </c>
      <c r="E180" s="2">
        <f t="shared" si="111"/>
        <v>2.4305555555548253E-4</v>
      </c>
      <c r="F180" s="215" t="s">
        <v>358</v>
      </c>
      <c r="G180" s="60"/>
      <c r="H180" s="52">
        <v>0.77344907407407415</v>
      </c>
      <c r="I180" s="52">
        <v>0.78067129629629628</v>
      </c>
      <c r="J180" s="44">
        <f t="shared" si="106"/>
        <v>7.22222222222213E-3</v>
      </c>
      <c r="K180" s="217" t="s">
        <v>478</v>
      </c>
      <c r="M180" s="44"/>
      <c r="N180" s="44">
        <v>0.80086805555555562</v>
      </c>
      <c r="O180" s="44">
        <v>0.80109953703703696</v>
      </c>
      <c r="P180" s="44">
        <f t="shared" si="108"/>
        <v>2.3148148148133263E-4</v>
      </c>
      <c r="Q180" s="217" t="s">
        <v>554</v>
      </c>
      <c r="R180" s="44"/>
      <c r="S180" s="44">
        <v>0.65042824074074079</v>
      </c>
      <c r="T180" s="44">
        <v>0.65076388888888892</v>
      </c>
      <c r="U180" s="44">
        <f t="shared" si="107"/>
        <v>3.356481481481266E-4</v>
      </c>
      <c r="V180" s="217" t="s">
        <v>645</v>
      </c>
      <c r="X180" s="44">
        <v>0.89658564814814812</v>
      </c>
      <c r="Y180" s="127">
        <v>0.89697916666666666</v>
      </c>
      <c r="Z180" s="44">
        <f t="shared" si="110"/>
        <v>3.9351851851854303E-4</v>
      </c>
      <c r="AA180" s="217" t="s">
        <v>739</v>
      </c>
      <c r="AO180"/>
    </row>
    <row r="181" spans="2:41">
      <c r="B181" s="2"/>
      <c r="C181" s="2">
        <v>0.70277777777777783</v>
      </c>
      <c r="D181" s="2">
        <v>0.70307870370370373</v>
      </c>
      <c r="E181" s="2">
        <f t="shared" si="111"/>
        <v>3.0092592592589895E-4</v>
      </c>
      <c r="F181" s="215" t="s">
        <v>359</v>
      </c>
      <c r="G181" s="70"/>
      <c r="H181" s="52">
        <v>0.78359953703703711</v>
      </c>
      <c r="I181" s="52">
        <v>0.78386574074074078</v>
      </c>
      <c r="J181" s="44">
        <f t="shared" si="106"/>
        <v>2.662037037036713E-4</v>
      </c>
      <c r="K181" s="217" t="s">
        <v>478</v>
      </c>
      <c r="M181" s="44"/>
      <c r="N181" s="44">
        <v>0.80339120370370365</v>
      </c>
      <c r="O181" s="44">
        <v>0.80377314814814815</v>
      </c>
      <c r="P181" s="44">
        <f t="shared" si="108"/>
        <v>3.8194444444450415E-4</v>
      </c>
      <c r="Q181" s="217" t="s">
        <v>555</v>
      </c>
      <c r="R181" s="44"/>
      <c r="S181" s="44">
        <v>0.66265046296296293</v>
      </c>
      <c r="T181" s="44">
        <v>0.66311342592592593</v>
      </c>
      <c r="U181" s="44">
        <f t="shared" si="107"/>
        <v>4.6296296296299833E-4</v>
      </c>
      <c r="V181" s="217" t="s">
        <v>645</v>
      </c>
      <c r="X181" s="44">
        <v>0.89702546296296293</v>
      </c>
      <c r="Y181" s="44">
        <v>0.89744212962962966</v>
      </c>
      <c r="Z181" s="44">
        <f t="shared" si="110"/>
        <v>4.166666666667318E-4</v>
      </c>
      <c r="AA181" s="217" t="s">
        <v>739</v>
      </c>
      <c r="AO181"/>
    </row>
    <row r="182" spans="2:41">
      <c r="B182" s="65"/>
      <c r="C182" s="44">
        <v>0.74275462962962957</v>
      </c>
      <c r="D182" s="44">
        <v>0.74306712962962962</v>
      </c>
      <c r="E182" s="44">
        <f t="shared" si="111"/>
        <v>3.1250000000004885E-4</v>
      </c>
      <c r="F182" s="217" t="s">
        <v>360</v>
      </c>
      <c r="G182" s="60"/>
      <c r="H182" s="52">
        <v>0.80093749999999997</v>
      </c>
      <c r="I182" s="52">
        <v>0.80842592592592588</v>
      </c>
      <c r="J182" s="44">
        <f t="shared" si="106"/>
        <v>7.4884259259259123E-3</v>
      </c>
      <c r="K182" s="217" t="s">
        <v>478</v>
      </c>
      <c r="M182" s="44"/>
      <c r="N182" s="44">
        <v>0.81357638888888895</v>
      </c>
      <c r="O182" s="44">
        <v>0.81387731481481485</v>
      </c>
      <c r="P182" s="44">
        <f t="shared" si="108"/>
        <v>3.0092592592589895E-4</v>
      </c>
      <c r="Q182" s="217" t="s">
        <v>555</v>
      </c>
      <c r="R182"/>
      <c r="S182" s="44">
        <v>0.69545138888888891</v>
      </c>
      <c r="T182" s="44">
        <v>0.69612268518518527</v>
      </c>
      <c r="U182" s="44">
        <f t="shared" si="107"/>
        <v>6.7129629629636423E-4</v>
      </c>
      <c r="V182" s="215" t="s">
        <v>646</v>
      </c>
      <c r="X182" s="44">
        <v>0.92869212962962966</v>
      </c>
      <c r="Y182" s="44">
        <v>0.92903935185185194</v>
      </c>
      <c r="Z182" s="44">
        <f t="shared" si="110"/>
        <v>3.472222222222765E-4</v>
      </c>
      <c r="AA182" s="217" t="s">
        <v>740</v>
      </c>
      <c r="AO182"/>
    </row>
    <row r="183" spans="2:41">
      <c r="B183" s="65"/>
      <c r="C183" s="44">
        <v>0.74467592592592602</v>
      </c>
      <c r="D183" s="44">
        <v>0.74501157407407403</v>
      </c>
      <c r="E183" s="44">
        <f t="shared" si="111"/>
        <v>3.3564814814801558E-4</v>
      </c>
      <c r="F183" s="217" t="s">
        <v>361</v>
      </c>
      <c r="G183" s="71"/>
      <c r="H183" s="52">
        <v>0.84873842592592597</v>
      </c>
      <c r="I183" s="52">
        <v>0.8490509259259259</v>
      </c>
      <c r="J183" s="44">
        <f t="shared" si="106"/>
        <v>3.1249999999993783E-4</v>
      </c>
      <c r="K183" s="217" t="s">
        <v>480</v>
      </c>
      <c r="M183" s="44"/>
      <c r="N183" s="44">
        <v>0.81456018518518514</v>
      </c>
      <c r="O183" s="44">
        <v>0.81498842592592602</v>
      </c>
      <c r="P183" s="44">
        <f t="shared" si="108"/>
        <v>4.282407407408817E-4</v>
      </c>
      <c r="Q183" s="217" t="s">
        <v>555</v>
      </c>
      <c r="R183"/>
      <c r="S183" s="44">
        <v>0.73142361111111109</v>
      </c>
      <c r="T183" s="250">
        <v>0.75063657407407414</v>
      </c>
      <c r="U183" s="44">
        <f t="shared" si="107"/>
        <v>1.9212962962963043E-2</v>
      </c>
      <c r="V183" s="215" t="s">
        <v>647</v>
      </c>
      <c r="X183" s="44">
        <v>0.96827546296296296</v>
      </c>
      <c r="Y183" s="44">
        <v>0.96864583333333332</v>
      </c>
      <c r="Z183" s="44">
        <f t="shared" si="110"/>
        <v>3.7037037037035425E-4</v>
      </c>
      <c r="AA183" s="217" t="s">
        <v>741</v>
      </c>
      <c r="AO183"/>
    </row>
    <row r="184" spans="2:41">
      <c r="B184" s="65"/>
      <c r="C184" s="44">
        <v>0.76423611111111101</v>
      </c>
      <c r="D184" s="44">
        <v>0.76453703703703713</v>
      </c>
      <c r="E184" s="44">
        <f t="shared" si="111"/>
        <v>3.00925925926121E-4</v>
      </c>
      <c r="F184" s="217" t="s">
        <v>361</v>
      </c>
      <c r="G184" s="60"/>
      <c r="H184" s="52">
        <v>0.85903935185185187</v>
      </c>
      <c r="I184" s="52">
        <v>0.85942129629629627</v>
      </c>
      <c r="J184" s="44">
        <f t="shared" si="106"/>
        <v>3.8194444444439313E-4</v>
      </c>
      <c r="K184" s="217" t="s">
        <v>480</v>
      </c>
      <c r="M184" s="44"/>
      <c r="N184" s="44">
        <v>0.83598379629629627</v>
      </c>
      <c r="O184" s="44">
        <v>0.83628472222222217</v>
      </c>
      <c r="P184" s="44">
        <f t="shared" si="108"/>
        <v>3.0092592592589895E-4</v>
      </c>
      <c r="Q184" s="217" t="s">
        <v>555</v>
      </c>
      <c r="R184"/>
      <c r="S184" s="44">
        <v>0.76105324074074077</v>
      </c>
      <c r="T184" s="44">
        <v>0.76150462962962961</v>
      </c>
      <c r="U184" s="44">
        <f t="shared" si="107"/>
        <v>4.5138888888884843E-4</v>
      </c>
      <c r="V184" s="215" t="s">
        <v>649</v>
      </c>
      <c r="X184" s="44"/>
      <c r="Y184" s="222" t="s">
        <v>70</v>
      </c>
      <c r="Z184" s="223">
        <f>SUM(Z155:Z183)</f>
        <v>0.7113194444444445</v>
      </c>
      <c r="AA184" s="217"/>
      <c r="AO184"/>
    </row>
    <row r="185" spans="2:41">
      <c r="B185" s="58"/>
      <c r="C185" s="44">
        <v>0.7796643518518519</v>
      </c>
      <c r="D185" s="44">
        <v>0.78003472222222225</v>
      </c>
      <c r="E185" s="44">
        <f t="shared" si="111"/>
        <v>3.7037037037035425E-4</v>
      </c>
      <c r="F185" s="217" t="s">
        <v>361</v>
      </c>
      <c r="G185" s="70"/>
      <c r="H185" s="52">
        <v>0.89003472222222213</v>
      </c>
      <c r="I185" s="52">
        <v>0.8904050925925926</v>
      </c>
      <c r="J185" s="44">
        <f t="shared" si="106"/>
        <v>3.7037037037046527E-4</v>
      </c>
      <c r="K185" s="217" t="s">
        <v>482</v>
      </c>
      <c r="M185" s="44"/>
      <c r="N185" s="44">
        <v>0.92085648148148147</v>
      </c>
      <c r="O185" s="44">
        <v>0.92107638888888888</v>
      </c>
      <c r="P185" s="44">
        <f t="shared" si="108"/>
        <v>2.1990740740740478E-4</v>
      </c>
      <c r="Q185" s="217" t="s">
        <v>556</v>
      </c>
      <c r="R185"/>
      <c r="S185" s="44">
        <v>0.79276620370370365</v>
      </c>
      <c r="T185" s="127">
        <v>0.80395833333333344</v>
      </c>
      <c r="U185" s="44">
        <f t="shared" si="107"/>
        <v>1.1192129629629788E-2</v>
      </c>
      <c r="V185" s="215" t="s">
        <v>650</v>
      </c>
      <c r="W185"/>
      <c r="Z185"/>
      <c r="AO185"/>
    </row>
    <row r="186" spans="2:41">
      <c r="B186" s="65"/>
      <c r="C186" s="52">
        <v>0.82498842592592592</v>
      </c>
      <c r="D186" s="52">
        <v>0.82526620370370374</v>
      </c>
      <c r="E186" s="44">
        <f t="shared" si="111"/>
        <v>2.777777777778212E-4</v>
      </c>
      <c r="F186" s="217" t="s">
        <v>362</v>
      </c>
      <c r="G186" s="60"/>
      <c r="H186" s="52">
        <v>0.90608796296296301</v>
      </c>
      <c r="I186" s="52">
        <v>0.9065509259259259</v>
      </c>
      <c r="J186" s="44">
        <f t="shared" si="106"/>
        <v>4.629629629628873E-4</v>
      </c>
      <c r="K186" s="217" t="s">
        <v>482</v>
      </c>
      <c r="M186" s="65"/>
      <c r="N186" s="44">
        <v>0.92813657407407402</v>
      </c>
      <c r="O186" s="44">
        <v>0.92842592592592599</v>
      </c>
      <c r="P186" s="44">
        <f t="shared" si="108"/>
        <v>2.893518518519711E-4</v>
      </c>
      <c r="Q186" s="217" t="s">
        <v>556</v>
      </c>
      <c r="R186"/>
      <c r="S186" s="44">
        <v>0.84620370370370368</v>
      </c>
      <c r="T186" s="44">
        <v>0.84651620370370362</v>
      </c>
      <c r="U186" s="44">
        <f t="shared" si="107"/>
        <v>3.1249999999993783E-4</v>
      </c>
      <c r="V186" s="215" t="s">
        <v>651</v>
      </c>
      <c r="W186"/>
      <c r="Z186"/>
      <c r="AO186"/>
    </row>
    <row r="187" spans="2:41">
      <c r="B187" s="65"/>
      <c r="C187" s="52">
        <v>0.85483796296296299</v>
      </c>
      <c r="D187" s="52">
        <v>0.85541666666666671</v>
      </c>
      <c r="E187" s="44">
        <f t="shared" si="111"/>
        <v>5.7870370370372015E-4</v>
      </c>
      <c r="F187" s="217" t="s">
        <v>363</v>
      </c>
      <c r="G187" s="60"/>
      <c r="H187" s="61">
        <v>0.96950231481481486</v>
      </c>
      <c r="I187" s="52">
        <v>0.96976851851851853</v>
      </c>
      <c r="J187" s="44">
        <f t="shared" si="106"/>
        <v>2.662037037036713E-4</v>
      </c>
      <c r="K187" s="217" t="s">
        <v>483</v>
      </c>
      <c r="M187" s="65"/>
      <c r="N187" s="44">
        <v>0.94447916666666665</v>
      </c>
      <c r="O187" s="44">
        <v>0.94499999999999995</v>
      </c>
      <c r="P187" s="44">
        <f t="shared" si="108"/>
        <v>5.2083333333330373E-4</v>
      </c>
      <c r="Q187" s="217" t="s">
        <v>557</v>
      </c>
      <c r="R187"/>
      <c r="S187" s="44">
        <v>0.87101851851851853</v>
      </c>
      <c r="T187" s="250">
        <v>0.87130787037037039</v>
      </c>
      <c r="U187" s="44">
        <f t="shared" si="107"/>
        <v>2.8935185185186008E-4</v>
      </c>
      <c r="V187" s="215" t="s">
        <v>653</v>
      </c>
      <c r="W187"/>
      <c r="Z187"/>
      <c r="AO187"/>
    </row>
    <row r="188" spans="2:41">
      <c r="B188" s="65"/>
      <c r="C188" s="52">
        <v>0.86836805555555552</v>
      </c>
      <c r="D188" s="52">
        <v>0.8693981481481482</v>
      </c>
      <c r="E188" s="44">
        <f t="shared" si="111"/>
        <v>1.0300925925926796E-3</v>
      </c>
      <c r="F188" s="217" t="s">
        <v>364</v>
      </c>
      <c r="G188" s="60"/>
      <c r="H188" s="61"/>
      <c r="I188" s="222" t="s">
        <v>70</v>
      </c>
      <c r="J188" s="223">
        <f>SUM(J146:J187)</f>
        <v>8.6724537037037336E-2</v>
      </c>
      <c r="K188" s="217"/>
      <c r="M188" s="44"/>
      <c r="N188" s="44"/>
      <c r="O188" s="222" t="s">
        <v>70</v>
      </c>
      <c r="P188" s="223">
        <f>SUM(P152:P187)</f>
        <v>5.9456018518518762E-2</v>
      </c>
      <c r="Q188" s="217"/>
      <c r="R188"/>
      <c r="S188" s="44">
        <v>0.88484953703703706</v>
      </c>
      <c r="T188" s="44">
        <v>0.88519675925925922</v>
      </c>
      <c r="U188" s="44">
        <f t="shared" si="107"/>
        <v>3.4722222222216548E-4</v>
      </c>
      <c r="V188" s="215" t="s">
        <v>653</v>
      </c>
      <c r="W188"/>
      <c r="Z188"/>
      <c r="AO188"/>
    </row>
    <row r="189" spans="2:41">
      <c r="B189" s="65"/>
      <c r="C189" s="52">
        <v>0.91025462962962955</v>
      </c>
      <c r="D189" s="52">
        <v>0.91045138888888888</v>
      </c>
      <c r="E189" s="44">
        <f t="shared" si="111"/>
        <v>1.9675925925932702E-4</v>
      </c>
      <c r="F189" s="217" t="s">
        <v>365</v>
      </c>
      <c r="R189"/>
      <c r="S189" s="250">
        <v>0.96510416666666676</v>
      </c>
      <c r="T189" s="250">
        <v>0.97841435185185188</v>
      </c>
      <c r="U189" s="44">
        <f t="shared" si="107"/>
        <v>1.3310185185185119E-2</v>
      </c>
      <c r="V189" s="215" t="s">
        <v>654</v>
      </c>
      <c r="W189"/>
      <c r="Z189"/>
      <c r="AO189"/>
    </row>
    <row r="190" spans="2:41">
      <c r="B190" s="65"/>
      <c r="C190" s="52">
        <v>0.9978935185185186</v>
      </c>
      <c r="D190" s="52">
        <v>0.99820601851851853</v>
      </c>
      <c r="E190" s="44">
        <f t="shared" si="111"/>
        <v>3.1249999999993783E-4</v>
      </c>
      <c r="F190" s="217" t="s">
        <v>366</v>
      </c>
      <c r="R190"/>
      <c r="S190"/>
      <c r="T190" s="222" t="s">
        <v>70</v>
      </c>
      <c r="U190" s="223">
        <f>SUM(U148:U189)</f>
        <v>0.10009259259259254</v>
      </c>
      <c r="W190"/>
      <c r="Z190"/>
      <c r="AO190"/>
    </row>
    <row r="191" spans="2:41">
      <c r="B191" s="65"/>
      <c r="C191" s="52"/>
      <c r="D191" s="222" t="s">
        <v>70</v>
      </c>
      <c r="E191" s="223">
        <f>SUM(E162:E190)</f>
        <v>0.14377314814814846</v>
      </c>
      <c r="F191" s="217"/>
      <c r="R191"/>
      <c r="S191"/>
      <c r="T191"/>
      <c r="U191"/>
      <c r="V191"/>
      <c r="W191"/>
      <c r="Z191"/>
      <c r="AO191"/>
    </row>
    <row r="192" spans="2:41">
      <c r="R192" s="12" t="s">
        <v>0</v>
      </c>
      <c r="S192" s="11" t="s">
        <v>14</v>
      </c>
      <c r="T192" s="11" t="s">
        <v>15</v>
      </c>
      <c r="U192" s="11" t="s">
        <v>16</v>
      </c>
      <c r="V192" s="216"/>
    </row>
    <row r="193" spans="18:22">
      <c r="R193" s="58">
        <v>43141</v>
      </c>
      <c r="S193" s="44">
        <v>2.539351851851852E-2</v>
      </c>
      <c r="T193" s="44">
        <v>2.5787037037037039E-2</v>
      </c>
      <c r="U193" s="44">
        <f t="shared" ref="U193:U207" si="112">T193-S193</f>
        <v>3.9351851851851874E-4</v>
      </c>
      <c r="V193" s="249" t="s">
        <v>655</v>
      </c>
    </row>
    <row r="194" spans="18:22">
      <c r="R194" s="44"/>
      <c r="S194">
        <v>7.9143518518518516E-2</v>
      </c>
      <c r="T194" s="127">
        <v>7.9386574074074082E-2</v>
      </c>
      <c r="U194" s="44">
        <f t="shared" si="112"/>
        <v>2.4305555555556579E-4</v>
      </c>
      <c r="V194" s="215" t="s">
        <v>656</v>
      </c>
    </row>
    <row r="195" spans="18:22">
      <c r="R195" s="44"/>
      <c r="S195" s="127">
        <v>0.10822916666666667</v>
      </c>
      <c r="T195" s="127">
        <v>0.12438657407407407</v>
      </c>
      <c r="U195" s="44">
        <f t="shared" si="112"/>
        <v>1.6157407407407398E-2</v>
      </c>
      <c r="V195" s="215" t="s">
        <v>657</v>
      </c>
    </row>
    <row r="196" spans="18:22">
      <c r="R196" s="44"/>
      <c r="S196" s="127">
        <v>0.13871527777777778</v>
      </c>
      <c r="T196" s="127">
        <v>0.1471875</v>
      </c>
      <c r="U196" s="44">
        <f t="shared" si="112"/>
        <v>8.4722222222222143E-3</v>
      </c>
      <c r="V196" s="215" t="s">
        <v>657</v>
      </c>
    </row>
    <row r="197" spans="18:22">
      <c r="R197" s="44"/>
      <c r="S197" s="44">
        <v>0.15224537037037036</v>
      </c>
      <c r="T197" s="44">
        <v>0.15260416666666668</v>
      </c>
      <c r="U197" s="44">
        <f t="shared" si="112"/>
        <v>3.5879629629631538E-4</v>
      </c>
      <c r="V197" s="215" t="s">
        <v>657</v>
      </c>
    </row>
    <row r="198" spans="18:22">
      <c r="R198" s="44"/>
      <c r="S198" s="44">
        <v>0.1590625</v>
      </c>
      <c r="T198" s="127">
        <v>0.16265046296296296</v>
      </c>
      <c r="U198" s="44">
        <f t="shared" si="112"/>
        <v>3.5879629629629595E-3</v>
      </c>
      <c r="V198" s="215" t="s">
        <v>657</v>
      </c>
    </row>
    <row r="199" spans="18:22">
      <c r="R199" s="44"/>
      <c r="S199" s="127">
        <v>0.21068287037037037</v>
      </c>
      <c r="T199" s="52">
        <v>0.21096064814814816</v>
      </c>
      <c r="U199" s="44">
        <f t="shared" si="112"/>
        <v>2.7777777777779344E-4</v>
      </c>
      <c r="V199" s="215" t="s">
        <v>658</v>
      </c>
    </row>
    <row r="200" spans="18:22">
      <c r="R200" s="44"/>
      <c r="S200" s="44">
        <v>0.23546296296296299</v>
      </c>
      <c r="T200" s="127">
        <v>0.23572916666666666</v>
      </c>
      <c r="U200" s="44">
        <f t="shared" si="112"/>
        <v>2.662037037036713E-4</v>
      </c>
      <c r="V200" s="215" t="s">
        <v>659</v>
      </c>
    </row>
    <row r="201" spans="18:22">
      <c r="R201" s="44"/>
      <c r="S201" s="127">
        <v>0.26664351851851853</v>
      </c>
      <c r="T201" s="127">
        <v>0.26707175925925924</v>
      </c>
      <c r="U201" s="44">
        <f t="shared" si="112"/>
        <v>4.2824074074071516E-4</v>
      </c>
      <c r="V201" s="215" t="s">
        <v>660</v>
      </c>
    </row>
    <row r="202" spans="18:22">
      <c r="R202" s="44"/>
      <c r="S202" s="44">
        <v>0.26788194444444441</v>
      </c>
      <c r="T202" s="44">
        <v>0.26821759259259259</v>
      </c>
      <c r="U202" s="44">
        <f t="shared" si="112"/>
        <v>3.3564814814818211E-4</v>
      </c>
      <c r="V202" s="215" t="s">
        <v>660</v>
      </c>
    </row>
    <row r="203" spans="18:22">
      <c r="R203" s="44"/>
      <c r="S203" s="44">
        <v>0.28942129629629632</v>
      </c>
      <c r="T203" s="44">
        <v>0.2900578703703704</v>
      </c>
      <c r="U203" s="44">
        <f t="shared" si="112"/>
        <v>6.3657407407408106E-4</v>
      </c>
      <c r="V203" s="215" t="s">
        <v>660</v>
      </c>
    </row>
    <row r="204" spans="18:22">
      <c r="R204" s="44"/>
      <c r="S204" s="127">
        <v>0.31077546296296293</v>
      </c>
      <c r="T204" s="127">
        <v>0.31124999999999997</v>
      </c>
      <c r="U204" s="44">
        <f t="shared" si="112"/>
        <v>4.745370370370372E-4</v>
      </c>
      <c r="V204" s="215" t="s">
        <v>661</v>
      </c>
    </row>
    <row r="205" spans="18:22">
      <c r="R205" s="44"/>
      <c r="S205" s="44">
        <v>0.34438657407407408</v>
      </c>
      <c r="T205" s="44">
        <v>0.34475694444444444</v>
      </c>
      <c r="U205" s="44">
        <f t="shared" si="112"/>
        <v>3.7037037037035425E-4</v>
      </c>
      <c r="V205" s="215" t="s">
        <v>652</v>
      </c>
    </row>
    <row r="206" spans="18:22">
      <c r="R206" s="44"/>
      <c r="S206" s="44">
        <v>0.35268518518518516</v>
      </c>
      <c r="T206" s="44">
        <v>0.35305555555555551</v>
      </c>
      <c r="U206" s="44">
        <f t="shared" si="112"/>
        <v>3.7037037037035425E-4</v>
      </c>
      <c r="V206" s="215" t="s">
        <v>652</v>
      </c>
    </row>
    <row r="207" spans="18:22">
      <c r="R207" s="44"/>
      <c r="S207" s="44">
        <v>0.36846064814814811</v>
      </c>
      <c r="T207" s="44">
        <v>0.36886574074074074</v>
      </c>
      <c r="U207" s="44">
        <f t="shared" si="112"/>
        <v>4.0509259259263741E-4</v>
      </c>
      <c r="V207" s="217"/>
    </row>
    <row r="208" spans="18:22">
      <c r="R208" s="58"/>
      <c r="S208" s="44"/>
      <c r="T208" s="222" t="s">
        <v>70</v>
      </c>
      <c r="U208" s="223">
        <f>SUM(U193:U207)</f>
        <v>3.2777777777777795E-2</v>
      </c>
      <c r="V208" s="217"/>
    </row>
  </sheetData>
  <phoneticPr fontId="3"/>
  <pageMargins left="0.25" right="0.25" top="0.75" bottom="0.75" header="0.3" footer="0.3"/>
  <pageSetup paperSize="9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53"/>
  <sheetViews>
    <sheetView tabSelected="1" workbookViewId="0">
      <pane xSplit="5" ySplit="1" topLeftCell="AM779" activePane="bottomRight" state="frozen"/>
      <selection pane="topRight" activeCell="F1" sqref="F1"/>
      <selection pane="bottomLeft" activeCell="A2" sqref="A2"/>
      <selection pane="bottomRight" activeCell="AQ814" sqref="AQ814"/>
    </sheetView>
  </sheetViews>
  <sheetFormatPr defaultColWidth="8.77734375" defaultRowHeight="13.2"/>
  <cols>
    <col min="1" max="1" width="8.6640625" style="117" customWidth="1"/>
    <col min="2" max="2" width="9.44140625" style="30" hidden="1" customWidth="1"/>
    <col min="3" max="3" width="9.109375" style="30" hidden="1" customWidth="1"/>
    <col min="4" max="4" width="6.44140625" style="30" hidden="1" customWidth="1"/>
    <col min="5" max="5" width="4.44140625" style="30" hidden="1" customWidth="1"/>
    <col min="6" max="6" width="18" style="31" customWidth="1"/>
    <col min="7" max="7" width="18" style="29" customWidth="1"/>
    <col min="8" max="8" width="11.109375" style="38" customWidth="1"/>
    <col min="9" max="9" width="10.77734375" style="86" customWidth="1"/>
    <col min="10" max="10" width="9.109375" style="120" customWidth="1"/>
    <col min="11" max="13" width="10.6640625" style="88" customWidth="1"/>
    <col min="14" max="14" width="10.33203125" style="108" customWidth="1"/>
    <col min="15" max="15" width="8.77734375" style="108" customWidth="1"/>
    <col min="16" max="16" width="9.109375" style="108" customWidth="1"/>
    <col min="17" max="17" width="10.6640625" style="88" customWidth="1"/>
    <col min="18" max="18" width="135.44140625" style="88" customWidth="1"/>
    <col min="19" max="20" width="10.6640625" style="110" customWidth="1"/>
    <col min="21" max="21" width="9.109375" style="88" customWidth="1"/>
    <col min="22" max="22" width="11.33203125" style="91" customWidth="1"/>
    <col min="23" max="23" width="7.6640625" style="111" customWidth="1"/>
    <col min="24" max="27" width="10.6640625" style="110" customWidth="1"/>
    <col min="28" max="28" width="10.6640625" style="112" customWidth="1"/>
    <col min="29" max="29" width="8.109375" style="120" customWidth="1"/>
    <col min="30" max="35" width="8.109375" style="110" customWidth="1"/>
    <col min="36" max="36" width="8.109375" style="120" customWidth="1"/>
    <col min="37" max="37" width="8.109375" style="113" customWidth="1"/>
    <col min="38" max="38" width="76" style="117" customWidth="1"/>
    <col min="39" max="39" width="14.6640625" style="114" customWidth="1"/>
    <col min="40" max="40" width="9.6640625" style="107" customWidth="1"/>
    <col min="41" max="41" width="13" style="86" customWidth="1"/>
    <col min="42" max="42" width="13.33203125" style="115" customWidth="1"/>
    <col min="43" max="43" width="24.5546875" style="159" customWidth="1"/>
    <col min="44" max="44" width="13.77734375" style="123" customWidth="1"/>
    <col min="45" max="45" width="13.77734375" style="116" customWidth="1"/>
    <col min="46" max="46" width="13.77734375" style="122" customWidth="1"/>
    <col min="47" max="47" width="13.77734375" style="116" customWidth="1"/>
    <col min="48" max="48" width="11" style="116" customWidth="1"/>
    <col min="49" max="52" width="11" style="110" customWidth="1"/>
    <col min="53" max="53" width="11" style="116" customWidth="1"/>
    <col min="54" max="54" width="11" style="112" customWidth="1"/>
    <col min="55" max="57" width="9" style="117" customWidth="1"/>
    <col min="58" max="70" width="8.77734375" style="117"/>
    <col min="71" max="255" width="8.77734375" style="30"/>
    <col min="256" max="256" width="8.6640625" style="30" customWidth="1"/>
    <col min="257" max="260" width="0" style="30" hidden="1" customWidth="1"/>
    <col min="261" max="262" width="18" style="30" customWidth="1"/>
    <col min="263" max="263" width="11.109375" style="30" customWidth="1"/>
    <col min="264" max="264" width="10.77734375" style="30" customWidth="1"/>
    <col min="265" max="265" width="9.109375" style="30" customWidth="1"/>
    <col min="266" max="268" width="10.6640625" style="30" customWidth="1"/>
    <col min="269" max="269" width="10.33203125" style="30" customWidth="1"/>
    <col min="270" max="270" width="10.6640625" style="30" customWidth="1"/>
    <col min="271" max="271" width="8.77734375" style="30" customWidth="1"/>
    <col min="272" max="272" width="9.109375" style="30" customWidth="1"/>
    <col min="273" max="273" width="10.6640625" style="30" customWidth="1"/>
    <col min="274" max="274" width="112.5546875" style="30" customWidth="1"/>
    <col min="275" max="276" width="10.6640625" style="30" customWidth="1"/>
    <col min="277" max="277" width="9.109375" style="30" customWidth="1"/>
    <col min="278" max="278" width="11.33203125" style="30" customWidth="1"/>
    <col min="279" max="279" width="7.6640625" style="30" customWidth="1"/>
    <col min="280" max="284" width="10.6640625" style="30" customWidth="1"/>
    <col min="285" max="293" width="8.109375" style="30" customWidth="1"/>
    <col min="294" max="294" width="92.21875" style="30" customWidth="1"/>
    <col min="295" max="295" width="14.6640625" style="30" customWidth="1"/>
    <col min="296" max="296" width="9.6640625" style="30" customWidth="1"/>
    <col min="297" max="297" width="13" style="30" customWidth="1"/>
    <col min="298" max="298" width="13.33203125" style="30" customWidth="1"/>
    <col min="299" max="299" width="24.5546875" style="30" customWidth="1"/>
    <col min="300" max="303" width="13.77734375" style="30" customWidth="1"/>
    <col min="304" max="310" width="11" style="30" customWidth="1"/>
    <col min="311" max="313" width="9" style="30" customWidth="1"/>
    <col min="314" max="511" width="8.77734375" style="30"/>
    <col min="512" max="512" width="8.6640625" style="30" customWidth="1"/>
    <col min="513" max="516" width="0" style="30" hidden="1" customWidth="1"/>
    <col min="517" max="518" width="18" style="30" customWidth="1"/>
    <col min="519" max="519" width="11.109375" style="30" customWidth="1"/>
    <col min="520" max="520" width="10.77734375" style="30" customWidth="1"/>
    <col min="521" max="521" width="9.109375" style="30" customWidth="1"/>
    <col min="522" max="524" width="10.6640625" style="30" customWidth="1"/>
    <col min="525" max="525" width="10.33203125" style="30" customWidth="1"/>
    <col min="526" max="526" width="10.6640625" style="30" customWidth="1"/>
    <col min="527" max="527" width="8.77734375" style="30" customWidth="1"/>
    <col min="528" max="528" width="9.109375" style="30" customWidth="1"/>
    <col min="529" max="529" width="10.6640625" style="30" customWidth="1"/>
    <col min="530" max="530" width="112.5546875" style="30" customWidth="1"/>
    <col min="531" max="532" width="10.6640625" style="30" customWidth="1"/>
    <col min="533" max="533" width="9.109375" style="30" customWidth="1"/>
    <col min="534" max="534" width="11.33203125" style="30" customWidth="1"/>
    <col min="535" max="535" width="7.6640625" style="30" customWidth="1"/>
    <col min="536" max="540" width="10.6640625" style="30" customWidth="1"/>
    <col min="541" max="549" width="8.109375" style="30" customWidth="1"/>
    <col min="550" max="550" width="92.21875" style="30" customWidth="1"/>
    <col min="551" max="551" width="14.6640625" style="30" customWidth="1"/>
    <col min="552" max="552" width="9.6640625" style="30" customWidth="1"/>
    <col min="553" max="553" width="13" style="30" customWidth="1"/>
    <col min="554" max="554" width="13.33203125" style="30" customWidth="1"/>
    <col min="555" max="555" width="24.5546875" style="30" customWidth="1"/>
    <col min="556" max="559" width="13.77734375" style="30" customWidth="1"/>
    <col min="560" max="566" width="11" style="30" customWidth="1"/>
    <col min="567" max="569" width="9" style="30" customWidth="1"/>
    <col min="570" max="767" width="8.77734375" style="30"/>
    <col min="768" max="768" width="8.6640625" style="30" customWidth="1"/>
    <col min="769" max="772" width="0" style="30" hidden="1" customWidth="1"/>
    <col min="773" max="774" width="18" style="30" customWidth="1"/>
    <col min="775" max="775" width="11.109375" style="30" customWidth="1"/>
    <col min="776" max="776" width="10.77734375" style="30" customWidth="1"/>
    <col min="777" max="777" width="9.109375" style="30" customWidth="1"/>
    <col min="778" max="780" width="10.6640625" style="30" customWidth="1"/>
    <col min="781" max="781" width="10.33203125" style="30" customWidth="1"/>
    <col min="782" max="782" width="10.6640625" style="30" customWidth="1"/>
    <col min="783" max="783" width="8.77734375" style="30" customWidth="1"/>
    <col min="784" max="784" width="9.109375" style="30" customWidth="1"/>
    <col min="785" max="785" width="10.6640625" style="30" customWidth="1"/>
    <col min="786" max="786" width="112.5546875" style="30" customWidth="1"/>
    <col min="787" max="788" width="10.6640625" style="30" customWidth="1"/>
    <col min="789" max="789" width="9.109375" style="30" customWidth="1"/>
    <col min="790" max="790" width="11.33203125" style="30" customWidth="1"/>
    <col min="791" max="791" width="7.6640625" style="30" customWidth="1"/>
    <col min="792" max="796" width="10.6640625" style="30" customWidth="1"/>
    <col min="797" max="805" width="8.109375" style="30" customWidth="1"/>
    <col min="806" max="806" width="92.21875" style="30" customWidth="1"/>
    <col min="807" max="807" width="14.6640625" style="30" customWidth="1"/>
    <col min="808" max="808" width="9.6640625" style="30" customWidth="1"/>
    <col min="809" max="809" width="13" style="30" customWidth="1"/>
    <col min="810" max="810" width="13.33203125" style="30" customWidth="1"/>
    <col min="811" max="811" width="24.5546875" style="30" customWidth="1"/>
    <col min="812" max="815" width="13.77734375" style="30" customWidth="1"/>
    <col min="816" max="822" width="11" style="30" customWidth="1"/>
    <col min="823" max="825" width="9" style="30" customWidth="1"/>
    <col min="826" max="1023" width="8.77734375" style="30"/>
    <col min="1024" max="1024" width="8.6640625" style="30" customWidth="1"/>
    <col min="1025" max="1028" width="0" style="30" hidden="1" customWidth="1"/>
    <col min="1029" max="1030" width="18" style="30" customWidth="1"/>
    <col min="1031" max="1031" width="11.109375" style="30" customWidth="1"/>
    <col min="1032" max="1032" width="10.77734375" style="30" customWidth="1"/>
    <col min="1033" max="1033" width="9.109375" style="30" customWidth="1"/>
    <col min="1034" max="1036" width="10.6640625" style="30" customWidth="1"/>
    <col min="1037" max="1037" width="10.33203125" style="30" customWidth="1"/>
    <col min="1038" max="1038" width="10.6640625" style="30" customWidth="1"/>
    <col min="1039" max="1039" width="8.77734375" style="30" customWidth="1"/>
    <col min="1040" max="1040" width="9.109375" style="30" customWidth="1"/>
    <col min="1041" max="1041" width="10.6640625" style="30" customWidth="1"/>
    <col min="1042" max="1042" width="112.5546875" style="30" customWidth="1"/>
    <col min="1043" max="1044" width="10.6640625" style="30" customWidth="1"/>
    <col min="1045" max="1045" width="9.109375" style="30" customWidth="1"/>
    <col min="1046" max="1046" width="11.33203125" style="30" customWidth="1"/>
    <col min="1047" max="1047" width="7.6640625" style="30" customWidth="1"/>
    <col min="1048" max="1052" width="10.6640625" style="30" customWidth="1"/>
    <col min="1053" max="1061" width="8.109375" style="30" customWidth="1"/>
    <col min="1062" max="1062" width="92.21875" style="30" customWidth="1"/>
    <col min="1063" max="1063" width="14.6640625" style="30" customWidth="1"/>
    <col min="1064" max="1064" width="9.6640625" style="30" customWidth="1"/>
    <col min="1065" max="1065" width="13" style="30" customWidth="1"/>
    <col min="1066" max="1066" width="13.33203125" style="30" customWidth="1"/>
    <col min="1067" max="1067" width="24.5546875" style="30" customWidth="1"/>
    <col min="1068" max="1071" width="13.77734375" style="30" customWidth="1"/>
    <col min="1072" max="1078" width="11" style="30" customWidth="1"/>
    <col min="1079" max="1081" width="9" style="30" customWidth="1"/>
    <col min="1082" max="1279" width="8.77734375" style="30"/>
    <col min="1280" max="1280" width="8.6640625" style="30" customWidth="1"/>
    <col min="1281" max="1284" width="0" style="30" hidden="1" customWidth="1"/>
    <col min="1285" max="1286" width="18" style="30" customWidth="1"/>
    <col min="1287" max="1287" width="11.109375" style="30" customWidth="1"/>
    <col min="1288" max="1288" width="10.77734375" style="30" customWidth="1"/>
    <col min="1289" max="1289" width="9.109375" style="30" customWidth="1"/>
    <col min="1290" max="1292" width="10.6640625" style="30" customWidth="1"/>
    <col min="1293" max="1293" width="10.33203125" style="30" customWidth="1"/>
    <col min="1294" max="1294" width="10.6640625" style="30" customWidth="1"/>
    <col min="1295" max="1295" width="8.77734375" style="30" customWidth="1"/>
    <col min="1296" max="1296" width="9.109375" style="30" customWidth="1"/>
    <col min="1297" max="1297" width="10.6640625" style="30" customWidth="1"/>
    <col min="1298" max="1298" width="112.5546875" style="30" customWidth="1"/>
    <col min="1299" max="1300" width="10.6640625" style="30" customWidth="1"/>
    <col min="1301" max="1301" width="9.109375" style="30" customWidth="1"/>
    <col min="1302" max="1302" width="11.33203125" style="30" customWidth="1"/>
    <col min="1303" max="1303" width="7.6640625" style="30" customWidth="1"/>
    <col min="1304" max="1308" width="10.6640625" style="30" customWidth="1"/>
    <col min="1309" max="1317" width="8.109375" style="30" customWidth="1"/>
    <col min="1318" max="1318" width="92.21875" style="30" customWidth="1"/>
    <col min="1319" max="1319" width="14.6640625" style="30" customWidth="1"/>
    <col min="1320" max="1320" width="9.6640625" style="30" customWidth="1"/>
    <col min="1321" max="1321" width="13" style="30" customWidth="1"/>
    <col min="1322" max="1322" width="13.33203125" style="30" customWidth="1"/>
    <col min="1323" max="1323" width="24.5546875" style="30" customWidth="1"/>
    <col min="1324" max="1327" width="13.77734375" style="30" customWidth="1"/>
    <col min="1328" max="1334" width="11" style="30" customWidth="1"/>
    <col min="1335" max="1337" width="9" style="30" customWidth="1"/>
    <col min="1338" max="1535" width="8.77734375" style="30"/>
    <col min="1536" max="1536" width="8.6640625" style="30" customWidth="1"/>
    <col min="1537" max="1540" width="0" style="30" hidden="1" customWidth="1"/>
    <col min="1541" max="1542" width="18" style="30" customWidth="1"/>
    <col min="1543" max="1543" width="11.109375" style="30" customWidth="1"/>
    <col min="1544" max="1544" width="10.77734375" style="30" customWidth="1"/>
    <col min="1545" max="1545" width="9.109375" style="30" customWidth="1"/>
    <col min="1546" max="1548" width="10.6640625" style="30" customWidth="1"/>
    <col min="1549" max="1549" width="10.33203125" style="30" customWidth="1"/>
    <col min="1550" max="1550" width="10.6640625" style="30" customWidth="1"/>
    <col min="1551" max="1551" width="8.77734375" style="30" customWidth="1"/>
    <col min="1552" max="1552" width="9.109375" style="30" customWidth="1"/>
    <col min="1553" max="1553" width="10.6640625" style="30" customWidth="1"/>
    <col min="1554" max="1554" width="112.5546875" style="30" customWidth="1"/>
    <col min="1555" max="1556" width="10.6640625" style="30" customWidth="1"/>
    <col min="1557" max="1557" width="9.109375" style="30" customWidth="1"/>
    <col min="1558" max="1558" width="11.33203125" style="30" customWidth="1"/>
    <col min="1559" max="1559" width="7.6640625" style="30" customWidth="1"/>
    <col min="1560" max="1564" width="10.6640625" style="30" customWidth="1"/>
    <col min="1565" max="1573" width="8.109375" style="30" customWidth="1"/>
    <col min="1574" max="1574" width="92.21875" style="30" customWidth="1"/>
    <col min="1575" max="1575" width="14.6640625" style="30" customWidth="1"/>
    <col min="1576" max="1576" width="9.6640625" style="30" customWidth="1"/>
    <col min="1577" max="1577" width="13" style="30" customWidth="1"/>
    <col min="1578" max="1578" width="13.33203125" style="30" customWidth="1"/>
    <col min="1579" max="1579" width="24.5546875" style="30" customWidth="1"/>
    <col min="1580" max="1583" width="13.77734375" style="30" customWidth="1"/>
    <col min="1584" max="1590" width="11" style="30" customWidth="1"/>
    <col min="1591" max="1593" width="9" style="30" customWidth="1"/>
    <col min="1594" max="1791" width="8.77734375" style="30"/>
    <col min="1792" max="1792" width="8.6640625" style="30" customWidth="1"/>
    <col min="1793" max="1796" width="0" style="30" hidden="1" customWidth="1"/>
    <col min="1797" max="1798" width="18" style="30" customWidth="1"/>
    <col min="1799" max="1799" width="11.109375" style="30" customWidth="1"/>
    <col min="1800" max="1800" width="10.77734375" style="30" customWidth="1"/>
    <col min="1801" max="1801" width="9.109375" style="30" customWidth="1"/>
    <col min="1802" max="1804" width="10.6640625" style="30" customWidth="1"/>
    <col min="1805" max="1805" width="10.33203125" style="30" customWidth="1"/>
    <col min="1806" max="1806" width="10.6640625" style="30" customWidth="1"/>
    <col min="1807" max="1807" width="8.77734375" style="30" customWidth="1"/>
    <col min="1808" max="1808" width="9.109375" style="30" customWidth="1"/>
    <col min="1809" max="1809" width="10.6640625" style="30" customWidth="1"/>
    <col min="1810" max="1810" width="112.5546875" style="30" customWidth="1"/>
    <col min="1811" max="1812" width="10.6640625" style="30" customWidth="1"/>
    <col min="1813" max="1813" width="9.109375" style="30" customWidth="1"/>
    <col min="1814" max="1814" width="11.33203125" style="30" customWidth="1"/>
    <col min="1815" max="1815" width="7.6640625" style="30" customWidth="1"/>
    <col min="1816" max="1820" width="10.6640625" style="30" customWidth="1"/>
    <col min="1821" max="1829" width="8.109375" style="30" customWidth="1"/>
    <col min="1830" max="1830" width="92.21875" style="30" customWidth="1"/>
    <col min="1831" max="1831" width="14.6640625" style="30" customWidth="1"/>
    <col min="1832" max="1832" width="9.6640625" style="30" customWidth="1"/>
    <col min="1833" max="1833" width="13" style="30" customWidth="1"/>
    <col min="1834" max="1834" width="13.33203125" style="30" customWidth="1"/>
    <col min="1835" max="1835" width="24.5546875" style="30" customWidth="1"/>
    <col min="1836" max="1839" width="13.77734375" style="30" customWidth="1"/>
    <col min="1840" max="1846" width="11" style="30" customWidth="1"/>
    <col min="1847" max="1849" width="9" style="30" customWidth="1"/>
    <col min="1850" max="2047" width="8.77734375" style="30"/>
    <col min="2048" max="2048" width="8.6640625" style="30" customWidth="1"/>
    <col min="2049" max="2052" width="0" style="30" hidden="1" customWidth="1"/>
    <col min="2053" max="2054" width="18" style="30" customWidth="1"/>
    <col min="2055" max="2055" width="11.109375" style="30" customWidth="1"/>
    <col min="2056" max="2056" width="10.77734375" style="30" customWidth="1"/>
    <col min="2057" max="2057" width="9.109375" style="30" customWidth="1"/>
    <col min="2058" max="2060" width="10.6640625" style="30" customWidth="1"/>
    <col min="2061" max="2061" width="10.33203125" style="30" customWidth="1"/>
    <col min="2062" max="2062" width="10.6640625" style="30" customWidth="1"/>
    <col min="2063" max="2063" width="8.77734375" style="30" customWidth="1"/>
    <col min="2064" max="2064" width="9.109375" style="30" customWidth="1"/>
    <col min="2065" max="2065" width="10.6640625" style="30" customWidth="1"/>
    <col min="2066" max="2066" width="112.5546875" style="30" customWidth="1"/>
    <col min="2067" max="2068" width="10.6640625" style="30" customWidth="1"/>
    <col min="2069" max="2069" width="9.109375" style="30" customWidth="1"/>
    <col min="2070" max="2070" width="11.33203125" style="30" customWidth="1"/>
    <col min="2071" max="2071" width="7.6640625" style="30" customWidth="1"/>
    <col min="2072" max="2076" width="10.6640625" style="30" customWidth="1"/>
    <col min="2077" max="2085" width="8.109375" style="30" customWidth="1"/>
    <col min="2086" max="2086" width="92.21875" style="30" customWidth="1"/>
    <col min="2087" max="2087" width="14.6640625" style="30" customWidth="1"/>
    <col min="2088" max="2088" width="9.6640625" style="30" customWidth="1"/>
    <col min="2089" max="2089" width="13" style="30" customWidth="1"/>
    <col min="2090" max="2090" width="13.33203125" style="30" customWidth="1"/>
    <col min="2091" max="2091" width="24.5546875" style="30" customWidth="1"/>
    <col min="2092" max="2095" width="13.77734375" style="30" customWidth="1"/>
    <col min="2096" max="2102" width="11" style="30" customWidth="1"/>
    <col min="2103" max="2105" width="9" style="30" customWidth="1"/>
    <col min="2106" max="2303" width="8.77734375" style="30"/>
    <col min="2304" max="2304" width="8.6640625" style="30" customWidth="1"/>
    <col min="2305" max="2308" width="0" style="30" hidden="1" customWidth="1"/>
    <col min="2309" max="2310" width="18" style="30" customWidth="1"/>
    <col min="2311" max="2311" width="11.109375" style="30" customWidth="1"/>
    <col min="2312" max="2312" width="10.77734375" style="30" customWidth="1"/>
    <col min="2313" max="2313" width="9.109375" style="30" customWidth="1"/>
    <col min="2314" max="2316" width="10.6640625" style="30" customWidth="1"/>
    <col min="2317" max="2317" width="10.33203125" style="30" customWidth="1"/>
    <col min="2318" max="2318" width="10.6640625" style="30" customWidth="1"/>
    <col min="2319" max="2319" width="8.77734375" style="30" customWidth="1"/>
    <col min="2320" max="2320" width="9.109375" style="30" customWidth="1"/>
    <col min="2321" max="2321" width="10.6640625" style="30" customWidth="1"/>
    <col min="2322" max="2322" width="112.5546875" style="30" customWidth="1"/>
    <col min="2323" max="2324" width="10.6640625" style="30" customWidth="1"/>
    <col min="2325" max="2325" width="9.109375" style="30" customWidth="1"/>
    <col min="2326" max="2326" width="11.33203125" style="30" customWidth="1"/>
    <col min="2327" max="2327" width="7.6640625" style="30" customWidth="1"/>
    <col min="2328" max="2332" width="10.6640625" style="30" customWidth="1"/>
    <col min="2333" max="2341" width="8.109375" style="30" customWidth="1"/>
    <col min="2342" max="2342" width="92.21875" style="30" customWidth="1"/>
    <col min="2343" max="2343" width="14.6640625" style="30" customWidth="1"/>
    <col min="2344" max="2344" width="9.6640625" style="30" customWidth="1"/>
    <col min="2345" max="2345" width="13" style="30" customWidth="1"/>
    <col min="2346" max="2346" width="13.33203125" style="30" customWidth="1"/>
    <col min="2347" max="2347" width="24.5546875" style="30" customWidth="1"/>
    <col min="2348" max="2351" width="13.77734375" style="30" customWidth="1"/>
    <col min="2352" max="2358" width="11" style="30" customWidth="1"/>
    <col min="2359" max="2361" width="9" style="30" customWidth="1"/>
    <col min="2362" max="2559" width="8.77734375" style="30"/>
    <col min="2560" max="2560" width="8.6640625" style="30" customWidth="1"/>
    <col min="2561" max="2564" width="0" style="30" hidden="1" customWidth="1"/>
    <col min="2565" max="2566" width="18" style="30" customWidth="1"/>
    <col min="2567" max="2567" width="11.109375" style="30" customWidth="1"/>
    <col min="2568" max="2568" width="10.77734375" style="30" customWidth="1"/>
    <col min="2569" max="2569" width="9.109375" style="30" customWidth="1"/>
    <col min="2570" max="2572" width="10.6640625" style="30" customWidth="1"/>
    <col min="2573" max="2573" width="10.33203125" style="30" customWidth="1"/>
    <col min="2574" max="2574" width="10.6640625" style="30" customWidth="1"/>
    <col min="2575" max="2575" width="8.77734375" style="30" customWidth="1"/>
    <col min="2576" max="2576" width="9.109375" style="30" customWidth="1"/>
    <col min="2577" max="2577" width="10.6640625" style="30" customWidth="1"/>
    <col min="2578" max="2578" width="112.5546875" style="30" customWidth="1"/>
    <col min="2579" max="2580" width="10.6640625" style="30" customWidth="1"/>
    <col min="2581" max="2581" width="9.109375" style="30" customWidth="1"/>
    <col min="2582" max="2582" width="11.33203125" style="30" customWidth="1"/>
    <col min="2583" max="2583" width="7.6640625" style="30" customWidth="1"/>
    <col min="2584" max="2588" width="10.6640625" style="30" customWidth="1"/>
    <col min="2589" max="2597" width="8.109375" style="30" customWidth="1"/>
    <col min="2598" max="2598" width="92.21875" style="30" customWidth="1"/>
    <col min="2599" max="2599" width="14.6640625" style="30" customWidth="1"/>
    <col min="2600" max="2600" width="9.6640625" style="30" customWidth="1"/>
    <col min="2601" max="2601" width="13" style="30" customWidth="1"/>
    <col min="2602" max="2602" width="13.33203125" style="30" customWidth="1"/>
    <col min="2603" max="2603" width="24.5546875" style="30" customWidth="1"/>
    <col min="2604" max="2607" width="13.77734375" style="30" customWidth="1"/>
    <col min="2608" max="2614" width="11" style="30" customWidth="1"/>
    <col min="2615" max="2617" width="9" style="30" customWidth="1"/>
    <col min="2618" max="2815" width="8.77734375" style="30"/>
    <col min="2816" max="2816" width="8.6640625" style="30" customWidth="1"/>
    <col min="2817" max="2820" width="0" style="30" hidden="1" customWidth="1"/>
    <col min="2821" max="2822" width="18" style="30" customWidth="1"/>
    <col min="2823" max="2823" width="11.109375" style="30" customWidth="1"/>
    <col min="2824" max="2824" width="10.77734375" style="30" customWidth="1"/>
    <col min="2825" max="2825" width="9.109375" style="30" customWidth="1"/>
    <col min="2826" max="2828" width="10.6640625" style="30" customWidth="1"/>
    <col min="2829" max="2829" width="10.33203125" style="30" customWidth="1"/>
    <col min="2830" max="2830" width="10.6640625" style="30" customWidth="1"/>
    <col min="2831" max="2831" width="8.77734375" style="30" customWidth="1"/>
    <col min="2832" max="2832" width="9.109375" style="30" customWidth="1"/>
    <col min="2833" max="2833" width="10.6640625" style="30" customWidth="1"/>
    <col min="2834" max="2834" width="112.5546875" style="30" customWidth="1"/>
    <col min="2835" max="2836" width="10.6640625" style="30" customWidth="1"/>
    <col min="2837" max="2837" width="9.109375" style="30" customWidth="1"/>
    <col min="2838" max="2838" width="11.33203125" style="30" customWidth="1"/>
    <col min="2839" max="2839" width="7.6640625" style="30" customWidth="1"/>
    <col min="2840" max="2844" width="10.6640625" style="30" customWidth="1"/>
    <col min="2845" max="2853" width="8.109375" style="30" customWidth="1"/>
    <col min="2854" max="2854" width="92.21875" style="30" customWidth="1"/>
    <col min="2855" max="2855" width="14.6640625" style="30" customWidth="1"/>
    <col min="2856" max="2856" width="9.6640625" style="30" customWidth="1"/>
    <col min="2857" max="2857" width="13" style="30" customWidth="1"/>
    <col min="2858" max="2858" width="13.33203125" style="30" customWidth="1"/>
    <col min="2859" max="2859" width="24.5546875" style="30" customWidth="1"/>
    <col min="2860" max="2863" width="13.77734375" style="30" customWidth="1"/>
    <col min="2864" max="2870" width="11" style="30" customWidth="1"/>
    <col min="2871" max="2873" width="9" style="30" customWidth="1"/>
    <col min="2874" max="3071" width="8.77734375" style="30"/>
    <col min="3072" max="3072" width="8.6640625" style="30" customWidth="1"/>
    <col min="3073" max="3076" width="0" style="30" hidden="1" customWidth="1"/>
    <col min="3077" max="3078" width="18" style="30" customWidth="1"/>
    <col min="3079" max="3079" width="11.109375" style="30" customWidth="1"/>
    <col min="3080" max="3080" width="10.77734375" style="30" customWidth="1"/>
    <col min="3081" max="3081" width="9.109375" style="30" customWidth="1"/>
    <col min="3082" max="3084" width="10.6640625" style="30" customWidth="1"/>
    <col min="3085" max="3085" width="10.33203125" style="30" customWidth="1"/>
    <col min="3086" max="3086" width="10.6640625" style="30" customWidth="1"/>
    <col min="3087" max="3087" width="8.77734375" style="30" customWidth="1"/>
    <col min="3088" max="3088" width="9.109375" style="30" customWidth="1"/>
    <col min="3089" max="3089" width="10.6640625" style="30" customWidth="1"/>
    <col min="3090" max="3090" width="112.5546875" style="30" customWidth="1"/>
    <col min="3091" max="3092" width="10.6640625" style="30" customWidth="1"/>
    <col min="3093" max="3093" width="9.109375" style="30" customWidth="1"/>
    <col min="3094" max="3094" width="11.33203125" style="30" customWidth="1"/>
    <col min="3095" max="3095" width="7.6640625" style="30" customWidth="1"/>
    <col min="3096" max="3100" width="10.6640625" style="30" customWidth="1"/>
    <col min="3101" max="3109" width="8.109375" style="30" customWidth="1"/>
    <col min="3110" max="3110" width="92.21875" style="30" customWidth="1"/>
    <col min="3111" max="3111" width="14.6640625" style="30" customWidth="1"/>
    <col min="3112" max="3112" width="9.6640625" style="30" customWidth="1"/>
    <col min="3113" max="3113" width="13" style="30" customWidth="1"/>
    <col min="3114" max="3114" width="13.33203125" style="30" customWidth="1"/>
    <col min="3115" max="3115" width="24.5546875" style="30" customWidth="1"/>
    <col min="3116" max="3119" width="13.77734375" style="30" customWidth="1"/>
    <col min="3120" max="3126" width="11" style="30" customWidth="1"/>
    <col min="3127" max="3129" width="9" style="30" customWidth="1"/>
    <col min="3130" max="3327" width="8.77734375" style="30"/>
    <col min="3328" max="3328" width="8.6640625" style="30" customWidth="1"/>
    <col min="3329" max="3332" width="0" style="30" hidden="1" customWidth="1"/>
    <col min="3333" max="3334" width="18" style="30" customWidth="1"/>
    <col min="3335" max="3335" width="11.109375" style="30" customWidth="1"/>
    <col min="3336" max="3336" width="10.77734375" style="30" customWidth="1"/>
    <col min="3337" max="3337" width="9.109375" style="30" customWidth="1"/>
    <col min="3338" max="3340" width="10.6640625" style="30" customWidth="1"/>
    <col min="3341" max="3341" width="10.33203125" style="30" customWidth="1"/>
    <col min="3342" max="3342" width="10.6640625" style="30" customWidth="1"/>
    <col min="3343" max="3343" width="8.77734375" style="30" customWidth="1"/>
    <col min="3344" max="3344" width="9.109375" style="30" customWidth="1"/>
    <col min="3345" max="3345" width="10.6640625" style="30" customWidth="1"/>
    <col min="3346" max="3346" width="112.5546875" style="30" customWidth="1"/>
    <col min="3347" max="3348" width="10.6640625" style="30" customWidth="1"/>
    <col min="3349" max="3349" width="9.109375" style="30" customWidth="1"/>
    <col min="3350" max="3350" width="11.33203125" style="30" customWidth="1"/>
    <col min="3351" max="3351" width="7.6640625" style="30" customWidth="1"/>
    <col min="3352" max="3356" width="10.6640625" style="30" customWidth="1"/>
    <col min="3357" max="3365" width="8.109375" style="30" customWidth="1"/>
    <col min="3366" max="3366" width="92.21875" style="30" customWidth="1"/>
    <col min="3367" max="3367" width="14.6640625" style="30" customWidth="1"/>
    <col min="3368" max="3368" width="9.6640625" style="30" customWidth="1"/>
    <col min="3369" max="3369" width="13" style="30" customWidth="1"/>
    <col min="3370" max="3370" width="13.33203125" style="30" customWidth="1"/>
    <col min="3371" max="3371" width="24.5546875" style="30" customWidth="1"/>
    <col min="3372" max="3375" width="13.77734375" style="30" customWidth="1"/>
    <col min="3376" max="3382" width="11" style="30" customWidth="1"/>
    <col min="3383" max="3385" width="9" style="30" customWidth="1"/>
    <col min="3386" max="3583" width="8.77734375" style="30"/>
    <col min="3584" max="3584" width="8.6640625" style="30" customWidth="1"/>
    <col min="3585" max="3588" width="0" style="30" hidden="1" customWidth="1"/>
    <col min="3589" max="3590" width="18" style="30" customWidth="1"/>
    <col min="3591" max="3591" width="11.109375" style="30" customWidth="1"/>
    <col min="3592" max="3592" width="10.77734375" style="30" customWidth="1"/>
    <col min="3593" max="3593" width="9.109375" style="30" customWidth="1"/>
    <col min="3594" max="3596" width="10.6640625" style="30" customWidth="1"/>
    <col min="3597" max="3597" width="10.33203125" style="30" customWidth="1"/>
    <col min="3598" max="3598" width="10.6640625" style="30" customWidth="1"/>
    <col min="3599" max="3599" width="8.77734375" style="30" customWidth="1"/>
    <col min="3600" max="3600" width="9.109375" style="30" customWidth="1"/>
    <col min="3601" max="3601" width="10.6640625" style="30" customWidth="1"/>
    <col min="3602" max="3602" width="112.5546875" style="30" customWidth="1"/>
    <col min="3603" max="3604" width="10.6640625" style="30" customWidth="1"/>
    <col min="3605" max="3605" width="9.109375" style="30" customWidth="1"/>
    <col min="3606" max="3606" width="11.33203125" style="30" customWidth="1"/>
    <col min="3607" max="3607" width="7.6640625" style="30" customWidth="1"/>
    <col min="3608" max="3612" width="10.6640625" style="30" customWidth="1"/>
    <col min="3613" max="3621" width="8.109375" style="30" customWidth="1"/>
    <col min="3622" max="3622" width="92.21875" style="30" customWidth="1"/>
    <col min="3623" max="3623" width="14.6640625" style="30" customWidth="1"/>
    <col min="3624" max="3624" width="9.6640625" style="30" customWidth="1"/>
    <col min="3625" max="3625" width="13" style="30" customWidth="1"/>
    <col min="3626" max="3626" width="13.33203125" style="30" customWidth="1"/>
    <col min="3627" max="3627" width="24.5546875" style="30" customWidth="1"/>
    <col min="3628" max="3631" width="13.77734375" style="30" customWidth="1"/>
    <col min="3632" max="3638" width="11" style="30" customWidth="1"/>
    <col min="3639" max="3641" width="9" style="30" customWidth="1"/>
    <col min="3642" max="3839" width="8.77734375" style="30"/>
    <col min="3840" max="3840" width="8.6640625" style="30" customWidth="1"/>
    <col min="3841" max="3844" width="0" style="30" hidden="1" customWidth="1"/>
    <col min="3845" max="3846" width="18" style="30" customWidth="1"/>
    <col min="3847" max="3847" width="11.109375" style="30" customWidth="1"/>
    <col min="3848" max="3848" width="10.77734375" style="30" customWidth="1"/>
    <col min="3849" max="3849" width="9.109375" style="30" customWidth="1"/>
    <col min="3850" max="3852" width="10.6640625" style="30" customWidth="1"/>
    <col min="3853" max="3853" width="10.33203125" style="30" customWidth="1"/>
    <col min="3854" max="3854" width="10.6640625" style="30" customWidth="1"/>
    <col min="3855" max="3855" width="8.77734375" style="30" customWidth="1"/>
    <col min="3856" max="3856" width="9.109375" style="30" customWidth="1"/>
    <col min="3857" max="3857" width="10.6640625" style="30" customWidth="1"/>
    <col min="3858" max="3858" width="112.5546875" style="30" customWidth="1"/>
    <col min="3859" max="3860" width="10.6640625" style="30" customWidth="1"/>
    <col min="3861" max="3861" width="9.109375" style="30" customWidth="1"/>
    <col min="3862" max="3862" width="11.33203125" style="30" customWidth="1"/>
    <col min="3863" max="3863" width="7.6640625" style="30" customWidth="1"/>
    <col min="3864" max="3868" width="10.6640625" style="30" customWidth="1"/>
    <col min="3869" max="3877" width="8.109375" style="30" customWidth="1"/>
    <col min="3878" max="3878" width="92.21875" style="30" customWidth="1"/>
    <col min="3879" max="3879" width="14.6640625" style="30" customWidth="1"/>
    <col min="3880" max="3880" width="9.6640625" style="30" customWidth="1"/>
    <col min="3881" max="3881" width="13" style="30" customWidth="1"/>
    <col min="3882" max="3882" width="13.33203125" style="30" customWidth="1"/>
    <col min="3883" max="3883" width="24.5546875" style="30" customWidth="1"/>
    <col min="3884" max="3887" width="13.77734375" style="30" customWidth="1"/>
    <col min="3888" max="3894" width="11" style="30" customWidth="1"/>
    <col min="3895" max="3897" width="9" style="30" customWidth="1"/>
    <col min="3898" max="4095" width="8.77734375" style="30"/>
    <col min="4096" max="4096" width="8.6640625" style="30" customWidth="1"/>
    <col min="4097" max="4100" width="0" style="30" hidden="1" customWidth="1"/>
    <col min="4101" max="4102" width="18" style="30" customWidth="1"/>
    <col min="4103" max="4103" width="11.109375" style="30" customWidth="1"/>
    <col min="4104" max="4104" width="10.77734375" style="30" customWidth="1"/>
    <col min="4105" max="4105" width="9.109375" style="30" customWidth="1"/>
    <col min="4106" max="4108" width="10.6640625" style="30" customWidth="1"/>
    <col min="4109" max="4109" width="10.33203125" style="30" customWidth="1"/>
    <col min="4110" max="4110" width="10.6640625" style="30" customWidth="1"/>
    <col min="4111" max="4111" width="8.77734375" style="30" customWidth="1"/>
    <col min="4112" max="4112" width="9.109375" style="30" customWidth="1"/>
    <col min="4113" max="4113" width="10.6640625" style="30" customWidth="1"/>
    <col min="4114" max="4114" width="112.5546875" style="30" customWidth="1"/>
    <col min="4115" max="4116" width="10.6640625" style="30" customWidth="1"/>
    <col min="4117" max="4117" width="9.109375" style="30" customWidth="1"/>
    <col min="4118" max="4118" width="11.33203125" style="30" customWidth="1"/>
    <col min="4119" max="4119" width="7.6640625" style="30" customWidth="1"/>
    <col min="4120" max="4124" width="10.6640625" style="30" customWidth="1"/>
    <col min="4125" max="4133" width="8.109375" style="30" customWidth="1"/>
    <col min="4134" max="4134" width="92.21875" style="30" customWidth="1"/>
    <col min="4135" max="4135" width="14.6640625" style="30" customWidth="1"/>
    <col min="4136" max="4136" width="9.6640625" style="30" customWidth="1"/>
    <col min="4137" max="4137" width="13" style="30" customWidth="1"/>
    <col min="4138" max="4138" width="13.33203125" style="30" customWidth="1"/>
    <col min="4139" max="4139" width="24.5546875" style="30" customWidth="1"/>
    <col min="4140" max="4143" width="13.77734375" style="30" customWidth="1"/>
    <col min="4144" max="4150" width="11" style="30" customWidth="1"/>
    <col min="4151" max="4153" width="9" style="30" customWidth="1"/>
    <col min="4154" max="4351" width="8.77734375" style="30"/>
    <col min="4352" max="4352" width="8.6640625" style="30" customWidth="1"/>
    <col min="4353" max="4356" width="0" style="30" hidden="1" customWidth="1"/>
    <col min="4357" max="4358" width="18" style="30" customWidth="1"/>
    <col min="4359" max="4359" width="11.109375" style="30" customWidth="1"/>
    <col min="4360" max="4360" width="10.77734375" style="30" customWidth="1"/>
    <col min="4361" max="4361" width="9.109375" style="30" customWidth="1"/>
    <col min="4362" max="4364" width="10.6640625" style="30" customWidth="1"/>
    <col min="4365" max="4365" width="10.33203125" style="30" customWidth="1"/>
    <col min="4366" max="4366" width="10.6640625" style="30" customWidth="1"/>
    <col min="4367" max="4367" width="8.77734375" style="30" customWidth="1"/>
    <col min="4368" max="4368" width="9.109375" style="30" customWidth="1"/>
    <col min="4369" max="4369" width="10.6640625" style="30" customWidth="1"/>
    <col min="4370" max="4370" width="112.5546875" style="30" customWidth="1"/>
    <col min="4371" max="4372" width="10.6640625" style="30" customWidth="1"/>
    <col min="4373" max="4373" width="9.109375" style="30" customWidth="1"/>
    <col min="4374" max="4374" width="11.33203125" style="30" customWidth="1"/>
    <col min="4375" max="4375" width="7.6640625" style="30" customWidth="1"/>
    <col min="4376" max="4380" width="10.6640625" style="30" customWidth="1"/>
    <col min="4381" max="4389" width="8.109375" style="30" customWidth="1"/>
    <col min="4390" max="4390" width="92.21875" style="30" customWidth="1"/>
    <col min="4391" max="4391" width="14.6640625" style="30" customWidth="1"/>
    <col min="4392" max="4392" width="9.6640625" style="30" customWidth="1"/>
    <col min="4393" max="4393" width="13" style="30" customWidth="1"/>
    <col min="4394" max="4394" width="13.33203125" style="30" customWidth="1"/>
    <col min="4395" max="4395" width="24.5546875" style="30" customWidth="1"/>
    <col min="4396" max="4399" width="13.77734375" style="30" customWidth="1"/>
    <col min="4400" max="4406" width="11" style="30" customWidth="1"/>
    <col min="4407" max="4409" width="9" style="30" customWidth="1"/>
    <col min="4410" max="4607" width="8.77734375" style="30"/>
    <col min="4608" max="4608" width="8.6640625" style="30" customWidth="1"/>
    <col min="4609" max="4612" width="0" style="30" hidden="1" customWidth="1"/>
    <col min="4613" max="4614" width="18" style="30" customWidth="1"/>
    <col min="4615" max="4615" width="11.109375" style="30" customWidth="1"/>
    <col min="4616" max="4616" width="10.77734375" style="30" customWidth="1"/>
    <col min="4617" max="4617" width="9.109375" style="30" customWidth="1"/>
    <col min="4618" max="4620" width="10.6640625" style="30" customWidth="1"/>
    <col min="4621" max="4621" width="10.33203125" style="30" customWidth="1"/>
    <col min="4622" max="4622" width="10.6640625" style="30" customWidth="1"/>
    <col min="4623" max="4623" width="8.77734375" style="30" customWidth="1"/>
    <col min="4624" max="4624" width="9.109375" style="30" customWidth="1"/>
    <col min="4625" max="4625" width="10.6640625" style="30" customWidth="1"/>
    <col min="4626" max="4626" width="112.5546875" style="30" customWidth="1"/>
    <col min="4627" max="4628" width="10.6640625" style="30" customWidth="1"/>
    <col min="4629" max="4629" width="9.109375" style="30" customWidth="1"/>
    <col min="4630" max="4630" width="11.33203125" style="30" customWidth="1"/>
    <col min="4631" max="4631" width="7.6640625" style="30" customWidth="1"/>
    <col min="4632" max="4636" width="10.6640625" style="30" customWidth="1"/>
    <col min="4637" max="4645" width="8.109375" style="30" customWidth="1"/>
    <col min="4646" max="4646" width="92.21875" style="30" customWidth="1"/>
    <col min="4647" max="4647" width="14.6640625" style="30" customWidth="1"/>
    <col min="4648" max="4648" width="9.6640625" style="30" customWidth="1"/>
    <col min="4649" max="4649" width="13" style="30" customWidth="1"/>
    <col min="4650" max="4650" width="13.33203125" style="30" customWidth="1"/>
    <col min="4651" max="4651" width="24.5546875" style="30" customWidth="1"/>
    <col min="4652" max="4655" width="13.77734375" style="30" customWidth="1"/>
    <col min="4656" max="4662" width="11" style="30" customWidth="1"/>
    <col min="4663" max="4665" width="9" style="30" customWidth="1"/>
    <col min="4666" max="4863" width="8.77734375" style="30"/>
    <col min="4864" max="4864" width="8.6640625" style="30" customWidth="1"/>
    <col min="4865" max="4868" width="0" style="30" hidden="1" customWidth="1"/>
    <col min="4869" max="4870" width="18" style="30" customWidth="1"/>
    <col min="4871" max="4871" width="11.109375" style="30" customWidth="1"/>
    <col min="4872" max="4872" width="10.77734375" style="30" customWidth="1"/>
    <col min="4873" max="4873" width="9.109375" style="30" customWidth="1"/>
    <col min="4874" max="4876" width="10.6640625" style="30" customWidth="1"/>
    <col min="4877" max="4877" width="10.33203125" style="30" customWidth="1"/>
    <col min="4878" max="4878" width="10.6640625" style="30" customWidth="1"/>
    <col min="4879" max="4879" width="8.77734375" style="30" customWidth="1"/>
    <col min="4880" max="4880" width="9.109375" style="30" customWidth="1"/>
    <col min="4881" max="4881" width="10.6640625" style="30" customWidth="1"/>
    <col min="4882" max="4882" width="112.5546875" style="30" customWidth="1"/>
    <col min="4883" max="4884" width="10.6640625" style="30" customWidth="1"/>
    <col min="4885" max="4885" width="9.109375" style="30" customWidth="1"/>
    <col min="4886" max="4886" width="11.33203125" style="30" customWidth="1"/>
    <col min="4887" max="4887" width="7.6640625" style="30" customWidth="1"/>
    <col min="4888" max="4892" width="10.6640625" style="30" customWidth="1"/>
    <col min="4893" max="4901" width="8.109375" style="30" customWidth="1"/>
    <col min="4902" max="4902" width="92.21875" style="30" customWidth="1"/>
    <col min="4903" max="4903" width="14.6640625" style="30" customWidth="1"/>
    <col min="4904" max="4904" width="9.6640625" style="30" customWidth="1"/>
    <col min="4905" max="4905" width="13" style="30" customWidth="1"/>
    <col min="4906" max="4906" width="13.33203125" style="30" customWidth="1"/>
    <col min="4907" max="4907" width="24.5546875" style="30" customWidth="1"/>
    <col min="4908" max="4911" width="13.77734375" style="30" customWidth="1"/>
    <col min="4912" max="4918" width="11" style="30" customWidth="1"/>
    <col min="4919" max="4921" width="9" style="30" customWidth="1"/>
    <col min="4922" max="5119" width="8.77734375" style="30"/>
    <col min="5120" max="5120" width="8.6640625" style="30" customWidth="1"/>
    <col min="5121" max="5124" width="0" style="30" hidden="1" customWidth="1"/>
    <col min="5125" max="5126" width="18" style="30" customWidth="1"/>
    <col min="5127" max="5127" width="11.109375" style="30" customWidth="1"/>
    <col min="5128" max="5128" width="10.77734375" style="30" customWidth="1"/>
    <col min="5129" max="5129" width="9.109375" style="30" customWidth="1"/>
    <col min="5130" max="5132" width="10.6640625" style="30" customWidth="1"/>
    <col min="5133" max="5133" width="10.33203125" style="30" customWidth="1"/>
    <col min="5134" max="5134" width="10.6640625" style="30" customWidth="1"/>
    <col min="5135" max="5135" width="8.77734375" style="30" customWidth="1"/>
    <col min="5136" max="5136" width="9.109375" style="30" customWidth="1"/>
    <col min="5137" max="5137" width="10.6640625" style="30" customWidth="1"/>
    <col min="5138" max="5138" width="112.5546875" style="30" customWidth="1"/>
    <col min="5139" max="5140" width="10.6640625" style="30" customWidth="1"/>
    <col min="5141" max="5141" width="9.109375" style="30" customWidth="1"/>
    <col min="5142" max="5142" width="11.33203125" style="30" customWidth="1"/>
    <col min="5143" max="5143" width="7.6640625" style="30" customWidth="1"/>
    <col min="5144" max="5148" width="10.6640625" style="30" customWidth="1"/>
    <col min="5149" max="5157" width="8.109375" style="30" customWidth="1"/>
    <col min="5158" max="5158" width="92.21875" style="30" customWidth="1"/>
    <col min="5159" max="5159" width="14.6640625" style="30" customWidth="1"/>
    <col min="5160" max="5160" width="9.6640625" style="30" customWidth="1"/>
    <col min="5161" max="5161" width="13" style="30" customWidth="1"/>
    <col min="5162" max="5162" width="13.33203125" style="30" customWidth="1"/>
    <col min="5163" max="5163" width="24.5546875" style="30" customWidth="1"/>
    <col min="5164" max="5167" width="13.77734375" style="30" customWidth="1"/>
    <col min="5168" max="5174" width="11" style="30" customWidth="1"/>
    <col min="5175" max="5177" width="9" style="30" customWidth="1"/>
    <col min="5178" max="5375" width="8.77734375" style="30"/>
    <col min="5376" max="5376" width="8.6640625" style="30" customWidth="1"/>
    <col min="5377" max="5380" width="0" style="30" hidden="1" customWidth="1"/>
    <col min="5381" max="5382" width="18" style="30" customWidth="1"/>
    <col min="5383" max="5383" width="11.109375" style="30" customWidth="1"/>
    <col min="5384" max="5384" width="10.77734375" style="30" customWidth="1"/>
    <col min="5385" max="5385" width="9.109375" style="30" customWidth="1"/>
    <col min="5386" max="5388" width="10.6640625" style="30" customWidth="1"/>
    <col min="5389" max="5389" width="10.33203125" style="30" customWidth="1"/>
    <col min="5390" max="5390" width="10.6640625" style="30" customWidth="1"/>
    <col min="5391" max="5391" width="8.77734375" style="30" customWidth="1"/>
    <col min="5392" max="5392" width="9.109375" style="30" customWidth="1"/>
    <col min="5393" max="5393" width="10.6640625" style="30" customWidth="1"/>
    <col min="5394" max="5394" width="112.5546875" style="30" customWidth="1"/>
    <col min="5395" max="5396" width="10.6640625" style="30" customWidth="1"/>
    <col min="5397" max="5397" width="9.109375" style="30" customWidth="1"/>
    <col min="5398" max="5398" width="11.33203125" style="30" customWidth="1"/>
    <col min="5399" max="5399" width="7.6640625" style="30" customWidth="1"/>
    <col min="5400" max="5404" width="10.6640625" style="30" customWidth="1"/>
    <col min="5405" max="5413" width="8.109375" style="30" customWidth="1"/>
    <col min="5414" max="5414" width="92.21875" style="30" customWidth="1"/>
    <col min="5415" max="5415" width="14.6640625" style="30" customWidth="1"/>
    <col min="5416" max="5416" width="9.6640625" style="30" customWidth="1"/>
    <col min="5417" max="5417" width="13" style="30" customWidth="1"/>
    <col min="5418" max="5418" width="13.33203125" style="30" customWidth="1"/>
    <col min="5419" max="5419" width="24.5546875" style="30" customWidth="1"/>
    <col min="5420" max="5423" width="13.77734375" style="30" customWidth="1"/>
    <col min="5424" max="5430" width="11" style="30" customWidth="1"/>
    <col min="5431" max="5433" width="9" style="30" customWidth="1"/>
    <col min="5434" max="5631" width="8.77734375" style="30"/>
    <col min="5632" max="5632" width="8.6640625" style="30" customWidth="1"/>
    <col min="5633" max="5636" width="0" style="30" hidden="1" customWidth="1"/>
    <col min="5637" max="5638" width="18" style="30" customWidth="1"/>
    <col min="5639" max="5639" width="11.109375" style="30" customWidth="1"/>
    <col min="5640" max="5640" width="10.77734375" style="30" customWidth="1"/>
    <col min="5641" max="5641" width="9.109375" style="30" customWidth="1"/>
    <col min="5642" max="5644" width="10.6640625" style="30" customWidth="1"/>
    <col min="5645" max="5645" width="10.33203125" style="30" customWidth="1"/>
    <col min="5646" max="5646" width="10.6640625" style="30" customWidth="1"/>
    <col min="5647" max="5647" width="8.77734375" style="30" customWidth="1"/>
    <col min="5648" max="5648" width="9.109375" style="30" customWidth="1"/>
    <col min="5649" max="5649" width="10.6640625" style="30" customWidth="1"/>
    <col min="5650" max="5650" width="112.5546875" style="30" customWidth="1"/>
    <col min="5651" max="5652" width="10.6640625" style="30" customWidth="1"/>
    <col min="5653" max="5653" width="9.109375" style="30" customWidth="1"/>
    <col min="5654" max="5654" width="11.33203125" style="30" customWidth="1"/>
    <col min="5655" max="5655" width="7.6640625" style="30" customWidth="1"/>
    <col min="5656" max="5660" width="10.6640625" style="30" customWidth="1"/>
    <col min="5661" max="5669" width="8.109375" style="30" customWidth="1"/>
    <col min="5670" max="5670" width="92.21875" style="30" customWidth="1"/>
    <col min="5671" max="5671" width="14.6640625" style="30" customWidth="1"/>
    <col min="5672" max="5672" width="9.6640625" style="30" customWidth="1"/>
    <col min="5673" max="5673" width="13" style="30" customWidth="1"/>
    <col min="5674" max="5674" width="13.33203125" style="30" customWidth="1"/>
    <col min="5675" max="5675" width="24.5546875" style="30" customWidth="1"/>
    <col min="5676" max="5679" width="13.77734375" style="30" customWidth="1"/>
    <col min="5680" max="5686" width="11" style="30" customWidth="1"/>
    <col min="5687" max="5689" width="9" style="30" customWidth="1"/>
    <col min="5690" max="5887" width="8.77734375" style="30"/>
    <col min="5888" max="5888" width="8.6640625" style="30" customWidth="1"/>
    <col min="5889" max="5892" width="0" style="30" hidden="1" customWidth="1"/>
    <col min="5893" max="5894" width="18" style="30" customWidth="1"/>
    <col min="5895" max="5895" width="11.109375" style="30" customWidth="1"/>
    <col min="5896" max="5896" width="10.77734375" style="30" customWidth="1"/>
    <col min="5897" max="5897" width="9.109375" style="30" customWidth="1"/>
    <col min="5898" max="5900" width="10.6640625" style="30" customWidth="1"/>
    <col min="5901" max="5901" width="10.33203125" style="30" customWidth="1"/>
    <col min="5902" max="5902" width="10.6640625" style="30" customWidth="1"/>
    <col min="5903" max="5903" width="8.77734375" style="30" customWidth="1"/>
    <col min="5904" max="5904" width="9.109375" style="30" customWidth="1"/>
    <col min="5905" max="5905" width="10.6640625" style="30" customWidth="1"/>
    <col min="5906" max="5906" width="112.5546875" style="30" customWidth="1"/>
    <col min="5907" max="5908" width="10.6640625" style="30" customWidth="1"/>
    <col min="5909" max="5909" width="9.109375" style="30" customWidth="1"/>
    <col min="5910" max="5910" width="11.33203125" style="30" customWidth="1"/>
    <col min="5911" max="5911" width="7.6640625" style="30" customWidth="1"/>
    <col min="5912" max="5916" width="10.6640625" style="30" customWidth="1"/>
    <col min="5917" max="5925" width="8.109375" style="30" customWidth="1"/>
    <col min="5926" max="5926" width="92.21875" style="30" customWidth="1"/>
    <col min="5927" max="5927" width="14.6640625" style="30" customWidth="1"/>
    <col min="5928" max="5928" width="9.6640625" style="30" customWidth="1"/>
    <col min="5929" max="5929" width="13" style="30" customWidth="1"/>
    <col min="5930" max="5930" width="13.33203125" style="30" customWidth="1"/>
    <col min="5931" max="5931" width="24.5546875" style="30" customWidth="1"/>
    <col min="5932" max="5935" width="13.77734375" style="30" customWidth="1"/>
    <col min="5936" max="5942" width="11" style="30" customWidth="1"/>
    <col min="5943" max="5945" width="9" style="30" customWidth="1"/>
    <col min="5946" max="6143" width="8.77734375" style="30"/>
    <col min="6144" max="6144" width="8.6640625" style="30" customWidth="1"/>
    <col min="6145" max="6148" width="0" style="30" hidden="1" customWidth="1"/>
    <col min="6149" max="6150" width="18" style="30" customWidth="1"/>
    <col min="6151" max="6151" width="11.109375" style="30" customWidth="1"/>
    <col min="6152" max="6152" width="10.77734375" style="30" customWidth="1"/>
    <col min="6153" max="6153" width="9.109375" style="30" customWidth="1"/>
    <col min="6154" max="6156" width="10.6640625" style="30" customWidth="1"/>
    <col min="6157" max="6157" width="10.33203125" style="30" customWidth="1"/>
    <col min="6158" max="6158" width="10.6640625" style="30" customWidth="1"/>
    <col min="6159" max="6159" width="8.77734375" style="30" customWidth="1"/>
    <col min="6160" max="6160" width="9.109375" style="30" customWidth="1"/>
    <col min="6161" max="6161" width="10.6640625" style="30" customWidth="1"/>
    <col min="6162" max="6162" width="112.5546875" style="30" customWidth="1"/>
    <col min="6163" max="6164" width="10.6640625" style="30" customWidth="1"/>
    <col min="6165" max="6165" width="9.109375" style="30" customWidth="1"/>
    <col min="6166" max="6166" width="11.33203125" style="30" customWidth="1"/>
    <col min="6167" max="6167" width="7.6640625" style="30" customWidth="1"/>
    <col min="6168" max="6172" width="10.6640625" style="30" customWidth="1"/>
    <col min="6173" max="6181" width="8.109375" style="30" customWidth="1"/>
    <col min="6182" max="6182" width="92.21875" style="30" customWidth="1"/>
    <col min="6183" max="6183" width="14.6640625" style="30" customWidth="1"/>
    <col min="6184" max="6184" width="9.6640625" style="30" customWidth="1"/>
    <col min="6185" max="6185" width="13" style="30" customWidth="1"/>
    <col min="6186" max="6186" width="13.33203125" style="30" customWidth="1"/>
    <col min="6187" max="6187" width="24.5546875" style="30" customWidth="1"/>
    <col min="6188" max="6191" width="13.77734375" style="30" customWidth="1"/>
    <col min="6192" max="6198" width="11" style="30" customWidth="1"/>
    <col min="6199" max="6201" width="9" style="30" customWidth="1"/>
    <col min="6202" max="6399" width="8.77734375" style="30"/>
    <col min="6400" max="6400" width="8.6640625" style="30" customWidth="1"/>
    <col min="6401" max="6404" width="0" style="30" hidden="1" customWidth="1"/>
    <col min="6405" max="6406" width="18" style="30" customWidth="1"/>
    <col min="6407" max="6407" width="11.109375" style="30" customWidth="1"/>
    <col min="6408" max="6408" width="10.77734375" style="30" customWidth="1"/>
    <col min="6409" max="6409" width="9.109375" style="30" customWidth="1"/>
    <col min="6410" max="6412" width="10.6640625" style="30" customWidth="1"/>
    <col min="6413" max="6413" width="10.33203125" style="30" customWidth="1"/>
    <col min="6414" max="6414" width="10.6640625" style="30" customWidth="1"/>
    <col min="6415" max="6415" width="8.77734375" style="30" customWidth="1"/>
    <col min="6416" max="6416" width="9.109375" style="30" customWidth="1"/>
    <col min="6417" max="6417" width="10.6640625" style="30" customWidth="1"/>
    <col min="6418" max="6418" width="112.5546875" style="30" customWidth="1"/>
    <col min="6419" max="6420" width="10.6640625" style="30" customWidth="1"/>
    <col min="6421" max="6421" width="9.109375" style="30" customWidth="1"/>
    <col min="6422" max="6422" width="11.33203125" style="30" customWidth="1"/>
    <col min="6423" max="6423" width="7.6640625" style="30" customWidth="1"/>
    <col min="6424" max="6428" width="10.6640625" style="30" customWidth="1"/>
    <col min="6429" max="6437" width="8.109375" style="30" customWidth="1"/>
    <col min="6438" max="6438" width="92.21875" style="30" customWidth="1"/>
    <col min="6439" max="6439" width="14.6640625" style="30" customWidth="1"/>
    <col min="6440" max="6440" width="9.6640625" style="30" customWidth="1"/>
    <col min="6441" max="6441" width="13" style="30" customWidth="1"/>
    <col min="6442" max="6442" width="13.33203125" style="30" customWidth="1"/>
    <col min="6443" max="6443" width="24.5546875" style="30" customWidth="1"/>
    <col min="6444" max="6447" width="13.77734375" style="30" customWidth="1"/>
    <col min="6448" max="6454" width="11" style="30" customWidth="1"/>
    <col min="6455" max="6457" width="9" style="30" customWidth="1"/>
    <col min="6458" max="6655" width="8.77734375" style="30"/>
    <col min="6656" max="6656" width="8.6640625" style="30" customWidth="1"/>
    <col min="6657" max="6660" width="0" style="30" hidden="1" customWidth="1"/>
    <col min="6661" max="6662" width="18" style="30" customWidth="1"/>
    <col min="6663" max="6663" width="11.109375" style="30" customWidth="1"/>
    <col min="6664" max="6664" width="10.77734375" style="30" customWidth="1"/>
    <col min="6665" max="6665" width="9.109375" style="30" customWidth="1"/>
    <col min="6666" max="6668" width="10.6640625" style="30" customWidth="1"/>
    <col min="6669" max="6669" width="10.33203125" style="30" customWidth="1"/>
    <col min="6670" max="6670" width="10.6640625" style="30" customWidth="1"/>
    <col min="6671" max="6671" width="8.77734375" style="30" customWidth="1"/>
    <col min="6672" max="6672" width="9.109375" style="30" customWidth="1"/>
    <col min="6673" max="6673" width="10.6640625" style="30" customWidth="1"/>
    <col min="6674" max="6674" width="112.5546875" style="30" customWidth="1"/>
    <col min="6675" max="6676" width="10.6640625" style="30" customWidth="1"/>
    <col min="6677" max="6677" width="9.109375" style="30" customWidth="1"/>
    <col min="6678" max="6678" width="11.33203125" style="30" customWidth="1"/>
    <col min="6679" max="6679" width="7.6640625" style="30" customWidth="1"/>
    <col min="6680" max="6684" width="10.6640625" style="30" customWidth="1"/>
    <col min="6685" max="6693" width="8.109375" style="30" customWidth="1"/>
    <col min="6694" max="6694" width="92.21875" style="30" customWidth="1"/>
    <col min="6695" max="6695" width="14.6640625" style="30" customWidth="1"/>
    <col min="6696" max="6696" width="9.6640625" style="30" customWidth="1"/>
    <col min="6697" max="6697" width="13" style="30" customWidth="1"/>
    <col min="6698" max="6698" width="13.33203125" style="30" customWidth="1"/>
    <col min="6699" max="6699" width="24.5546875" style="30" customWidth="1"/>
    <col min="6700" max="6703" width="13.77734375" style="30" customWidth="1"/>
    <col min="6704" max="6710" width="11" style="30" customWidth="1"/>
    <col min="6711" max="6713" width="9" style="30" customWidth="1"/>
    <col min="6714" max="6911" width="8.77734375" style="30"/>
    <col min="6912" max="6912" width="8.6640625" style="30" customWidth="1"/>
    <col min="6913" max="6916" width="0" style="30" hidden="1" customWidth="1"/>
    <col min="6917" max="6918" width="18" style="30" customWidth="1"/>
    <col min="6919" max="6919" width="11.109375" style="30" customWidth="1"/>
    <col min="6920" max="6920" width="10.77734375" style="30" customWidth="1"/>
    <col min="6921" max="6921" width="9.109375" style="30" customWidth="1"/>
    <col min="6922" max="6924" width="10.6640625" style="30" customWidth="1"/>
    <col min="6925" max="6925" width="10.33203125" style="30" customWidth="1"/>
    <col min="6926" max="6926" width="10.6640625" style="30" customWidth="1"/>
    <col min="6927" max="6927" width="8.77734375" style="30" customWidth="1"/>
    <col min="6928" max="6928" width="9.109375" style="30" customWidth="1"/>
    <col min="6929" max="6929" width="10.6640625" style="30" customWidth="1"/>
    <col min="6930" max="6930" width="112.5546875" style="30" customWidth="1"/>
    <col min="6931" max="6932" width="10.6640625" style="30" customWidth="1"/>
    <col min="6933" max="6933" width="9.109375" style="30" customWidth="1"/>
    <col min="6934" max="6934" width="11.33203125" style="30" customWidth="1"/>
    <col min="6935" max="6935" width="7.6640625" style="30" customWidth="1"/>
    <col min="6936" max="6940" width="10.6640625" style="30" customWidth="1"/>
    <col min="6941" max="6949" width="8.109375" style="30" customWidth="1"/>
    <col min="6950" max="6950" width="92.21875" style="30" customWidth="1"/>
    <col min="6951" max="6951" width="14.6640625" style="30" customWidth="1"/>
    <col min="6952" max="6952" width="9.6640625" style="30" customWidth="1"/>
    <col min="6953" max="6953" width="13" style="30" customWidth="1"/>
    <col min="6954" max="6954" width="13.33203125" style="30" customWidth="1"/>
    <col min="6955" max="6955" width="24.5546875" style="30" customWidth="1"/>
    <col min="6956" max="6959" width="13.77734375" style="30" customWidth="1"/>
    <col min="6960" max="6966" width="11" style="30" customWidth="1"/>
    <col min="6967" max="6969" width="9" style="30" customWidth="1"/>
    <col min="6970" max="7167" width="8.77734375" style="30"/>
    <col min="7168" max="7168" width="8.6640625" style="30" customWidth="1"/>
    <col min="7169" max="7172" width="0" style="30" hidden="1" customWidth="1"/>
    <col min="7173" max="7174" width="18" style="30" customWidth="1"/>
    <col min="7175" max="7175" width="11.109375" style="30" customWidth="1"/>
    <col min="7176" max="7176" width="10.77734375" style="30" customWidth="1"/>
    <col min="7177" max="7177" width="9.109375" style="30" customWidth="1"/>
    <col min="7178" max="7180" width="10.6640625" style="30" customWidth="1"/>
    <col min="7181" max="7181" width="10.33203125" style="30" customWidth="1"/>
    <col min="7182" max="7182" width="10.6640625" style="30" customWidth="1"/>
    <col min="7183" max="7183" width="8.77734375" style="30" customWidth="1"/>
    <col min="7184" max="7184" width="9.109375" style="30" customWidth="1"/>
    <col min="7185" max="7185" width="10.6640625" style="30" customWidth="1"/>
    <col min="7186" max="7186" width="112.5546875" style="30" customWidth="1"/>
    <col min="7187" max="7188" width="10.6640625" style="30" customWidth="1"/>
    <col min="7189" max="7189" width="9.109375" style="30" customWidth="1"/>
    <col min="7190" max="7190" width="11.33203125" style="30" customWidth="1"/>
    <col min="7191" max="7191" width="7.6640625" style="30" customWidth="1"/>
    <col min="7192" max="7196" width="10.6640625" style="30" customWidth="1"/>
    <col min="7197" max="7205" width="8.109375" style="30" customWidth="1"/>
    <col min="7206" max="7206" width="92.21875" style="30" customWidth="1"/>
    <col min="7207" max="7207" width="14.6640625" style="30" customWidth="1"/>
    <col min="7208" max="7208" width="9.6640625" style="30" customWidth="1"/>
    <col min="7209" max="7209" width="13" style="30" customWidth="1"/>
    <col min="7210" max="7210" width="13.33203125" style="30" customWidth="1"/>
    <col min="7211" max="7211" width="24.5546875" style="30" customWidth="1"/>
    <col min="7212" max="7215" width="13.77734375" style="30" customWidth="1"/>
    <col min="7216" max="7222" width="11" style="30" customWidth="1"/>
    <col min="7223" max="7225" width="9" style="30" customWidth="1"/>
    <col min="7226" max="7423" width="8.77734375" style="30"/>
    <col min="7424" max="7424" width="8.6640625" style="30" customWidth="1"/>
    <col min="7425" max="7428" width="0" style="30" hidden="1" customWidth="1"/>
    <col min="7429" max="7430" width="18" style="30" customWidth="1"/>
    <col min="7431" max="7431" width="11.109375" style="30" customWidth="1"/>
    <col min="7432" max="7432" width="10.77734375" style="30" customWidth="1"/>
    <col min="7433" max="7433" width="9.109375" style="30" customWidth="1"/>
    <col min="7434" max="7436" width="10.6640625" style="30" customWidth="1"/>
    <col min="7437" max="7437" width="10.33203125" style="30" customWidth="1"/>
    <col min="7438" max="7438" width="10.6640625" style="30" customWidth="1"/>
    <col min="7439" max="7439" width="8.77734375" style="30" customWidth="1"/>
    <col min="7440" max="7440" width="9.109375" style="30" customWidth="1"/>
    <col min="7441" max="7441" width="10.6640625" style="30" customWidth="1"/>
    <col min="7442" max="7442" width="112.5546875" style="30" customWidth="1"/>
    <col min="7443" max="7444" width="10.6640625" style="30" customWidth="1"/>
    <col min="7445" max="7445" width="9.109375" style="30" customWidth="1"/>
    <col min="7446" max="7446" width="11.33203125" style="30" customWidth="1"/>
    <col min="7447" max="7447" width="7.6640625" style="30" customWidth="1"/>
    <col min="7448" max="7452" width="10.6640625" style="30" customWidth="1"/>
    <col min="7453" max="7461" width="8.109375" style="30" customWidth="1"/>
    <col min="7462" max="7462" width="92.21875" style="30" customWidth="1"/>
    <col min="7463" max="7463" width="14.6640625" style="30" customWidth="1"/>
    <col min="7464" max="7464" width="9.6640625" style="30" customWidth="1"/>
    <col min="7465" max="7465" width="13" style="30" customWidth="1"/>
    <col min="7466" max="7466" width="13.33203125" style="30" customWidth="1"/>
    <col min="7467" max="7467" width="24.5546875" style="30" customWidth="1"/>
    <col min="7468" max="7471" width="13.77734375" style="30" customWidth="1"/>
    <col min="7472" max="7478" width="11" style="30" customWidth="1"/>
    <col min="7479" max="7481" width="9" style="30" customWidth="1"/>
    <col min="7482" max="7679" width="8.77734375" style="30"/>
    <col min="7680" max="7680" width="8.6640625" style="30" customWidth="1"/>
    <col min="7681" max="7684" width="0" style="30" hidden="1" customWidth="1"/>
    <col min="7685" max="7686" width="18" style="30" customWidth="1"/>
    <col min="7687" max="7687" width="11.109375" style="30" customWidth="1"/>
    <col min="7688" max="7688" width="10.77734375" style="30" customWidth="1"/>
    <col min="7689" max="7689" width="9.109375" style="30" customWidth="1"/>
    <col min="7690" max="7692" width="10.6640625" style="30" customWidth="1"/>
    <col min="7693" max="7693" width="10.33203125" style="30" customWidth="1"/>
    <col min="7694" max="7694" width="10.6640625" style="30" customWidth="1"/>
    <col min="7695" max="7695" width="8.77734375" style="30" customWidth="1"/>
    <col min="7696" max="7696" width="9.109375" style="30" customWidth="1"/>
    <col min="7697" max="7697" width="10.6640625" style="30" customWidth="1"/>
    <col min="7698" max="7698" width="112.5546875" style="30" customWidth="1"/>
    <col min="7699" max="7700" width="10.6640625" style="30" customWidth="1"/>
    <col min="7701" max="7701" width="9.109375" style="30" customWidth="1"/>
    <col min="7702" max="7702" width="11.33203125" style="30" customWidth="1"/>
    <col min="7703" max="7703" width="7.6640625" style="30" customWidth="1"/>
    <col min="7704" max="7708" width="10.6640625" style="30" customWidth="1"/>
    <col min="7709" max="7717" width="8.109375" style="30" customWidth="1"/>
    <col min="7718" max="7718" width="92.21875" style="30" customWidth="1"/>
    <col min="7719" max="7719" width="14.6640625" style="30" customWidth="1"/>
    <col min="7720" max="7720" width="9.6640625" style="30" customWidth="1"/>
    <col min="7721" max="7721" width="13" style="30" customWidth="1"/>
    <col min="7722" max="7722" width="13.33203125" style="30" customWidth="1"/>
    <col min="7723" max="7723" width="24.5546875" style="30" customWidth="1"/>
    <col min="7724" max="7727" width="13.77734375" style="30" customWidth="1"/>
    <col min="7728" max="7734" width="11" style="30" customWidth="1"/>
    <col min="7735" max="7737" width="9" style="30" customWidth="1"/>
    <col min="7738" max="7935" width="8.77734375" style="30"/>
    <col min="7936" max="7936" width="8.6640625" style="30" customWidth="1"/>
    <col min="7937" max="7940" width="0" style="30" hidden="1" customWidth="1"/>
    <col min="7941" max="7942" width="18" style="30" customWidth="1"/>
    <col min="7943" max="7943" width="11.109375" style="30" customWidth="1"/>
    <col min="7944" max="7944" width="10.77734375" style="30" customWidth="1"/>
    <col min="7945" max="7945" width="9.109375" style="30" customWidth="1"/>
    <col min="7946" max="7948" width="10.6640625" style="30" customWidth="1"/>
    <col min="7949" max="7949" width="10.33203125" style="30" customWidth="1"/>
    <col min="7950" max="7950" width="10.6640625" style="30" customWidth="1"/>
    <col min="7951" max="7951" width="8.77734375" style="30" customWidth="1"/>
    <col min="7952" max="7952" width="9.109375" style="30" customWidth="1"/>
    <col min="7953" max="7953" width="10.6640625" style="30" customWidth="1"/>
    <col min="7954" max="7954" width="112.5546875" style="30" customWidth="1"/>
    <col min="7955" max="7956" width="10.6640625" style="30" customWidth="1"/>
    <col min="7957" max="7957" width="9.109375" style="30" customWidth="1"/>
    <col min="7958" max="7958" width="11.33203125" style="30" customWidth="1"/>
    <col min="7959" max="7959" width="7.6640625" style="30" customWidth="1"/>
    <col min="7960" max="7964" width="10.6640625" style="30" customWidth="1"/>
    <col min="7965" max="7973" width="8.109375" style="30" customWidth="1"/>
    <col min="7974" max="7974" width="92.21875" style="30" customWidth="1"/>
    <col min="7975" max="7975" width="14.6640625" style="30" customWidth="1"/>
    <col min="7976" max="7976" width="9.6640625" style="30" customWidth="1"/>
    <col min="7977" max="7977" width="13" style="30" customWidth="1"/>
    <col min="7978" max="7978" width="13.33203125" style="30" customWidth="1"/>
    <col min="7979" max="7979" width="24.5546875" style="30" customWidth="1"/>
    <col min="7980" max="7983" width="13.77734375" style="30" customWidth="1"/>
    <col min="7984" max="7990" width="11" style="30" customWidth="1"/>
    <col min="7991" max="7993" width="9" style="30" customWidth="1"/>
    <col min="7994" max="8191" width="8.77734375" style="30"/>
    <col min="8192" max="8192" width="8.6640625" style="30" customWidth="1"/>
    <col min="8193" max="8196" width="0" style="30" hidden="1" customWidth="1"/>
    <col min="8197" max="8198" width="18" style="30" customWidth="1"/>
    <col min="8199" max="8199" width="11.109375" style="30" customWidth="1"/>
    <col min="8200" max="8200" width="10.77734375" style="30" customWidth="1"/>
    <col min="8201" max="8201" width="9.109375" style="30" customWidth="1"/>
    <col min="8202" max="8204" width="10.6640625" style="30" customWidth="1"/>
    <col min="8205" max="8205" width="10.33203125" style="30" customWidth="1"/>
    <col min="8206" max="8206" width="10.6640625" style="30" customWidth="1"/>
    <col min="8207" max="8207" width="8.77734375" style="30" customWidth="1"/>
    <col min="8208" max="8208" width="9.109375" style="30" customWidth="1"/>
    <col min="8209" max="8209" width="10.6640625" style="30" customWidth="1"/>
    <col min="8210" max="8210" width="112.5546875" style="30" customWidth="1"/>
    <col min="8211" max="8212" width="10.6640625" style="30" customWidth="1"/>
    <col min="8213" max="8213" width="9.109375" style="30" customWidth="1"/>
    <col min="8214" max="8214" width="11.33203125" style="30" customWidth="1"/>
    <col min="8215" max="8215" width="7.6640625" style="30" customWidth="1"/>
    <col min="8216" max="8220" width="10.6640625" style="30" customWidth="1"/>
    <col min="8221" max="8229" width="8.109375" style="30" customWidth="1"/>
    <col min="8230" max="8230" width="92.21875" style="30" customWidth="1"/>
    <col min="8231" max="8231" width="14.6640625" style="30" customWidth="1"/>
    <col min="8232" max="8232" width="9.6640625" style="30" customWidth="1"/>
    <col min="8233" max="8233" width="13" style="30" customWidth="1"/>
    <col min="8234" max="8234" width="13.33203125" style="30" customWidth="1"/>
    <col min="8235" max="8235" width="24.5546875" style="30" customWidth="1"/>
    <col min="8236" max="8239" width="13.77734375" style="30" customWidth="1"/>
    <col min="8240" max="8246" width="11" style="30" customWidth="1"/>
    <col min="8247" max="8249" width="9" style="30" customWidth="1"/>
    <col min="8250" max="8447" width="8.77734375" style="30"/>
    <col min="8448" max="8448" width="8.6640625" style="30" customWidth="1"/>
    <col min="8449" max="8452" width="0" style="30" hidden="1" customWidth="1"/>
    <col min="8453" max="8454" width="18" style="30" customWidth="1"/>
    <col min="8455" max="8455" width="11.109375" style="30" customWidth="1"/>
    <col min="8456" max="8456" width="10.77734375" style="30" customWidth="1"/>
    <col min="8457" max="8457" width="9.109375" style="30" customWidth="1"/>
    <col min="8458" max="8460" width="10.6640625" style="30" customWidth="1"/>
    <col min="8461" max="8461" width="10.33203125" style="30" customWidth="1"/>
    <col min="8462" max="8462" width="10.6640625" style="30" customWidth="1"/>
    <col min="8463" max="8463" width="8.77734375" style="30" customWidth="1"/>
    <col min="8464" max="8464" width="9.109375" style="30" customWidth="1"/>
    <col min="8465" max="8465" width="10.6640625" style="30" customWidth="1"/>
    <col min="8466" max="8466" width="112.5546875" style="30" customWidth="1"/>
    <col min="8467" max="8468" width="10.6640625" style="30" customWidth="1"/>
    <col min="8469" max="8469" width="9.109375" style="30" customWidth="1"/>
    <col min="8470" max="8470" width="11.33203125" style="30" customWidth="1"/>
    <col min="8471" max="8471" width="7.6640625" style="30" customWidth="1"/>
    <col min="8472" max="8476" width="10.6640625" style="30" customWidth="1"/>
    <col min="8477" max="8485" width="8.109375" style="30" customWidth="1"/>
    <col min="8486" max="8486" width="92.21875" style="30" customWidth="1"/>
    <col min="8487" max="8487" width="14.6640625" style="30" customWidth="1"/>
    <col min="8488" max="8488" width="9.6640625" style="30" customWidth="1"/>
    <col min="8489" max="8489" width="13" style="30" customWidth="1"/>
    <col min="8490" max="8490" width="13.33203125" style="30" customWidth="1"/>
    <col min="8491" max="8491" width="24.5546875" style="30" customWidth="1"/>
    <col min="8492" max="8495" width="13.77734375" style="30" customWidth="1"/>
    <col min="8496" max="8502" width="11" style="30" customWidth="1"/>
    <col min="8503" max="8505" width="9" style="30" customWidth="1"/>
    <col min="8506" max="8703" width="8.77734375" style="30"/>
    <col min="8704" max="8704" width="8.6640625" style="30" customWidth="1"/>
    <col min="8705" max="8708" width="0" style="30" hidden="1" customWidth="1"/>
    <col min="8709" max="8710" width="18" style="30" customWidth="1"/>
    <col min="8711" max="8711" width="11.109375" style="30" customWidth="1"/>
    <col min="8712" max="8712" width="10.77734375" style="30" customWidth="1"/>
    <col min="8713" max="8713" width="9.109375" style="30" customWidth="1"/>
    <col min="8714" max="8716" width="10.6640625" style="30" customWidth="1"/>
    <col min="8717" max="8717" width="10.33203125" style="30" customWidth="1"/>
    <col min="8718" max="8718" width="10.6640625" style="30" customWidth="1"/>
    <col min="8719" max="8719" width="8.77734375" style="30" customWidth="1"/>
    <col min="8720" max="8720" width="9.109375" style="30" customWidth="1"/>
    <col min="8721" max="8721" width="10.6640625" style="30" customWidth="1"/>
    <col min="8722" max="8722" width="112.5546875" style="30" customWidth="1"/>
    <col min="8723" max="8724" width="10.6640625" style="30" customWidth="1"/>
    <col min="8725" max="8725" width="9.109375" style="30" customWidth="1"/>
    <col min="8726" max="8726" width="11.33203125" style="30" customWidth="1"/>
    <col min="8727" max="8727" width="7.6640625" style="30" customWidth="1"/>
    <col min="8728" max="8732" width="10.6640625" style="30" customWidth="1"/>
    <col min="8733" max="8741" width="8.109375" style="30" customWidth="1"/>
    <col min="8742" max="8742" width="92.21875" style="30" customWidth="1"/>
    <col min="8743" max="8743" width="14.6640625" style="30" customWidth="1"/>
    <col min="8744" max="8744" width="9.6640625" style="30" customWidth="1"/>
    <col min="8745" max="8745" width="13" style="30" customWidth="1"/>
    <col min="8746" max="8746" width="13.33203125" style="30" customWidth="1"/>
    <col min="8747" max="8747" width="24.5546875" style="30" customWidth="1"/>
    <col min="8748" max="8751" width="13.77734375" style="30" customWidth="1"/>
    <col min="8752" max="8758" width="11" style="30" customWidth="1"/>
    <col min="8759" max="8761" width="9" style="30" customWidth="1"/>
    <col min="8762" max="8959" width="8.77734375" style="30"/>
    <col min="8960" max="8960" width="8.6640625" style="30" customWidth="1"/>
    <col min="8961" max="8964" width="0" style="30" hidden="1" customWidth="1"/>
    <col min="8965" max="8966" width="18" style="30" customWidth="1"/>
    <col min="8967" max="8967" width="11.109375" style="30" customWidth="1"/>
    <col min="8968" max="8968" width="10.77734375" style="30" customWidth="1"/>
    <col min="8969" max="8969" width="9.109375" style="30" customWidth="1"/>
    <col min="8970" max="8972" width="10.6640625" style="30" customWidth="1"/>
    <col min="8973" max="8973" width="10.33203125" style="30" customWidth="1"/>
    <col min="8974" max="8974" width="10.6640625" style="30" customWidth="1"/>
    <col min="8975" max="8975" width="8.77734375" style="30" customWidth="1"/>
    <col min="8976" max="8976" width="9.109375" style="30" customWidth="1"/>
    <col min="8977" max="8977" width="10.6640625" style="30" customWidth="1"/>
    <col min="8978" max="8978" width="112.5546875" style="30" customWidth="1"/>
    <col min="8979" max="8980" width="10.6640625" style="30" customWidth="1"/>
    <col min="8981" max="8981" width="9.109375" style="30" customWidth="1"/>
    <col min="8982" max="8982" width="11.33203125" style="30" customWidth="1"/>
    <col min="8983" max="8983" width="7.6640625" style="30" customWidth="1"/>
    <col min="8984" max="8988" width="10.6640625" style="30" customWidth="1"/>
    <col min="8989" max="8997" width="8.109375" style="30" customWidth="1"/>
    <col min="8998" max="8998" width="92.21875" style="30" customWidth="1"/>
    <col min="8999" max="8999" width="14.6640625" style="30" customWidth="1"/>
    <col min="9000" max="9000" width="9.6640625" style="30" customWidth="1"/>
    <col min="9001" max="9001" width="13" style="30" customWidth="1"/>
    <col min="9002" max="9002" width="13.33203125" style="30" customWidth="1"/>
    <col min="9003" max="9003" width="24.5546875" style="30" customWidth="1"/>
    <col min="9004" max="9007" width="13.77734375" style="30" customWidth="1"/>
    <col min="9008" max="9014" width="11" style="30" customWidth="1"/>
    <col min="9015" max="9017" width="9" style="30" customWidth="1"/>
    <col min="9018" max="9215" width="8.77734375" style="30"/>
    <col min="9216" max="9216" width="8.6640625" style="30" customWidth="1"/>
    <col min="9217" max="9220" width="0" style="30" hidden="1" customWidth="1"/>
    <col min="9221" max="9222" width="18" style="30" customWidth="1"/>
    <col min="9223" max="9223" width="11.109375" style="30" customWidth="1"/>
    <col min="9224" max="9224" width="10.77734375" style="30" customWidth="1"/>
    <col min="9225" max="9225" width="9.109375" style="30" customWidth="1"/>
    <col min="9226" max="9228" width="10.6640625" style="30" customWidth="1"/>
    <col min="9229" max="9229" width="10.33203125" style="30" customWidth="1"/>
    <col min="9230" max="9230" width="10.6640625" style="30" customWidth="1"/>
    <col min="9231" max="9231" width="8.77734375" style="30" customWidth="1"/>
    <col min="9232" max="9232" width="9.109375" style="30" customWidth="1"/>
    <col min="9233" max="9233" width="10.6640625" style="30" customWidth="1"/>
    <col min="9234" max="9234" width="112.5546875" style="30" customWidth="1"/>
    <col min="9235" max="9236" width="10.6640625" style="30" customWidth="1"/>
    <col min="9237" max="9237" width="9.109375" style="30" customWidth="1"/>
    <col min="9238" max="9238" width="11.33203125" style="30" customWidth="1"/>
    <col min="9239" max="9239" width="7.6640625" style="30" customWidth="1"/>
    <col min="9240" max="9244" width="10.6640625" style="30" customWidth="1"/>
    <col min="9245" max="9253" width="8.109375" style="30" customWidth="1"/>
    <col min="9254" max="9254" width="92.21875" style="30" customWidth="1"/>
    <col min="9255" max="9255" width="14.6640625" style="30" customWidth="1"/>
    <col min="9256" max="9256" width="9.6640625" style="30" customWidth="1"/>
    <col min="9257" max="9257" width="13" style="30" customWidth="1"/>
    <col min="9258" max="9258" width="13.33203125" style="30" customWidth="1"/>
    <col min="9259" max="9259" width="24.5546875" style="30" customWidth="1"/>
    <col min="9260" max="9263" width="13.77734375" style="30" customWidth="1"/>
    <col min="9264" max="9270" width="11" style="30" customWidth="1"/>
    <col min="9271" max="9273" width="9" style="30" customWidth="1"/>
    <col min="9274" max="9471" width="8.77734375" style="30"/>
    <col min="9472" max="9472" width="8.6640625" style="30" customWidth="1"/>
    <col min="9473" max="9476" width="0" style="30" hidden="1" customWidth="1"/>
    <col min="9477" max="9478" width="18" style="30" customWidth="1"/>
    <col min="9479" max="9479" width="11.109375" style="30" customWidth="1"/>
    <col min="9480" max="9480" width="10.77734375" style="30" customWidth="1"/>
    <col min="9481" max="9481" width="9.109375" style="30" customWidth="1"/>
    <col min="9482" max="9484" width="10.6640625" style="30" customWidth="1"/>
    <col min="9485" max="9485" width="10.33203125" style="30" customWidth="1"/>
    <col min="9486" max="9486" width="10.6640625" style="30" customWidth="1"/>
    <col min="9487" max="9487" width="8.77734375" style="30" customWidth="1"/>
    <col min="9488" max="9488" width="9.109375" style="30" customWidth="1"/>
    <col min="9489" max="9489" width="10.6640625" style="30" customWidth="1"/>
    <col min="9490" max="9490" width="112.5546875" style="30" customWidth="1"/>
    <col min="9491" max="9492" width="10.6640625" style="30" customWidth="1"/>
    <col min="9493" max="9493" width="9.109375" style="30" customWidth="1"/>
    <col min="9494" max="9494" width="11.33203125" style="30" customWidth="1"/>
    <col min="9495" max="9495" width="7.6640625" style="30" customWidth="1"/>
    <col min="9496" max="9500" width="10.6640625" style="30" customWidth="1"/>
    <col min="9501" max="9509" width="8.109375" style="30" customWidth="1"/>
    <col min="9510" max="9510" width="92.21875" style="30" customWidth="1"/>
    <col min="9511" max="9511" width="14.6640625" style="30" customWidth="1"/>
    <col min="9512" max="9512" width="9.6640625" style="30" customWidth="1"/>
    <col min="9513" max="9513" width="13" style="30" customWidth="1"/>
    <col min="9514" max="9514" width="13.33203125" style="30" customWidth="1"/>
    <col min="9515" max="9515" width="24.5546875" style="30" customWidth="1"/>
    <col min="9516" max="9519" width="13.77734375" style="30" customWidth="1"/>
    <col min="9520" max="9526" width="11" style="30" customWidth="1"/>
    <col min="9527" max="9529" width="9" style="30" customWidth="1"/>
    <col min="9530" max="9727" width="8.77734375" style="30"/>
    <col min="9728" max="9728" width="8.6640625" style="30" customWidth="1"/>
    <col min="9729" max="9732" width="0" style="30" hidden="1" customWidth="1"/>
    <col min="9733" max="9734" width="18" style="30" customWidth="1"/>
    <col min="9735" max="9735" width="11.109375" style="30" customWidth="1"/>
    <col min="9736" max="9736" width="10.77734375" style="30" customWidth="1"/>
    <col min="9737" max="9737" width="9.109375" style="30" customWidth="1"/>
    <col min="9738" max="9740" width="10.6640625" style="30" customWidth="1"/>
    <col min="9741" max="9741" width="10.33203125" style="30" customWidth="1"/>
    <col min="9742" max="9742" width="10.6640625" style="30" customWidth="1"/>
    <col min="9743" max="9743" width="8.77734375" style="30" customWidth="1"/>
    <col min="9744" max="9744" width="9.109375" style="30" customWidth="1"/>
    <col min="9745" max="9745" width="10.6640625" style="30" customWidth="1"/>
    <col min="9746" max="9746" width="112.5546875" style="30" customWidth="1"/>
    <col min="9747" max="9748" width="10.6640625" style="30" customWidth="1"/>
    <col min="9749" max="9749" width="9.109375" style="30" customWidth="1"/>
    <col min="9750" max="9750" width="11.33203125" style="30" customWidth="1"/>
    <col min="9751" max="9751" width="7.6640625" style="30" customWidth="1"/>
    <col min="9752" max="9756" width="10.6640625" style="30" customWidth="1"/>
    <col min="9757" max="9765" width="8.109375" style="30" customWidth="1"/>
    <col min="9766" max="9766" width="92.21875" style="30" customWidth="1"/>
    <col min="9767" max="9767" width="14.6640625" style="30" customWidth="1"/>
    <col min="9768" max="9768" width="9.6640625" style="30" customWidth="1"/>
    <col min="9769" max="9769" width="13" style="30" customWidth="1"/>
    <col min="9770" max="9770" width="13.33203125" style="30" customWidth="1"/>
    <col min="9771" max="9771" width="24.5546875" style="30" customWidth="1"/>
    <col min="9772" max="9775" width="13.77734375" style="30" customWidth="1"/>
    <col min="9776" max="9782" width="11" style="30" customWidth="1"/>
    <col min="9783" max="9785" width="9" style="30" customWidth="1"/>
    <col min="9786" max="9983" width="8.77734375" style="30"/>
    <col min="9984" max="9984" width="8.6640625" style="30" customWidth="1"/>
    <col min="9985" max="9988" width="0" style="30" hidden="1" customWidth="1"/>
    <col min="9989" max="9990" width="18" style="30" customWidth="1"/>
    <col min="9991" max="9991" width="11.109375" style="30" customWidth="1"/>
    <col min="9992" max="9992" width="10.77734375" style="30" customWidth="1"/>
    <col min="9993" max="9993" width="9.109375" style="30" customWidth="1"/>
    <col min="9994" max="9996" width="10.6640625" style="30" customWidth="1"/>
    <col min="9997" max="9997" width="10.33203125" style="30" customWidth="1"/>
    <col min="9998" max="9998" width="10.6640625" style="30" customWidth="1"/>
    <col min="9999" max="9999" width="8.77734375" style="30" customWidth="1"/>
    <col min="10000" max="10000" width="9.109375" style="30" customWidth="1"/>
    <col min="10001" max="10001" width="10.6640625" style="30" customWidth="1"/>
    <col min="10002" max="10002" width="112.5546875" style="30" customWidth="1"/>
    <col min="10003" max="10004" width="10.6640625" style="30" customWidth="1"/>
    <col min="10005" max="10005" width="9.109375" style="30" customWidth="1"/>
    <col min="10006" max="10006" width="11.33203125" style="30" customWidth="1"/>
    <col min="10007" max="10007" width="7.6640625" style="30" customWidth="1"/>
    <col min="10008" max="10012" width="10.6640625" style="30" customWidth="1"/>
    <col min="10013" max="10021" width="8.109375" style="30" customWidth="1"/>
    <col min="10022" max="10022" width="92.21875" style="30" customWidth="1"/>
    <col min="10023" max="10023" width="14.6640625" style="30" customWidth="1"/>
    <col min="10024" max="10024" width="9.6640625" style="30" customWidth="1"/>
    <col min="10025" max="10025" width="13" style="30" customWidth="1"/>
    <col min="10026" max="10026" width="13.33203125" style="30" customWidth="1"/>
    <col min="10027" max="10027" width="24.5546875" style="30" customWidth="1"/>
    <col min="10028" max="10031" width="13.77734375" style="30" customWidth="1"/>
    <col min="10032" max="10038" width="11" style="30" customWidth="1"/>
    <col min="10039" max="10041" width="9" style="30" customWidth="1"/>
    <col min="10042" max="10239" width="8.77734375" style="30"/>
    <col min="10240" max="10240" width="8.6640625" style="30" customWidth="1"/>
    <col min="10241" max="10244" width="0" style="30" hidden="1" customWidth="1"/>
    <col min="10245" max="10246" width="18" style="30" customWidth="1"/>
    <col min="10247" max="10247" width="11.109375" style="30" customWidth="1"/>
    <col min="10248" max="10248" width="10.77734375" style="30" customWidth="1"/>
    <col min="10249" max="10249" width="9.109375" style="30" customWidth="1"/>
    <col min="10250" max="10252" width="10.6640625" style="30" customWidth="1"/>
    <col min="10253" max="10253" width="10.33203125" style="30" customWidth="1"/>
    <col min="10254" max="10254" width="10.6640625" style="30" customWidth="1"/>
    <col min="10255" max="10255" width="8.77734375" style="30" customWidth="1"/>
    <col min="10256" max="10256" width="9.109375" style="30" customWidth="1"/>
    <col min="10257" max="10257" width="10.6640625" style="30" customWidth="1"/>
    <col min="10258" max="10258" width="112.5546875" style="30" customWidth="1"/>
    <col min="10259" max="10260" width="10.6640625" style="30" customWidth="1"/>
    <col min="10261" max="10261" width="9.109375" style="30" customWidth="1"/>
    <col min="10262" max="10262" width="11.33203125" style="30" customWidth="1"/>
    <col min="10263" max="10263" width="7.6640625" style="30" customWidth="1"/>
    <col min="10264" max="10268" width="10.6640625" style="30" customWidth="1"/>
    <col min="10269" max="10277" width="8.109375" style="30" customWidth="1"/>
    <col min="10278" max="10278" width="92.21875" style="30" customWidth="1"/>
    <col min="10279" max="10279" width="14.6640625" style="30" customWidth="1"/>
    <col min="10280" max="10280" width="9.6640625" style="30" customWidth="1"/>
    <col min="10281" max="10281" width="13" style="30" customWidth="1"/>
    <col min="10282" max="10282" width="13.33203125" style="30" customWidth="1"/>
    <col min="10283" max="10283" width="24.5546875" style="30" customWidth="1"/>
    <col min="10284" max="10287" width="13.77734375" style="30" customWidth="1"/>
    <col min="10288" max="10294" width="11" style="30" customWidth="1"/>
    <col min="10295" max="10297" width="9" style="30" customWidth="1"/>
    <col min="10298" max="10495" width="8.77734375" style="30"/>
    <col min="10496" max="10496" width="8.6640625" style="30" customWidth="1"/>
    <col min="10497" max="10500" width="0" style="30" hidden="1" customWidth="1"/>
    <col min="10501" max="10502" width="18" style="30" customWidth="1"/>
    <col min="10503" max="10503" width="11.109375" style="30" customWidth="1"/>
    <col min="10504" max="10504" width="10.77734375" style="30" customWidth="1"/>
    <col min="10505" max="10505" width="9.109375" style="30" customWidth="1"/>
    <col min="10506" max="10508" width="10.6640625" style="30" customWidth="1"/>
    <col min="10509" max="10509" width="10.33203125" style="30" customWidth="1"/>
    <col min="10510" max="10510" width="10.6640625" style="30" customWidth="1"/>
    <col min="10511" max="10511" width="8.77734375" style="30" customWidth="1"/>
    <col min="10512" max="10512" width="9.109375" style="30" customWidth="1"/>
    <col min="10513" max="10513" width="10.6640625" style="30" customWidth="1"/>
    <col min="10514" max="10514" width="112.5546875" style="30" customWidth="1"/>
    <col min="10515" max="10516" width="10.6640625" style="30" customWidth="1"/>
    <col min="10517" max="10517" width="9.109375" style="30" customWidth="1"/>
    <col min="10518" max="10518" width="11.33203125" style="30" customWidth="1"/>
    <col min="10519" max="10519" width="7.6640625" style="30" customWidth="1"/>
    <col min="10520" max="10524" width="10.6640625" style="30" customWidth="1"/>
    <col min="10525" max="10533" width="8.109375" style="30" customWidth="1"/>
    <col min="10534" max="10534" width="92.21875" style="30" customWidth="1"/>
    <col min="10535" max="10535" width="14.6640625" style="30" customWidth="1"/>
    <col min="10536" max="10536" width="9.6640625" style="30" customWidth="1"/>
    <col min="10537" max="10537" width="13" style="30" customWidth="1"/>
    <col min="10538" max="10538" width="13.33203125" style="30" customWidth="1"/>
    <col min="10539" max="10539" width="24.5546875" style="30" customWidth="1"/>
    <col min="10540" max="10543" width="13.77734375" style="30" customWidth="1"/>
    <col min="10544" max="10550" width="11" style="30" customWidth="1"/>
    <col min="10551" max="10553" width="9" style="30" customWidth="1"/>
    <col min="10554" max="10751" width="8.77734375" style="30"/>
    <col min="10752" max="10752" width="8.6640625" style="30" customWidth="1"/>
    <col min="10753" max="10756" width="0" style="30" hidden="1" customWidth="1"/>
    <col min="10757" max="10758" width="18" style="30" customWidth="1"/>
    <col min="10759" max="10759" width="11.109375" style="30" customWidth="1"/>
    <col min="10760" max="10760" width="10.77734375" style="30" customWidth="1"/>
    <col min="10761" max="10761" width="9.109375" style="30" customWidth="1"/>
    <col min="10762" max="10764" width="10.6640625" style="30" customWidth="1"/>
    <col min="10765" max="10765" width="10.33203125" style="30" customWidth="1"/>
    <col min="10766" max="10766" width="10.6640625" style="30" customWidth="1"/>
    <col min="10767" max="10767" width="8.77734375" style="30" customWidth="1"/>
    <col min="10768" max="10768" width="9.109375" style="30" customWidth="1"/>
    <col min="10769" max="10769" width="10.6640625" style="30" customWidth="1"/>
    <col min="10770" max="10770" width="112.5546875" style="30" customWidth="1"/>
    <col min="10771" max="10772" width="10.6640625" style="30" customWidth="1"/>
    <col min="10773" max="10773" width="9.109375" style="30" customWidth="1"/>
    <col min="10774" max="10774" width="11.33203125" style="30" customWidth="1"/>
    <col min="10775" max="10775" width="7.6640625" style="30" customWidth="1"/>
    <col min="10776" max="10780" width="10.6640625" style="30" customWidth="1"/>
    <col min="10781" max="10789" width="8.109375" style="30" customWidth="1"/>
    <col min="10790" max="10790" width="92.21875" style="30" customWidth="1"/>
    <col min="10791" max="10791" width="14.6640625" style="30" customWidth="1"/>
    <col min="10792" max="10792" width="9.6640625" style="30" customWidth="1"/>
    <col min="10793" max="10793" width="13" style="30" customWidth="1"/>
    <col min="10794" max="10794" width="13.33203125" style="30" customWidth="1"/>
    <col min="10795" max="10795" width="24.5546875" style="30" customWidth="1"/>
    <col min="10796" max="10799" width="13.77734375" style="30" customWidth="1"/>
    <col min="10800" max="10806" width="11" style="30" customWidth="1"/>
    <col min="10807" max="10809" width="9" style="30" customWidth="1"/>
    <col min="10810" max="11007" width="8.77734375" style="30"/>
    <col min="11008" max="11008" width="8.6640625" style="30" customWidth="1"/>
    <col min="11009" max="11012" width="0" style="30" hidden="1" customWidth="1"/>
    <col min="11013" max="11014" width="18" style="30" customWidth="1"/>
    <col min="11015" max="11015" width="11.109375" style="30" customWidth="1"/>
    <col min="11016" max="11016" width="10.77734375" style="30" customWidth="1"/>
    <col min="11017" max="11017" width="9.109375" style="30" customWidth="1"/>
    <col min="11018" max="11020" width="10.6640625" style="30" customWidth="1"/>
    <col min="11021" max="11021" width="10.33203125" style="30" customWidth="1"/>
    <col min="11022" max="11022" width="10.6640625" style="30" customWidth="1"/>
    <col min="11023" max="11023" width="8.77734375" style="30" customWidth="1"/>
    <col min="11024" max="11024" width="9.109375" style="30" customWidth="1"/>
    <col min="11025" max="11025" width="10.6640625" style="30" customWidth="1"/>
    <col min="11026" max="11026" width="112.5546875" style="30" customWidth="1"/>
    <col min="11027" max="11028" width="10.6640625" style="30" customWidth="1"/>
    <col min="11029" max="11029" width="9.109375" style="30" customWidth="1"/>
    <col min="11030" max="11030" width="11.33203125" style="30" customWidth="1"/>
    <col min="11031" max="11031" width="7.6640625" style="30" customWidth="1"/>
    <col min="11032" max="11036" width="10.6640625" style="30" customWidth="1"/>
    <col min="11037" max="11045" width="8.109375" style="30" customWidth="1"/>
    <col min="11046" max="11046" width="92.21875" style="30" customWidth="1"/>
    <col min="11047" max="11047" width="14.6640625" style="30" customWidth="1"/>
    <col min="11048" max="11048" width="9.6640625" style="30" customWidth="1"/>
    <col min="11049" max="11049" width="13" style="30" customWidth="1"/>
    <col min="11050" max="11050" width="13.33203125" style="30" customWidth="1"/>
    <col min="11051" max="11051" width="24.5546875" style="30" customWidth="1"/>
    <col min="11052" max="11055" width="13.77734375" style="30" customWidth="1"/>
    <col min="11056" max="11062" width="11" style="30" customWidth="1"/>
    <col min="11063" max="11065" width="9" style="30" customWidth="1"/>
    <col min="11066" max="11263" width="8.77734375" style="30"/>
    <col min="11264" max="11264" width="8.6640625" style="30" customWidth="1"/>
    <col min="11265" max="11268" width="0" style="30" hidden="1" customWidth="1"/>
    <col min="11269" max="11270" width="18" style="30" customWidth="1"/>
    <col min="11271" max="11271" width="11.109375" style="30" customWidth="1"/>
    <col min="11272" max="11272" width="10.77734375" style="30" customWidth="1"/>
    <col min="11273" max="11273" width="9.109375" style="30" customWidth="1"/>
    <col min="11274" max="11276" width="10.6640625" style="30" customWidth="1"/>
    <col min="11277" max="11277" width="10.33203125" style="30" customWidth="1"/>
    <col min="11278" max="11278" width="10.6640625" style="30" customWidth="1"/>
    <col min="11279" max="11279" width="8.77734375" style="30" customWidth="1"/>
    <col min="11280" max="11280" width="9.109375" style="30" customWidth="1"/>
    <col min="11281" max="11281" width="10.6640625" style="30" customWidth="1"/>
    <col min="11282" max="11282" width="112.5546875" style="30" customWidth="1"/>
    <col min="11283" max="11284" width="10.6640625" style="30" customWidth="1"/>
    <col min="11285" max="11285" width="9.109375" style="30" customWidth="1"/>
    <col min="11286" max="11286" width="11.33203125" style="30" customWidth="1"/>
    <col min="11287" max="11287" width="7.6640625" style="30" customWidth="1"/>
    <col min="11288" max="11292" width="10.6640625" style="30" customWidth="1"/>
    <col min="11293" max="11301" width="8.109375" style="30" customWidth="1"/>
    <col min="11302" max="11302" width="92.21875" style="30" customWidth="1"/>
    <col min="11303" max="11303" width="14.6640625" style="30" customWidth="1"/>
    <col min="11304" max="11304" width="9.6640625" style="30" customWidth="1"/>
    <col min="11305" max="11305" width="13" style="30" customWidth="1"/>
    <col min="11306" max="11306" width="13.33203125" style="30" customWidth="1"/>
    <col min="11307" max="11307" width="24.5546875" style="30" customWidth="1"/>
    <col min="11308" max="11311" width="13.77734375" style="30" customWidth="1"/>
    <col min="11312" max="11318" width="11" style="30" customWidth="1"/>
    <col min="11319" max="11321" width="9" style="30" customWidth="1"/>
    <col min="11322" max="11519" width="8.77734375" style="30"/>
    <col min="11520" max="11520" width="8.6640625" style="30" customWidth="1"/>
    <col min="11521" max="11524" width="0" style="30" hidden="1" customWidth="1"/>
    <col min="11525" max="11526" width="18" style="30" customWidth="1"/>
    <col min="11527" max="11527" width="11.109375" style="30" customWidth="1"/>
    <col min="11528" max="11528" width="10.77734375" style="30" customWidth="1"/>
    <col min="11529" max="11529" width="9.109375" style="30" customWidth="1"/>
    <col min="11530" max="11532" width="10.6640625" style="30" customWidth="1"/>
    <col min="11533" max="11533" width="10.33203125" style="30" customWidth="1"/>
    <col min="11534" max="11534" width="10.6640625" style="30" customWidth="1"/>
    <col min="11535" max="11535" width="8.77734375" style="30" customWidth="1"/>
    <col min="11536" max="11536" width="9.109375" style="30" customWidth="1"/>
    <col min="11537" max="11537" width="10.6640625" style="30" customWidth="1"/>
    <col min="11538" max="11538" width="112.5546875" style="30" customWidth="1"/>
    <col min="11539" max="11540" width="10.6640625" style="30" customWidth="1"/>
    <col min="11541" max="11541" width="9.109375" style="30" customWidth="1"/>
    <col min="11542" max="11542" width="11.33203125" style="30" customWidth="1"/>
    <col min="11543" max="11543" width="7.6640625" style="30" customWidth="1"/>
    <col min="11544" max="11548" width="10.6640625" style="30" customWidth="1"/>
    <col min="11549" max="11557" width="8.109375" style="30" customWidth="1"/>
    <col min="11558" max="11558" width="92.21875" style="30" customWidth="1"/>
    <col min="11559" max="11559" width="14.6640625" style="30" customWidth="1"/>
    <col min="11560" max="11560" width="9.6640625" style="30" customWidth="1"/>
    <col min="11561" max="11561" width="13" style="30" customWidth="1"/>
    <col min="11562" max="11562" width="13.33203125" style="30" customWidth="1"/>
    <col min="11563" max="11563" width="24.5546875" style="30" customWidth="1"/>
    <col min="11564" max="11567" width="13.77734375" style="30" customWidth="1"/>
    <col min="11568" max="11574" width="11" style="30" customWidth="1"/>
    <col min="11575" max="11577" width="9" style="30" customWidth="1"/>
    <col min="11578" max="11775" width="8.77734375" style="30"/>
    <col min="11776" max="11776" width="8.6640625" style="30" customWidth="1"/>
    <col min="11777" max="11780" width="0" style="30" hidden="1" customWidth="1"/>
    <col min="11781" max="11782" width="18" style="30" customWidth="1"/>
    <col min="11783" max="11783" width="11.109375" style="30" customWidth="1"/>
    <col min="11784" max="11784" width="10.77734375" style="30" customWidth="1"/>
    <col min="11785" max="11785" width="9.109375" style="30" customWidth="1"/>
    <col min="11786" max="11788" width="10.6640625" style="30" customWidth="1"/>
    <col min="11789" max="11789" width="10.33203125" style="30" customWidth="1"/>
    <col min="11790" max="11790" width="10.6640625" style="30" customWidth="1"/>
    <col min="11791" max="11791" width="8.77734375" style="30" customWidth="1"/>
    <col min="11792" max="11792" width="9.109375" style="30" customWidth="1"/>
    <col min="11793" max="11793" width="10.6640625" style="30" customWidth="1"/>
    <col min="11794" max="11794" width="112.5546875" style="30" customWidth="1"/>
    <col min="11795" max="11796" width="10.6640625" style="30" customWidth="1"/>
    <col min="11797" max="11797" width="9.109375" style="30" customWidth="1"/>
    <col min="11798" max="11798" width="11.33203125" style="30" customWidth="1"/>
    <col min="11799" max="11799" width="7.6640625" style="30" customWidth="1"/>
    <col min="11800" max="11804" width="10.6640625" style="30" customWidth="1"/>
    <col min="11805" max="11813" width="8.109375" style="30" customWidth="1"/>
    <col min="11814" max="11814" width="92.21875" style="30" customWidth="1"/>
    <col min="11815" max="11815" width="14.6640625" style="30" customWidth="1"/>
    <col min="11816" max="11816" width="9.6640625" style="30" customWidth="1"/>
    <col min="11817" max="11817" width="13" style="30" customWidth="1"/>
    <col min="11818" max="11818" width="13.33203125" style="30" customWidth="1"/>
    <col min="11819" max="11819" width="24.5546875" style="30" customWidth="1"/>
    <col min="11820" max="11823" width="13.77734375" style="30" customWidth="1"/>
    <col min="11824" max="11830" width="11" style="30" customWidth="1"/>
    <col min="11831" max="11833" width="9" style="30" customWidth="1"/>
    <col min="11834" max="12031" width="8.77734375" style="30"/>
    <col min="12032" max="12032" width="8.6640625" style="30" customWidth="1"/>
    <col min="12033" max="12036" width="0" style="30" hidden="1" customWidth="1"/>
    <col min="12037" max="12038" width="18" style="30" customWidth="1"/>
    <col min="12039" max="12039" width="11.109375" style="30" customWidth="1"/>
    <col min="12040" max="12040" width="10.77734375" style="30" customWidth="1"/>
    <col min="12041" max="12041" width="9.109375" style="30" customWidth="1"/>
    <col min="12042" max="12044" width="10.6640625" style="30" customWidth="1"/>
    <col min="12045" max="12045" width="10.33203125" style="30" customWidth="1"/>
    <col min="12046" max="12046" width="10.6640625" style="30" customWidth="1"/>
    <col min="12047" max="12047" width="8.77734375" style="30" customWidth="1"/>
    <col min="12048" max="12048" width="9.109375" style="30" customWidth="1"/>
    <col min="12049" max="12049" width="10.6640625" style="30" customWidth="1"/>
    <col min="12050" max="12050" width="112.5546875" style="30" customWidth="1"/>
    <col min="12051" max="12052" width="10.6640625" style="30" customWidth="1"/>
    <col min="12053" max="12053" width="9.109375" style="30" customWidth="1"/>
    <col min="12054" max="12054" width="11.33203125" style="30" customWidth="1"/>
    <col min="12055" max="12055" width="7.6640625" style="30" customWidth="1"/>
    <col min="12056" max="12060" width="10.6640625" style="30" customWidth="1"/>
    <col min="12061" max="12069" width="8.109375" style="30" customWidth="1"/>
    <col min="12070" max="12070" width="92.21875" style="30" customWidth="1"/>
    <col min="12071" max="12071" width="14.6640625" style="30" customWidth="1"/>
    <col min="12072" max="12072" width="9.6640625" style="30" customWidth="1"/>
    <col min="12073" max="12073" width="13" style="30" customWidth="1"/>
    <col min="12074" max="12074" width="13.33203125" style="30" customWidth="1"/>
    <col min="12075" max="12075" width="24.5546875" style="30" customWidth="1"/>
    <col min="12076" max="12079" width="13.77734375" style="30" customWidth="1"/>
    <col min="12080" max="12086" width="11" style="30" customWidth="1"/>
    <col min="12087" max="12089" width="9" style="30" customWidth="1"/>
    <col min="12090" max="12287" width="8.77734375" style="30"/>
    <col min="12288" max="12288" width="8.6640625" style="30" customWidth="1"/>
    <col min="12289" max="12292" width="0" style="30" hidden="1" customWidth="1"/>
    <col min="12293" max="12294" width="18" style="30" customWidth="1"/>
    <col min="12295" max="12295" width="11.109375" style="30" customWidth="1"/>
    <col min="12296" max="12296" width="10.77734375" style="30" customWidth="1"/>
    <col min="12297" max="12297" width="9.109375" style="30" customWidth="1"/>
    <col min="12298" max="12300" width="10.6640625" style="30" customWidth="1"/>
    <col min="12301" max="12301" width="10.33203125" style="30" customWidth="1"/>
    <col min="12302" max="12302" width="10.6640625" style="30" customWidth="1"/>
    <col min="12303" max="12303" width="8.77734375" style="30" customWidth="1"/>
    <col min="12304" max="12304" width="9.109375" style="30" customWidth="1"/>
    <col min="12305" max="12305" width="10.6640625" style="30" customWidth="1"/>
    <col min="12306" max="12306" width="112.5546875" style="30" customWidth="1"/>
    <col min="12307" max="12308" width="10.6640625" style="30" customWidth="1"/>
    <col min="12309" max="12309" width="9.109375" style="30" customWidth="1"/>
    <col min="12310" max="12310" width="11.33203125" style="30" customWidth="1"/>
    <col min="12311" max="12311" width="7.6640625" style="30" customWidth="1"/>
    <col min="12312" max="12316" width="10.6640625" style="30" customWidth="1"/>
    <col min="12317" max="12325" width="8.109375" style="30" customWidth="1"/>
    <col min="12326" max="12326" width="92.21875" style="30" customWidth="1"/>
    <col min="12327" max="12327" width="14.6640625" style="30" customWidth="1"/>
    <col min="12328" max="12328" width="9.6640625" style="30" customWidth="1"/>
    <col min="12329" max="12329" width="13" style="30" customWidth="1"/>
    <col min="12330" max="12330" width="13.33203125" style="30" customWidth="1"/>
    <col min="12331" max="12331" width="24.5546875" style="30" customWidth="1"/>
    <col min="12332" max="12335" width="13.77734375" style="30" customWidth="1"/>
    <col min="12336" max="12342" width="11" style="30" customWidth="1"/>
    <col min="12343" max="12345" width="9" style="30" customWidth="1"/>
    <col min="12346" max="12543" width="8.77734375" style="30"/>
    <col min="12544" max="12544" width="8.6640625" style="30" customWidth="1"/>
    <col min="12545" max="12548" width="0" style="30" hidden="1" customWidth="1"/>
    <col min="12549" max="12550" width="18" style="30" customWidth="1"/>
    <col min="12551" max="12551" width="11.109375" style="30" customWidth="1"/>
    <col min="12552" max="12552" width="10.77734375" style="30" customWidth="1"/>
    <col min="12553" max="12553" width="9.109375" style="30" customWidth="1"/>
    <col min="12554" max="12556" width="10.6640625" style="30" customWidth="1"/>
    <col min="12557" max="12557" width="10.33203125" style="30" customWidth="1"/>
    <col min="12558" max="12558" width="10.6640625" style="30" customWidth="1"/>
    <col min="12559" max="12559" width="8.77734375" style="30" customWidth="1"/>
    <col min="12560" max="12560" width="9.109375" style="30" customWidth="1"/>
    <col min="12561" max="12561" width="10.6640625" style="30" customWidth="1"/>
    <col min="12562" max="12562" width="112.5546875" style="30" customWidth="1"/>
    <col min="12563" max="12564" width="10.6640625" style="30" customWidth="1"/>
    <col min="12565" max="12565" width="9.109375" style="30" customWidth="1"/>
    <col min="12566" max="12566" width="11.33203125" style="30" customWidth="1"/>
    <col min="12567" max="12567" width="7.6640625" style="30" customWidth="1"/>
    <col min="12568" max="12572" width="10.6640625" style="30" customWidth="1"/>
    <col min="12573" max="12581" width="8.109375" style="30" customWidth="1"/>
    <col min="12582" max="12582" width="92.21875" style="30" customWidth="1"/>
    <col min="12583" max="12583" width="14.6640625" style="30" customWidth="1"/>
    <col min="12584" max="12584" width="9.6640625" style="30" customWidth="1"/>
    <col min="12585" max="12585" width="13" style="30" customWidth="1"/>
    <col min="12586" max="12586" width="13.33203125" style="30" customWidth="1"/>
    <col min="12587" max="12587" width="24.5546875" style="30" customWidth="1"/>
    <col min="12588" max="12591" width="13.77734375" style="30" customWidth="1"/>
    <col min="12592" max="12598" width="11" style="30" customWidth="1"/>
    <col min="12599" max="12601" width="9" style="30" customWidth="1"/>
    <col min="12602" max="12799" width="8.77734375" style="30"/>
    <col min="12800" max="12800" width="8.6640625" style="30" customWidth="1"/>
    <col min="12801" max="12804" width="0" style="30" hidden="1" customWidth="1"/>
    <col min="12805" max="12806" width="18" style="30" customWidth="1"/>
    <col min="12807" max="12807" width="11.109375" style="30" customWidth="1"/>
    <col min="12808" max="12808" width="10.77734375" style="30" customWidth="1"/>
    <col min="12809" max="12809" width="9.109375" style="30" customWidth="1"/>
    <col min="12810" max="12812" width="10.6640625" style="30" customWidth="1"/>
    <col min="12813" max="12813" width="10.33203125" style="30" customWidth="1"/>
    <col min="12814" max="12814" width="10.6640625" style="30" customWidth="1"/>
    <col min="12815" max="12815" width="8.77734375" style="30" customWidth="1"/>
    <col min="12816" max="12816" width="9.109375" style="30" customWidth="1"/>
    <col min="12817" max="12817" width="10.6640625" style="30" customWidth="1"/>
    <col min="12818" max="12818" width="112.5546875" style="30" customWidth="1"/>
    <col min="12819" max="12820" width="10.6640625" style="30" customWidth="1"/>
    <col min="12821" max="12821" width="9.109375" style="30" customWidth="1"/>
    <col min="12822" max="12822" width="11.33203125" style="30" customWidth="1"/>
    <col min="12823" max="12823" width="7.6640625" style="30" customWidth="1"/>
    <col min="12824" max="12828" width="10.6640625" style="30" customWidth="1"/>
    <col min="12829" max="12837" width="8.109375" style="30" customWidth="1"/>
    <col min="12838" max="12838" width="92.21875" style="30" customWidth="1"/>
    <col min="12839" max="12839" width="14.6640625" style="30" customWidth="1"/>
    <col min="12840" max="12840" width="9.6640625" style="30" customWidth="1"/>
    <col min="12841" max="12841" width="13" style="30" customWidth="1"/>
    <col min="12842" max="12842" width="13.33203125" style="30" customWidth="1"/>
    <col min="12843" max="12843" width="24.5546875" style="30" customWidth="1"/>
    <col min="12844" max="12847" width="13.77734375" style="30" customWidth="1"/>
    <col min="12848" max="12854" width="11" style="30" customWidth="1"/>
    <col min="12855" max="12857" width="9" style="30" customWidth="1"/>
    <col min="12858" max="13055" width="8.77734375" style="30"/>
    <col min="13056" max="13056" width="8.6640625" style="30" customWidth="1"/>
    <col min="13057" max="13060" width="0" style="30" hidden="1" customWidth="1"/>
    <col min="13061" max="13062" width="18" style="30" customWidth="1"/>
    <col min="13063" max="13063" width="11.109375" style="30" customWidth="1"/>
    <col min="13064" max="13064" width="10.77734375" style="30" customWidth="1"/>
    <col min="13065" max="13065" width="9.109375" style="30" customWidth="1"/>
    <col min="13066" max="13068" width="10.6640625" style="30" customWidth="1"/>
    <col min="13069" max="13069" width="10.33203125" style="30" customWidth="1"/>
    <col min="13070" max="13070" width="10.6640625" style="30" customWidth="1"/>
    <col min="13071" max="13071" width="8.77734375" style="30" customWidth="1"/>
    <col min="13072" max="13072" width="9.109375" style="30" customWidth="1"/>
    <col min="13073" max="13073" width="10.6640625" style="30" customWidth="1"/>
    <col min="13074" max="13074" width="112.5546875" style="30" customWidth="1"/>
    <col min="13075" max="13076" width="10.6640625" style="30" customWidth="1"/>
    <col min="13077" max="13077" width="9.109375" style="30" customWidth="1"/>
    <col min="13078" max="13078" width="11.33203125" style="30" customWidth="1"/>
    <col min="13079" max="13079" width="7.6640625" style="30" customWidth="1"/>
    <col min="13080" max="13084" width="10.6640625" style="30" customWidth="1"/>
    <col min="13085" max="13093" width="8.109375" style="30" customWidth="1"/>
    <col min="13094" max="13094" width="92.21875" style="30" customWidth="1"/>
    <col min="13095" max="13095" width="14.6640625" style="30" customWidth="1"/>
    <col min="13096" max="13096" width="9.6640625" style="30" customWidth="1"/>
    <col min="13097" max="13097" width="13" style="30" customWidth="1"/>
    <col min="13098" max="13098" width="13.33203125" style="30" customWidth="1"/>
    <col min="13099" max="13099" width="24.5546875" style="30" customWidth="1"/>
    <col min="13100" max="13103" width="13.77734375" style="30" customWidth="1"/>
    <col min="13104" max="13110" width="11" style="30" customWidth="1"/>
    <col min="13111" max="13113" width="9" style="30" customWidth="1"/>
    <col min="13114" max="13311" width="8.77734375" style="30"/>
    <col min="13312" max="13312" width="8.6640625" style="30" customWidth="1"/>
    <col min="13313" max="13316" width="0" style="30" hidden="1" customWidth="1"/>
    <col min="13317" max="13318" width="18" style="30" customWidth="1"/>
    <col min="13319" max="13319" width="11.109375" style="30" customWidth="1"/>
    <col min="13320" max="13320" width="10.77734375" style="30" customWidth="1"/>
    <col min="13321" max="13321" width="9.109375" style="30" customWidth="1"/>
    <col min="13322" max="13324" width="10.6640625" style="30" customWidth="1"/>
    <col min="13325" max="13325" width="10.33203125" style="30" customWidth="1"/>
    <col min="13326" max="13326" width="10.6640625" style="30" customWidth="1"/>
    <col min="13327" max="13327" width="8.77734375" style="30" customWidth="1"/>
    <col min="13328" max="13328" width="9.109375" style="30" customWidth="1"/>
    <col min="13329" max="13329" width="10.6640625" style="30" customWidth="1"/>
    <col min="13330" max="13330" width="112.5546875" style="30" customWidth="1"/>
    <col min="13331" max="13332" width="10.6640625" style="30" customWidth="1"/>
    <col min="13333" max="13333" width="9.109375" style="30" customWidth="1"/>
    <col min="13334" max="13334" width="11.33203125" style="30" customWidth="1"/>
    <col min="13335" max="13335" width="7.6640625" style="30" customWidth="1"/>
    <col min="13336" max="13340" width="10.6640625" style="30" customWidth="1"/>
    <col min="13341" max="13349" width="8.109375" style="30" customWidth="1"/>
    <col min="13350" max="13350" width="92.21875" style="30" customWidth="1"/>
    <col min="13351" max="13351" width="14.6640625" style="30" customWidth="1"/>
    <col min="13352" max="13352" width="9.6640625" style="30" customWidth="1"/>
    <col min="13353" max="13353" width="13" style="30" customWidth="1"/>
    <col min="13354" max="13354" width="13.33203125" style="30" customWidth="1"/>
    <col min="13355" max="13355" width="24.5546875" style="30" customWidth="1"/>
    <col min="13356" max="13359" width="13.77734375" style="30" customWidth="1"/>
    <col min="13360" max="13366" width="11" style="30" customWidth="1"/>
    <col min="13367" max="13369" width="9" style="30" customWidth="1"/>
    <col min="13370" max="13567" width="8.77734375" style="30"/>
    <col min="13568" max="13568" width="8.6640625" style="30" customWidth="1"/>
    <col min="13569" max="13572" width="0" style="30" hidden="1" customWidth="1"/>
    <col min="13573" max="13574" width="18" style="30" customWidth="1"/>
    <col min="13575" max="13575" width="11.109375" style="30" customWidth="1"/>
    <col min="13576" max="13576" width="10.77734375" style="30" customWidth="1"/>
    <col min="13577" max="13577" width="9.109375" style="30" customWidth="1"/>
    <col min="13578" max="13580" width="10.6640625" style="30" customWidth="1"/>
    <col min="13581" max="13581" width="10.33203125" style="30" customWidth="1"/>
    <col min="13582" max="13582" width="10.6640625" style="30" customWidth="1"/>
    <col min="13583" max="13583" width="8.77734375" style="30" customWidth="1"/>
    <col min="13584" max="13584" width="9.109375" style="30" customWidth="1"/>
    <col min="13585" max="13585" width="10.6640625" style="30" customWidth="1"/>
    <col min="13586" max="13586" width="112.5546875" style="30" customWidth="1"/>
    <col min="13587" max="13588" width="10.6640625" style="30" customWidth="1"/>
    <col min="13589" max="13589" width="9.109375" style="30" customWidth="1"/>
    <col min="13590" max="13590" width="11.33203125" style="30" customWidth="1"/>
    <col min="13591" max="13591" width="7.6640625" style="30" customWidth="1"/>
    <col min="13592" max="13596" width="10.6640625" style="30" customWidth="1"/>
    <col min="13597" max="13605" width="8.109375" style="30" customWidth="1"/>
    <col min="13606" max="13606" width="92.21875" style="30" customWidth="1"/>
    <col min="13607" max="13607" width="14.6640625" style="30" customWidth="1"/>
    <col min="13608" max="13608" width="9.6640625" style="30" customWidth="1"/>
    <col min="13609" max="13609" width="13" style="30" customWidth="1"/>
    <col min="13610" max="13610" width="13.33203125" style="30" customWidth="1"/>
    <col min="13611" max="13611" width="24.5546875" style="30" customWidth="1"/>
    <col min="13612" max="13615" width="13.77734375" style="30" customWidth="1"/>
    <col min="13616" max="13622" width="11" style="30" customWidth="1"/>
    <col min="13623" max="13625" width="9" style="30" customWidth="1"/>
    <col min="13626" max="13823" width="8.77734375" style="30"/>
    <col min="13824" max="13824" width="8.6640625" style="30" customWidth="1"/>
    <col min="13825" max="13828" width="0" style="30" hidden="1" customWidth="1"/>
    <col min="13829" max="13830" width="18" style="30" customWidth="1"/>
    <col min="13831" max="13831" width="11.109375" style="30" customWidth="1"/>
    <col min="13832" max="13832" width="10.77734375" style="30" customWidth="1"/>
    <col min="13833" max="13833" width="9.109375" style="30" customWidth="1"/>
    <col min="13834" max="13836" width="10.6640625" style="30" customWidth="1"/>
    <col min="13837" max="13837" width="10.33203125" style="30" customWidth="1"/>
    <col min="13838" max="13838" width="10.6640625" style="30" customWidth="1"/>
    <col min="13839" max="13839" width="8.77734375" style="30" customWidth="1"/>
    <col min="13840" max="13840" width="9.109375" style="30" customWidth="1"/>
    <col min="13841" max="13841" width="10.6640625" style="30" customWidth="1"/>
    <col min="13842" max="13842" width="112.5546875" style="30" customWidth="1"/>
    <col min="13843" max="13844" width="10.6640625" style="30" customWidth="1"/>
    <col min="13845" max="13845" width="9.109375" style="30" customWidth="1"/>
    <col min="13846" max="13846" width="11.33203125" style="30" customWidth="1"/>
    <col min="13847" max="13847" width="7.6640625" style="30" customWidth="1"/>
    <col min="13848" max="13852" width="10.6640625" style="30" customWidth="1"/>
    <col min="13853" max="13861" width="8.109375" style="30" customWidth="1"/>
    <col min="13862" max="13862" width="92.21875" style="30" customWidth="1"/>
    <col min="13863" max="13863" width="14.6640625" style="30" customWidth="1"/>
    <col min="13864" max="13864" width="9.6640625" style="30" customWidth="1"/>
    <col min="13865" max="13865" width="13" style="30" customWidth="1"/>
    <col min="13866" max="13866" width="13.33203125" style="30" customWidth="1"/>
    <col min="13867" max="13867" width="24.5546875" style="30" customWidth="1"/>
    <col min="13868" max="13871" width="13.77734375" style="30" customWidth="1"/>
    <col min="13872" max="13878" width="11" style="30" customWidth="1"/>
    <col min="13879" max="13881" width="9" style="30" customWidth="1"/>
    <col min="13882" max="14079" width="8.77734375" style="30"/>
    <col min="14080" max="14080" width="8.6640625" style="30" customWidth="1"/>
    <col min="14081" max="14084" width="0" style="30" hidden="1" customWidth="1"/>
    <col min="14085" max="14086" width="18" style="30" customWidth="1"/>
    <col min="14087" max="14087" width="11.109375" style="30" customWidth="1"/>
    <col min="14088" max="14088" width="10.77734375" style="30" customWidth="1"/>
    <col min="14089" max="14089" width="9.109375" style="30" customWidth="1"/>
    <col min="14090" max="14092" width="10.6640625" style="30" customWidth="1"/>
    <col min="14093" max="14093" width="10.33203125" style="30" customWidth="1"/>
    <col min="14094" max="14094" width="10.6640625" style="30" customWidth="1"/>
    <col min="14095" max="14095" width="8.77734375" style="30" customWidth="1"/>
    <col min="14096" max="14096" width="9.109375" style="30" customWidth="1"/>
    <col min="14097" max="14097" width="10.6640625" style="30" customWidth="1"/>
    <col min="14098" max="14098" width="112.5546875" style="30" customWidth="1"/>
    <col min="14099" max="14100" width="10.6640625" style="30" customWidth="1"/>
    <col min="14101" max="14101" width="9.109375" style="30" customWidth="1"/>
    <col min="14102" max="14102" width="11.33203125" style="30" customWidth="1"/>
    <col min="14103" max="14103" width="7.6640625" style="30" customWidth="1"/>
    <col min="14104" max="14108" width="10.6640625" style="30" customWidth="1"/>
    <col min="14109" max="14117" width="8.109375" style="30" customWidth="1"/>
    <col min="14118" max="14118" width="92.21875" style="30" customWidth="1"/>
    <col min="14119" max="14119" width="14.6640625" style="30" customWidth="1"/>
    <col min="14120" max="14120" width="9.6640625" style="30" customWidth="1"/>
    <col min="14121" max="14121" width="13" style="30" customWidth="1"/>
    <col min="14122" max="14122" width="13.33203125" style="30" customWidth="1"/>
    <col min="14123" max="14123" width="24.5546875" style="30" customWidth="1"/>
    <col min="14124" max="14127" width="13.77734375" style="30" customWidth="1"/>
    <col min="14128" max="14134" width="11" style="30" customWidth="1"/>
    <col min="14135" max="14137" width="9" style="30" customWidth="1"/>
    <col min="14138" max="14335" width="8.77734375" style="30"/>
    <col min="14336" max="14336" width="8.6640625" style="30" customWidth="1"/>
    <col min="14337" max="14340" width="0" style="30" hidden="1" customWidth="1"/>
    <col min="14341" max="14342" width="18" style="30" customWidth="1"/>
    <col min="14343" max="14343" width="11.109375" style="30" customWidth="1"/>
    <col min="14344" max="14344" width="10.77734375" style="30" customWidth="1"/>
    <col min="14345" max="14345" width="9.109375" style="30" customWidth="1"/>
    <col min="14346" max="14348" width="10.6640625" style="30" customWidth="1"/>
    <col min="14349" max="14349" width="10.33203125" style="30" customWidth="1"/>
    <col min="14350" max="14350" width="10.6640625" style="30" customWidth="1"/>
    <col min="14351" max="14351" width="8.77734375" style="30" customWidth="1"/>
    <col min="14352" max="14352" width="9.109375" style="30" customWidth="1"/>
    <col min="14353" max="14353" width="10.6640625" style="30" customWidth="1"/>
    <col min="14354" max="14354" width="112.5546875" style="30" customWidth="1"/>
    <col min="14355" max="14356" width="10.6640625" style="30" customWidth="1"/>
    <col min="14357" max="14357" width="9.109375" style="30" customWidth="1"/>
    <col min="14358" max="14358" width="11.33203125" style="30" customWidth="1"/>
    <col min="14359" max="14359" width="7.6640625" style="30" customWidth="1"/>
    <col min="14360" max="14364" width="10.6640625" style="30" customWidth="1"/>
    <col min="14365" max="14373" width="8.109375" style="30" customWidth="1"/>
    <col min="14374" max="14374" width="92.21875" style="30" customWidth="1"/>
    <col min="14375" max="14375" width="14.6640625" style="30" customWidth="1"/>
    <col min="14376" max="14376" width="9.6640625" style="30" customWidth="1"/>
    <col min="14377" max="14377" width="13" style="30" customWidth="1"/>
    <col min="14378" max="14378" width="13.33203125" style="30" customWidth="1"/>
    <col min="14379" max="14379" width="24.5546875" style="30" customWidth="1"/>
    <col min="14380" max="14383" width="13.77734375" style="30" customWidth="1"/>
    <col min="14384" max="14390" width="11" style="30" customWidth="1"/>
    <col min="14391" max="14393" width="9" style="30" customWidth="1"/>
    <col min="14394" max="14591" width="8.77734375" style="30"/>
    <col min="14592" max="14592" width="8.6640625" style="30" customWidth="1"/>
    <col min="14593" max="14596" width="0" style="30" hidden="1" customWidth="1"/>
    <col min="14597" max="14598" width="18" style="30" customWidth="1"/>
    <col min="14599" max="14599" width="11.109375" style="30" customWidth="1"/>
    <col min="14600" max="14600" width="10.77734375" style="30" customWidth="1"/>
    <col min="14601" max="14601" width="9.109375" style="30" customWidth="1"/>
    <col min="14602" max="14604" width="10.6640625" style="30" customWidth="1"/>
    <col min="14605" max="14605" width="10.33203125" style="30" customWidth="1"/>
    <col min="14606" max="14606" width="10.6640625" style="30" customWidth="1"/>
    <col min="14607" max="14607" width="8.77734375" style="30" customWidth="1"/>
    <col min="14608" max="14608" width="9.109375" style="30" customWidth="1"/>
    <col min="14609" max="14609" width="10.6640625" style="30" customWidth="1"/>
    <col min="14610" max="14610" width="112.5546875" style="30" customWidth="1"/>
    <col min="14611" max="14612" width="10.6640625" style="30" customWidth="1"/>
    <col min="14613" max="14613" width="9.109375" style="30" customWidth="1"/>
    <col min="14614" max="14614" width="11.33203125" style="30" customWidth="1"/>
    <col min="14615" max="14615" width="7.6640625" style="30" customWidth="1"/>
    <col min="14616" max="14620" width="10.6640625" style="30" customWidth="1"/>
    <col min="14621" max="14629" width="8.109375" style="30" customWidth="1"/>
    <col min="14630" max="14630" width="92.21875" style="30" customWidth="1"/>
    <col min="14631" max="14631" width="14.6640625" style="30" customWidth="1"/>
    <col min="14632" max="14632" width="9.6640625" style="30" customWidth="1"/>
    <col min="14633" max="14633" width="13" style="30" customWidth="1"/>
    <col min="14634" max="14634" width="13.33203125" style="30" customWidth="1"/>
    <col min="14635" max="14635" width="24.5546875" style="30" customWidth="1"/>
    <col min="14636" max="14639" width="13.77734375" style="30" customWidth="1"/>
    <col min="14640" max="14646" width="11" style="30" customWidth="1"/>
    <col min="14647" max="14649" width="9" style="30" customWidth="1"/>
    <col min="14650" max="14847" width="8.77734375" style="30"/>
    <col min="14848" max="14848" width="8.6640625" style="30" customWidth="1"/>
    <col min="14849" max="14852" width="0" style="30" hidden="1" customWidth="1"/>
    <col min="14853" max="14854" width="18" style="30" customWidth="1"/>
    <col min="14855" max="14855" width="11.109375" style="30" customWidth="1"/>
    <col min="14856" max="14856" width="10.77734375" style="30" customWidth="1"/>
    <col min="14857" max="14857" width="9.109375" style="30" customWidth="1"/>
    <col min="14858" max="14860" width="10.6640625" style="30" customWidth="1"/>
    <col min="14861" max="14861" width="10.33203125" style="30" customWidth="1"/>
    <col min="14862" max="14862" width="10.6640625" style="30" customWidth="1"/>
    <col min="14863" max="14863" width="8.77734375" style="30" customWidth="1"/>
    <col min="14864" max="14864" width="9.109375" style="30" customWidth="1"/>
    <col min="14865" max="14865" width="10.6640625" style="30" customWidth="1"/>
    <col min="14866" max="14866" width="112.5546875" style="30" customWidth="1"/>
    <col min="14867" max="14868" width="10.6640625" style="30" customWidth="1"/>
    <col min="14869" max="14869" width="9.109375" style="30" customWidth="1"/>
    <col min="14870" max="14870" width="11.33203125" style="30" customWidth="1"/>
    <col min="14871" max="14871" width="7.6640625" style="30" customWidth="1"/>
    <col min="14872" max="14876" width="10.6640625" style="30" customWidth="1"/>
    <col min="14877" max="14885" width="8.109375" style="30" customWidth="1"/>
    <col min="14886" max="14886" width="92.21875" style="30" customWidth="1"/>
    <col min="14887" max="14887" width="14.6640625" style="30" customWidth="1"/>
    <col min="14888" max="14888" width="9.6640625" style="30" customWidth="1"/>
    <col min="14889" max="14889" width="13" style="30" customWidth="1"/>
    <col min="14890" max="14890" width="13.33203125" style="30" customWidth="1"/>
    <col min="14891" max="14891" width="24.5546875" style="30" customWidth="1"/>
    <col min="14892" max="14895" width="13.77734375" style="30" customWidth="1"/>
    <col min="14896" max="14902" width="11" style="30" customWidth="1"/>
    <col min="14903" max="14905" width="9" style="30" customWidth="1"/>
    <col min="14906" max="15103" width="8.77734375" style="30"/>
    <col min="15104" max="15104" width="8.6640625" style="30" customWidth="1"/>
    <col min="15105" max="15108" width="0" style="30" hidden="1" customWidth="1"/>
    <col min="15109" max="15110" width="18" style="30" customWidth="1"/>
    <col min="15111" max="15111" width="11.109375" style="30" customWidth="1"/>
    <col min="15112" max="15112" width="10.77734375" style="30" customWidth="1"/>
    <col min="15113" max="15113" width="9.109375" style="30" customWidth="1"/>
    <col min="15114" max="15116" width="10.6640625" style="30" customWidth="1"/>
    <col min="15117" max="15117" width="10.33203125" style="30" customWidth="1"/>
    <col min="15118" max="15118" width="10.6640625" style="30" customWidth="1"/>
    <col min="15119" max="15119" width="8.77734375" style="30" customWidth="1"/>
    <col min="15120" max="15120" width="9.109375" style="30" customWidth="1"/>
    <col min="15121" max="15121" width="10.6640625" style="30" customWidth="1"/>
    <col min="15122" max="15122" width="112.5546875" style="30" customWidth="1"/>
    <col min="15123" max="15124" width="10.6640625" style="30" customWidth="1"/>
    <col min="15125" max="15125" width="9.109375" style="30" customWidth="1"/>
    <col min="15126" max="15126" width="11.33203125" style="30" customWidth="1"/>
    <col min="15127" max="15127" width="7.6640625" style="30" customWidth="1"/>
    <col min="15128" max="15132" width="10.6640625" style="30" customWidth="1"/>
    <col min="15133" max="15141" width="8.109375" style="30" customWidth="1"/>
    <col min="15142" max="15142" width="92.21875" style="30" customWidth="1"/>
    <col min="15143" max="15143" width="14.6640625" style="30" customWidth="1"/>
    <col min="15144" max="15144" width="9.6640625" style="30" customWidth="1"/>
    <col min="15145" max="15145" width="13" style="30" customWidth="1"/>
    <col min="15146" max="15146" width="13.33203125" style="30" customWidth="1"/>
    <col min="15147" max="15147" width="24.5546875" style="30" customWidth="1"/>
    <col min="15148" max="15151" width="13.77734375" style="30" customWidth="1"/>
    <col min="15152" max="15158" width="11" style="30" customWidth="1"/>
    <col min="15159" max="15161" width="9" style="30" customWidth="1"/>
    <col min="15162" max="15359" width="8.77734375" style="30"/>
    <col min="15360" max="15360" width="8.6640625" style="30" customWidth="1"/>
    <col min="15361" max="15364" width="0" style="30" hidden="1" customWidth="1"/>
    <col min="15365" max="15366" width="18" style="30" customWidth="1"/>
    <col min="15367" max="15367" width="11.109375" style="30" customWidth="1"/>
    <col min="15368" max="15368" width="10.77734375" style="30" customWidth="1"/>
    <col min="15369" max="15369" width="9.109375" style="30" customWidth="1"/>
    <col min="15370" max="15372" width="10.6640625" style="30" customWidth="1"/>
    <col min="15373" max="15373" width="10.33203125" style="30" customWidth="1"/>
    <col min="15374" max="15374" width="10.6640625" style="30" customWidth="1"/>
    <col min="15375" max="15375" width="8.77734375" style="30" customWidth="1"/>
    <col min="15376" max="15376" width="9.109375" style="30" customWidth="1"/>
    <col min="15377" max="15377" width="10.6640625" style="30" customWidth="1"/>
    <col min="15378" max="15378" width="112.5546875" style="30" customWidth="1"/>
    <col min="15379" max="15380" width="10.6640625" style="30" customWidth="1"/>
    <col min="15381" max="15381" width="9.109375" style="30" customWidth="1"/>
    <col min="15382" max="15382" width="11.33203125" style="30" customWidth="1"/>
    <col min="15383" max="15383" width="7.6640625" style="30" customWidth="1"/>
    <col min="15384" max="15388" width="10.6640625" style="30" customWidth="1"/>
    <col min="15389" max="15397" width="8.109375" style="30" customWidth="1"/>
    <col min="15398" max="15398" width="92.21875" style="30" customWidth="1"/>
    <col min="15399" max="15399" width="14.6640625" style="30" customWidth="1"/>
    <col min="15400" max="15400" width="9.6640625" style="30" customWidth="1"/>
    <col min="15401" max="15401" width="13" style="30" customWidth="1"/>
    <col min="15402" max="15402" width="13.33203125" style="30" customWidth="1"/>
    <col min="15403" max="15403" width="24.5546875" style="30" customWidth="1"/>
    <col min="15404" max="15407" width="13.77734375" style="30" customWidth="1"/>
    <col min="15408" max="15414" width="11" style="30" customWidth="1"/>
    <col min="15415" max="15417" width="9" style="30" customWidth="1"/>
    <col min="15418" max="15615" width="8.77734375" style="30"/>
    <col min="15616" max="15616" width="8.6640625" style="30" customWidth="1"/>
    <col min="15617" max="15620" width="0" style="30" hidden="1" customWidth="1"/>
    <col min="15621" max="15622" width="18" style="30" customWidth="1"/>
    <col min="15623" max="15623" width="11.109375" style="30" customWidth="1"/>
    <col min="15624" max="15624" width="10.77734375" style="30" customWidth="1"/>
    <col min="15625" max="15625" width="9.109375" style="30" customWidth="1"/>
    <col min="15626" max="15628" width="10.6640625" style="30" customWidth="1"/>
    <col min="15629" max="15629" width="10.33203125" style="30" customWidth="1"/>
    <col min="15630" max="15630" width="10.6640625" style="30" customWidth="1"/>
    <col min="15631" max="15631" width="8.77734375" style="30" customWidth="1"/>
    <col min="15632" max="15632" width="9.109375" style="30" customWidth="1"/>
    <col min="15633" max="15633" width="10.6640625" style="30" customWidth="1"/>
    <col min="15634" max="15634" width="112.5546875" style="30" customWidth="1"/>
    <col min="15635" max="15636" width="10.6640625" style="30" customWidth="1"/>
    <col min="15637" max="15637" width="9.109375" style="30" customWidth="1"/>
    <col min="15638" max="15638" width="11.33203125" style="30" customWidth="1"/>
    <col min="15639" max="15639" width="7.6640625" style="30" customWidth="1"/>
    <col min="15640" max="15644" width="10.6640625" style="30" customWidth="1"/>
    <col min="15645" max="15653" width="8.109375" style="30" customWidth="1"/>
    <col min="15654" max="15654" width="92.21875" style="30" customWidth="1"/>
    <col min="15655" max="15655" width="14.6640625" style="30" customWidth="1"/>
    <col min="15656" max="15656" width="9.6640625" style="30" customWidth="1"/>
    <col min="15657" max="15657" width="13" style="30" customWidth="1"/>
    <col min="15658" max="15658" width="13.33203125" style="30" customWidth="1"/>
    <col min="15659" max="15659" width="24.5546875" style="30" customWidth="1"/>
    <col min="15660" max="15663" width="13.77734375" style="30" customWidth="1"/>
    <col min="15664" max="15670" width="11" style="30" customWidth="1"/>
    <col min="15671" max="15673" width="9" style="30" customWidth="1"/>
    <col min="15674" max="15871" width="8.77734375" style="30"/>
    <col min="15872" max="15872" width="8.6640625" style="30" customWidth="1"/>
    <col min="15873" max="15876" width="0" style="30" hidden="1" customWidth="1"/>
    <col min="15877" max="15878" width="18" style="30" customWidth="1"/>
    <col min="15879" max="15879" width="11.109375" style="30" customWidth="1"/>
    <col min="15880" max="15880" width="10.77734375" style="30" customWidth="1"/>
    <col min="15881" max="15881" width="9.109375" style="30" customWidth="1"/>
    <col min="15882" max="15884" width="10.6640625" style="30" customWidth="1"/>
    <col min="15885" max="15885" width="10.33203125" style="30" customWidth="1"/>
    <col min="15886" max="15886" width="10.6640625" style="30" customWidth="1"/>
    <col min="15887" max="15887" width="8.77734375" style="30" customWidth="1"/>
    <col min="15888" max="15888" width="9.109375" style="30" customWidth="1"/>
    <col min="15889" max="15889" width="10.6640625" style="30" customWidth="1"/>
    <col min="15890" max="15890" width="112.5546875" style="30" customWidth="1"/>
    <col min="15891" max="15892" width="10.6640625" style="30" customWidth="1"/>
    <col min="15893" max="15893" width="9.109375" style="30" customWidth="1"/>
    <col min="15894" max="15894" width="11.33203125" style="30" customWidth="1"/>
    <col min="15895" max="15895" width="7.6640625" style="30" customWidth="1"/>
    <col min="15896" max="15900" width="10.6640625" style="30" customWidth="1"/>
    <col min="15901" max="15909" width="8.109375" style="30" customWidth="1"/>
    <col min="15910" max="15910" width="92.21875" style="30" customWidth="1"/>
    <col min="15911" max="15911" width="14.6640625" style="30" customWidth="1"/>
    <col min="15912" max="15912" width="9.6640625" style="30" customWidth="1"/>
    <col min="15913" max="15913" width="13" style="30" customWidth="1"/>
    <col min="15914" max="15914" width="13.33203125" style="30" customWidth="1"/>
    <col min="15915" max="15915" width="24.5546875" style="30" customWidth="1"/>
    <col min="15916" max="15919" width="13.77734375" style="30" customWidth="1"/>
    <col min="15920" max="15926" width="11" style="30" customWidth="1"/>
    <col min="15927" max="15929" width="9" style="30" customWidth="1"/>
    <col min="15930" max="16127" width="8.77734375" style="30"/>
    <col min="16128" max="16128" width="8.6640625" style="30" customWidth="1"/>
    <col min="16129" max="16132" width="0" style="30" hidden="1" customWidth="1"/>
    <col min="16133" max="16134" width="18" style="30" customWidth="1"/>
    <col min="16135" max="16135" width="11.109375" style="30" customWidth="1"/>
    <col min="16136" max="16136" width="10.77734375" style="30" customWidth="1"/>
    <col min="16137" max="16137" width="9.109375" style="30" customWidth="1"/>
    <col min="16138" max="16140" width="10.6640625" style="30" customWidth="1"/>
    <col min="16141" max="16141" width="10.33203125" style="30" customWidth="1"/>
    <col min="16142" max="16142" width="10.6640625" style="30" customWidth="1"/>
    <col min="16143" max="16143" width="8.77734375" style="30" customWidth="1"/>
    <col min="16144" max="16144" width="9.109375" style="30" customWidth="1"/>
    <col min="16145" max="16145" width="10.6640625" style="30" customWidth="1"/>
    <col min="16146" max="16146" width="112.5546875" style="30" customWidth="1"/>
    <col min="16147" max="16148" width="10.6640625" style="30" customWidth="1"/>
    <col min="16149" max="16149" width="9.109375" style="30" customWidth="1"/>
    <col min="16150" max="16150" width="11.33203125" style="30" customWidth="1"/>
    <col min="16151" max="16151" width="7.6640625" style="30" customWidth="1"/>
    <col min="16152" max="16156" width="10.6640625" style="30" customWidth="1"/>
    <col min="16157" max="16165" width="8.109375" style="30" customWidth="1"/>
    <col min="16166" max="16166" width="92.21875" style="30" customWidth="1"/>
    <col min="16167" max="16167" width="14.6640625" style="30" customWidth="1"/>
    <col min="16168" max="16168" width="9.6640625" style="30" customWidth="1"/>
    <col min="16169" max="16169" width="13" style="30" customWidth="1"/>
    <col min="16170" max="16170" width="13.33203125" style="30" customWidth="1"/>
    <col min="16171" max="16171" width="24.5546875" style="30" customWidth="1"/>
    <col min="16172" max="16175" width="13.77734375" style="30" customWidth="1"/>
    <col min="16176" max="16182" width="11" style="30" customWidth="1"/>
    <col min="16183" max="16185" width="9" style="30" customWidth="1"/>
    <col min="16186" max="16384" width="8.77734375" style="30"/>
  </cols>
  <sheetData>
    <row r="1" spans="1:70" s="27" customFormat="1" ht="40.200000000000003" thickBot="1">
      <c r="A1" s="92" t="s">
        <v>18</v>
      </c>
      <c r="B1" s="23" t="s">
        <v>13</v>
      </c>
      <c r="C1" s="23" t="s">
        <v>19</v>
      </c>
      <c r="D1" s="24"/>
      <c r="E1" s="23" t="s">
        <v>19</v>
      </c>
      <c r="F1" s="25" t="s">
        <v>20</v>
      </c>
      <c r="G1" s="26" t="s">
        <v>21</v>
      </c>
      <c r="H1" s="37" t="s">
        <v>22</v>
      </c>
      <c r="I1" s="85" t="s">
        <v>23</v>
      </c>
      <c r="J1" s="89" t="s">
        <v>24</v>
      </c>
      <c r="K1" s="87" t="s">
        <v>25</v>
      </c>
      <c r="L1" s="87" t="s">
        <v>26</v>
      </c>
      <c r="M1" s="87" t="s">
        <v>27</v>
      </c>
      <c r="N1" s="92" t="s">
        <v>28</v>
      </c>
      <c r="O1" s="87" t="s">
        <v>29</v>
      </c>
      <c r="P1" s="87" t="s">
        <v>30</v>
      </c>
      <c r="Q1" s="87" t="s">
        <v>31</v>
      </c>
      <c r="R1" s="87" t="s">
        <v>32</v>
      </c>
      <c r="S1" s="93" t="s">
        <v>66</v>
      </c>
      <c r="T1" s="93" t="s">
        <v>67</v>
      </c>
      <c r="U1" s="87" t="s">
        <v>33</v>
      </c>
      <c r="V1" s="89" t="s">
        <v>34</v>
      </c>
      <c r="W1" s="94" t="s">
        <v>35</v>
      </c>
      <c r="X1" s="87" t="s">
        <v>36</v>
      </c>
      <c r="Y1" s="87" t="s">
        <v>37</v>
      </c>
      <c r="Z1" s="87" t="s">
        <v>31</v>
      </c>
      <c r="AA1" s="87" t="s">
        <v>38</v>
      </c>
      <c r="AB1" s="95" t="s">
        <v>39</v>
      </c>
      <c r="AC1" s="89" t="s">
        <v>40</v>
      </c>
      <c r="AD1" s="87" t="s">
        <v>41</v>
      </c>
      <c r="AE1" s="87" t="s">
        <v>42</v>
      </c>
      <c r="AF1" s="87" t="s">
        <v>43</v>
      </c>
      <c r="AG1" s="87" t="s">
        <v>44</v>
      </c>
      <c r="AH1" s="87" t="s">
        <v>45</v>
      </c>
      <c r="AI1" s="87" t="s">
        <v>46</v>
      </c>
      <c r="AJ1" s="89" t="s">
        <v>47</v>
      </c>
      <c r="AK1" s="96" t="s">
        <v>65</v>
      </c>
      <c r="AL1" s="97" t="s">
        <v>48</v>
      </c>
      <c r="AM1" s="98" t="s">
        <v>64</v>
      </c>
      <c r="AN1" s="99" t="s">
        <v>63</v>
      </c>
      <c r="AO1" s="85" t="s">
        <v>49</v>
      </c>
      <c r="AP1" s="100" t="s">
        <v>50</v>
      </c>
      <c r="AQ1" s="124" t="s">
        <v>51</v>
      </c>
      <c r="AR1" s="101" t="s">
        <v>52</v>
      </c>
      <c r="AS1" s="101" t="s">
        <v>53</v>
      </c>
      <c r="AT1" s="125" t="s">
        <v>54</v>
      </c>
      <c r="AU1" s="102" t="s">
        <v>685</v>
      </c>
      <c r="AV1" s="102" t="s">
        <v>686</v>
      </c>
      <c r="AW1" s="103" t="s">
        <v>684</v>
      </c>
      <c r="AX1" s="103"/>
      <c r="AY1" s="103"/>
      <c r="AZ1" s="103"/>
      <c r="BA1" s="102"/>
      <c r="BB1" s="104"/>
      <c r="BC1" s="105"/>
      <c r="BD1" s="105"/>
      <c r="BE1" s="105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</row>
    <row r="2" spans="1:70" s="149" customFormat="1">
      <c r="A2" s="150">
        <v>0</v>
      </c>
      <c r="B2" s="129"/>
      <c r="C2" s="130"/>
      <c r="D2" s="131"/>
      <c r="E2" s="131"/>
      <c r="F2" s="132">
        <v>43117.75</v>
      </c>
      <c r="G2" s="133">
        <v>43117.75</v>
      </c>
      <c r="H2" s="134">
        <v>0</v>
      </c>
      <c r="I2" s="135">
        <v>10.45</v>
      </c>
      <c r="J2" s="136"/>
      <c r="K2" s="137" t="s">
        <v>72</v>
      </c>
      <c r="L2" s="137" t="s">
        <v>73</v>
      </c>
      <c r="M2" s="137">
        <v>-369</v>
      </c>
      <c r="N2" s="138">
        <v>1</v>
      </c>
      <c r="O2" s="138">
        <v>200</v>
      </c>
      <c r="P2" s="137" t="s">
        <v>74</v>
      </c>
      <c r="Q2" s="137" t="s">
        <v>75</v>
      </c>
      <c r="R2" s="137" t="s">
        <v>87</v>
      </c>
      <c r="S2" s="139"/>
      <c r="T2" s="139"/>
      <c r="U2" s="137"/>
      <c r="V2" s="140"/>
      <c r="W2" s="141"/>
      <c r="X2" s="139"/>
      <c r="Y2" s="139"/>
      <c r="Z2" s="139"/>
      <c r="AA2" s="139"/>
      <c r="AB2" s="142"/>
      <c r="AC2" s="136">
        <v>160.19999999999999</v>
      </c>
      <c r="AD2" s="139">
        <v>-110</v>
      </c>
      <c r="AE2" s="139">
        <v>3.3</v>
      </c>
      <c r="AF2" s="139">
        <v>-1.42</v>
      </c>
      <c r="AG2" s="139">
        <v>109.8</v>
      </c>
      <c r="AH2" s="139">
        <v>-110.1</v>
      </c>
      <c r="AI2" s="139">
        <v>3.81</v>
      </c>
      <c r="AJ2" s="136">
        <v>-0.26</v>
      </c>
      <c r="AK2" s="143"/>
      <c r="AL2" s="144" t="s">
        <v>71</v>
      </c>
      <c r="AM2" s="145" t="s">
        <v>88</v>
      </c>
      <c r="AN2" s="144"/>
      <c r="AO2" s="135"/>
      <c r="AP2" s="146"/>
      <c r="AQ2" s="158"/>
      <c r="AR2" s="162"/>
      <c r="AS2" s="147"/>
      <c r="AT2" s="164"/>
      <c r="AU2" s="147"/>
      <c r="AV2" s="147"/>
      <c r="AW2" s="139"/>
      <c r="AX2" s="139"/>
      <c r="AY2" s="139"/>
      <c r="AZ2" s="139"/>
      <c r="BA2" s="147"/>
      <c r="BB2" s="142"/>
      <c r="BC2" s="144"/>
      <c r="BD2" s="144"/>
      <c r="BE2" s="144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</row>
    <row r="3" spans="1:70" s="190" customFormat="1">
      <c r="A3" s="166">
        <v>1</v>
      </c>
      <c r="B3" s="167"/>
      <c r="C3" s="168"/>
      <c r="D3" s="169"/>
      <c r="E3" s="169"/>
      <c r="F3" s="170">
        <v>43117.75</v>
      </c>
      <c r="G3" s="171">
        <v>43117.75</v>
      </c>
      <c r="H3" s="172">
        <v>0</v>
      </c>
      <c r="I3" s="173">
        <v>10.45</v>
      </c>
      <c r="J3" s="174"/>
      <c r="K3" s="175" t="s">
        <v>72</v>
      </c>
      <c r="L3" s="175" t="s">
        <v>73</v>
      </c>
      <c r="M3" s="175">
        <v>-369</v>
      </c>
      <c r="N3" s="176">
        <v>1</v>
      </c>
      <c r="O3" s="176">
        <v>200</v>
      </c>
      <c r="P3" s="175" t="s">
        <v>74</v>
      </c>
      <c r="Q3" s="175" t="s">
        <v>75</v>
      </c>
      <c r="R3" s="175" t="s">
        <v>87</v>
      </c>
      <c r="S3" s="177"/>
      <c r="T3" s="177"/>
      <c r="U3" s="175"/>
      <c r="V3" s="178" t="s">
        <v>122</v>
      </c>
      <c r="W3" s="179"/>
      <c r="X3" s="177"/>
      <c r="Y3" s="177"/>
      <c r="Z3" s="177"/>
      <c r="AA3" s="177"/>
      <c r="AB3" s="180"/>
      <c r="AC3" s="174">
        <v>160.19999999999999</v>
      </c>
      <c r="AD3" s="177">
        <v>-110</v>
      </c>
      <c r="AE3" s="177">
        <v>3.3</v>
      </c>
      <c r="AF3" s="177">
        <v>-1.42</v>
      </c>
      <c r="AG3" s="177">
        <v>109.8</v>
      </c>
      <c r="AH3" s="177">
        <v>-110.1</v>
      </c>
      <c r="AI3" s="177">
        <v>3.81</v>
      </c>
      <c r="AJ3" s="174">
        <v>-0.26</v>
      </c>
      <c r="AK3" s="181"/>
      <c r="AL3" s="182" t="s">
        <v>100</v>
      </c>
      <c r="AM3" s="183"/>
      <c r="AN3" s="182"/>
      <c r="AO3" s="173"/>
      <c r="AP3" s="184"/>
      <c r="AQ3" s="185"/>
      <c r="AR3" s="186"/>
      <c r="AS3" s="187"/>
      <c r="AT3" s="188"/>
      <c r="AU3" s="187"/>
      <c r="AV3" s="187"/>
      <c r="AW3" s="177"/>
      <c r="AX3" s="177"/>
      <c r="AY3" s="177"/>
      <c r="AZ3" s="177"/>
      <c r="BA3" s="187"/>
      <c r="BB3" s="180"/>
      <c r="BC3" s="182"/>
      <c r="BD3" s="182"/>
      <c r="BE3" s="182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89"/>
      <c r="BQ3" s="189"/>
      <c r="BR3" s="189"/>
    </row>
    <row r="4" spans="1:70" s="190" customFormat="1">
      <c r="A4" s="166">
        <v>2</v>
      </c>
      <c r="B4" s="167"/>
      <c r="C4" s="168"/>
      <c r="D4" s="169"/>
      <c r="E4" s="169"/>
      <c r="F4" s="170">
        <v>43117.75</v>
      </c>
      <c r="G4" s="171">
        <v>43117.75</v>
      </c>
      <c r="H4" s="172">
        <v>0</v>
      </c>
      <c r="I4" s="173">
        <v>10.45</v>
      </c>
      <c r="J4" s="174"/>
      <c r="K4" s="175" t="s">
        <v>72</v>
      </c>
      <c r="L4" s="175" t="s">
        <v>73</v>
      </c>
      <c r="M4" s="175">
        <v>-369</v>
      </c>
      <c r="N4" s="176">
        <v>1</v>
      </c>
      <c r="O4" s="176">
        <v>200</v>
      </c>
      <c r="P4" s="175" t="s">
        <v>74</v>
      </c>
      <c r="Q4" s="175" t="s">
        <v>75</v>
      </c>
      <c r="R4" s="175" t="s">
        <v>87</v>
      </c>
      <c r="S4" s="177"/>
      <c r="T4" s="177"/>
      <c r="U4" s="175"/>
      <c r="V4" s="178">
        <v>2100</v>
      </c>
      <c r="W4" s="179"/>
      <c r="X4" s="177"/>
      <c r="Y4" s="177"/>
      <c r="Z4" s="177"/>
      <c r="AA4" s="177"/>
      <c r="AB4" s="180"/>
      <c r="AC4" s="174">
        <v>160.19999999999999</v>
      </c>
      <c r="AD4" s="177">
        <v>-110</v>
      </c>
      <c r="AE4" s="177">
        <v>3.3</v>
      </c>
      <c r="AF4" s="177">
        <v>-1.42</v>
      </c>
      <c r="AG4" s="177">
        <v>109.8</v>
      </c>
      <c r="AH4" s="177">
        <v>-110.1</v>
      </c>
      <c r="AI4" s="177">
        <v>3.81</v>
      </c>
      <c r="AJ4" s="174">
        <v>-0.26</v>
      </c>
      <c r="AK4" s="181"/>
      <c r="AL4" s="182" t="s">
        <v>90</v>
      </c>
      <c r="AM4" s="183"/>
      <c r="AN4" s="182"/>
      <c r="AO4" s="173"/>
      <c r="AP4" s="184"/>
      <c r="AQ4" s="185"/>
      <c r="AR4" s="186"/>
      <c r="AS4" s="187"/>
      <c r="AT4" s="188"/>
      <c r="AU4" s="187"/>
      <c r="AV4" s="187"/>
      <c r="AW4" s="177"/>
      <c r="AX4" s="177"/>
      <c r="AY4" s="177"/>
      <c r="AZ4" s="177"/>
      <c r="BA4" s="187"/>
      <c r="BB4" s="180"/>
      <c r="BC4" s="182"/>
      <c r="BD4" s="182"/>
      <c r="BE4" s="182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89"/>
    </row>
    <row r="5" spans="1:70" s="149" customFormat="1">
      <c r="A5" s="128">
        <v>3</v>
      </c>
      <c r="B5" s="129" t="s">
        <v>55</v>
      </c>
      <c r="C5" s="130">
        <v>2.7777777777777776E-2</v>
      </c>
      <c r="D5" s="131">
        <v>40473</v>
      </c>
      <c r="E5" s="131">
        <v>2.7778000000000001E-2</v>
      </c>
      <c r="F5" s="132">
        <v>43117.75</v>
      </c>
      <c r="G5" s="133">
        <v>43117.75</v>
      </c>
      <c r="H5" s="134">
        <v>0</v>
      </c>
      <c r="I5" s="135">
        <v>10.45</v>
      </c>
      <c r="J5" s="136"/>
      <c r="K5" s="137" t="s">
        <v>72</v>
      </c>
      <c r="L5" s="137" t="s">
        <v>73</v>
      </c>
      <c r="M5" s="137">
        <v>-369</v>
      </c>
      <c r="N5" s="138">
        <v>1</v>
      </c>
      <c r="O5" s="138">
        <v>200</v>
      </c>
      <c r="P5" s="137" t="s">
        <v>74</v>
      </c>
      <c r="Q5" s="137" t="s">
        <v>75</v>
      </c>
      <c r="R5" s="137" t="s">
        <v>87</v>
      </c>
      <c r="S5" s="139"/>
      <c r="T5" s="139"/>
      <c r="U5" s="137"/>
      <c r="V5" s="140" t="s">
        <v>123</v>
      </c>
      <c r="W5" s="141"/>
      <c r="X5" s="139"/>
      <c r="Y5" s="139"/>
      <c r="Z5" s="139"/>
      <c r="AA5" s="139"/>
      <c r="AB5" s="142"/>
      <c r="AC5" s="136">
        <v>160.19999999999999</v>
      </c>
      <c r="AD5" s="139">
        <v>-110</v>
      </c>
      <c r="AE5" s="139">
        <v>3.3</v>
      </c>
      <c r="AF5" s="139">
        <v>-1.42</v>
      </c>
      <c r="AG5" s="139">
        <v>109.8</v>
      </c>
      <c r="AH5" s="139">
        <v>-110.1</v>
      </c>
      <c r="AI5" s="139">
        <v>3.81</v>
      </c>
      <c r="AJ5" s="136">
        <v>-0.26</v>
      </c>
      <c r="AK5" s="143"/>
      <c r="AL5" s="144" t="s">
        <v>89</v>
      </c>
      <c r="AM5" s="145"/>
      <c r="AN5" s="144"/>
      <c r="AO5" s="135"/>
      <c r="AP5" s="146"/>
      <c r="AQ5" s="158"/>
      <c r="AR5" s="162"/>
      <c r="AS5" s="147"/>
      <c r="AT5" s="164"/>
      <c r="AU5" s="147"/>
      <c r="AV5" s="147"/>
      <c r="AW5" s="139"/>
      <c r="AX5" s="139"/>
      <c r="AY5" s="139"/>
      <c r="AZ5" s="139"/>
      <c r="BA5" s="147"/>
      <c r="BB5" s="142"/>
      <c r="BC5" s="144"/>
      <c r="BD5" s="144"/>
      <c r="BE5" s="144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</row>
    <row r="6" spans="1:70" s="190" customFormat="1">
      <c r="A6" s="176">
        <v>4</v>
      </c>
      <c r="B6" s="167" t="s">
        <v>55</v>
      </c>
      <c r="C6" s="168">
        <v>2.7777777777777776E-2</v>
      </c>
      <c r="D6" s="169">
        <v>40473</v>
      </c>
      <c r="E6" s="169">
        <v>2.7778000000000001E-2</v>
      </c>
      <c r="F6" s="170">
        <v>43118.541666666664</v>
      </c>
      <c r="G6" s="171">
        <v>43118.541666666664</v>
      </c>
      <c r="H6" s="172">
        <f t="shared" ref="H6" si="0">G6-F6</f>
        <v>0</v>
      </c>
      <c r="I6" s="173">
        <v>31.56</v>
      </c>
      <c r="J6" s="174"/>
      <c r="K6" s="175" t="s">
        <v>56</v>
      </c>
      <c r="L6" s="175" t="s">
        <v>57</v>
      </c>
      <c r="M6" s="175">
        <v>-369</v>
      </c>
      <c r="N6" s="176">
        <v>1</v>
      </c>
      <c r="O6" s="176">
        <v>200</v>
      </c>
      <c r="P6" s="175" t="s">
        <v>60</v>
      </c>
      <c r="Q6" s="175" t="s">
        <v>58</v>
      </c>
      <c r="R6" s="175" t="s">
        <v>91</v>
      </c>
      <c r="S6" s="177"/>
      <c r="T6" s="177"/>
      <c r="U6" s="175"/>
      <c r="V6" s="178"/>
      <c r="W6" s="179"/>
      <c r="X6" s="177"/>
      <c r="Y6" s="177"/>
      <c r="Z6" s="177"/>
      <c r="AA6" s="177"/>
      <c r="AB6" s="180"/>
      <c r="AC6" s="174">
        <v>160.19999999999999</v>
      </c>
      <c r="AD6" s="177">
        <v>-110</v>
      </c>
      <c r="AE6" s="177">
        <v>3.3</v>
      </c>
      <c r="AF6" s="177">
        <v>-1.42</v>
      </c>
      <c r="AG6" s="177">
        <v>109.8</v>
      </c>
      <c r="AH6" s="177">
        <v>-110</v>
      </c>
      <c r="AI6" s="177">
        <v>3.81</v>
      </c>
      <c r="AJ6" s="174">
        <v>-0.26</v>
      </c>
      <c r="AK6" s="181"/>
      <c r="AL6" s="182" t="s">
        <v>92</v>
      </c>
      <c r="AM6" s="183"/>
      <c r="AN6" s="182"/>
      <c r="AO6" s="173"/>
      <c r="AP6" s="184"/>
      <c r="AQ6" s="185"/>
      <c r="AR6" s="186"/>
      <c r="AS6" s="187"/>
      <c r="AT6" s="188"/>
      <c r="AU6" s="187"/>
      <c r="AV6" s="187"/>
      <c r="AW6" s="177"/>
      <c r="AX6" s="177"/>
      <c r="AY6" s="177"/>
      <c r="AZ6" s="177"/>
      <c r="BA6" s="187"/>
      <c r="BB6" s="180"/>
      <c r="BC6" s="182"/>
      <c r="BD6" s="182"/>
      <c r="BE6" s="182"/>
      <c r="BF6" s="189"/>
      <c r="BG6" s="189"/>
      <c r="BH6" s="189"/>
      <c r="BI6" s="189"/>
      <c r="BJ6" s="189"/>
      <c r="BK6" s="189"/>
      <c r="BL6" s="189"/>
      <c r="BM6" s="189"/>
      <c r="BN6" s="189"/>
      <c r="BO6" s="189"/>
      <c r="BP6" s="189"/>
      <c r="BQ6" s="189"/>
      <c r="BR6" s="189"/>
    </row>
    <row r="7" spans="1:70" s="190" customFormat="1">
      <c r="A7" s="176">
        <v>5</v>
      </c>
      <c r="B7" s="167" t="s">
        <v>55</v>
      </c>
      <c r="C7" s="168">
        <v>0.22222222222222221</v>
      </c>
      <c r="D7" s="169">
        <v>40473</v>
      </c>
      <c r="E7" s="169">
        <v>0.222222</v>
      </c>
      <c r="F7" s="170">
        <v>43118.541666666664</v>
      </c>
      <c r="G7" s="171">
        <v>43118.541666666664</v>
      </c>
      <c r="H7" s="172">
        <f t="shared" ref="H7:H28" si="1">G7-F7</f>
        <v>0</v>
      </c>
      <c r="I7" s="173">
        <v>31.56</v>
      </c>
      <c r="J7" s="174"/>
      <c r="K7" s="175" t="s">
        <v>56</v>
      </c>
      <c r="L7" s="175" t="s">
        <v>57</v>
      </c>
      <c r="M7" s="175">
        <v>-369</v>
      </c>
      <c r="N7" s="176">
        <v>1</v>
      </c>
      <c r="O7" s="176">
        <v>200</v>
      </c>
      <c r="P7" s="175" t="s">
        <v>60</v>
      </c>
      <c r="Q7" s="175" t="s">
        <v>58</v>
      </c>
      <c r="R7" s="175" t="s">
        <v>93</v>
      </c>
      <c r="S7" s="177"/>
      <c r="T7" s="177"/>
      <c r="U7" s="175"/>
      <c r="V7" s="178"/>
      <c r="W7" s="179"/>
      <c r="X7" s="177"/>
      <c r="Y7" s="177"/>
      <c r="Z7" s="177"/>
      <c r="AA7" s="177"/>
      <c r="AB7" s="180"/>
      <c r="AC7" s="174">
        <v>160.19999999999999</v>
      </c>
      <c r="AD7" s="177">
        <v>-110</v>
      </c>
      <c r="AE7" s="177">
        <v>3.3</v>
      </c>
      <c r="AF7" s="177">
        <v>-1.42</v>
      </c>
      <c r="AG7" s="177">
        <v>109.8</v>
      </c>
      <c r="AH7" s="177">
        <v>-110</v>
      </c>
      <c r="AI7" s="177">
        <v>3.81</v>
      </c>
      <c r="AJ7" s="174">
        <v>-0.26</v>
      </c>
      <c r="AK7" s="181"/>
      <c r="AL7" s="182" t="s">
        <v>92</v>
      </c>
      <c r="AM7" s="183"/>
      <c r="AN7" s="182"/>
      <c r="AO7" s="173"/>
      <c r="AP7" s="184"/>
      <c r="AQ7" s="185"/>
      <c r="AR7" s="186"/>
      <c r="AS7" s="187"/>
      <c r="AT7" s="188"/>
      <c r="AU7" s="187"/>
      <c r="AV7" s="187"/>
      <c r="AW7" s="177"/>
      <c r="AX7" s="177"/>
      <c r="AY7" s="177"/>
      <c r="AZ7" s="177"/>
      <c r="BA7" s="187"/>
      <c r="BB7" s="180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</row>
    <row r="8" spans="1:70" s="190" customFormat="1">
      <c r="A8" s="176">
        <v>6</v>
      </c>
      <c r="B8" s="167" t="s">
        <v>55</v>
      </c>
      <c r="C8" s="168">
        <v>0.2722222222222222</v>
      </c>
      <c r="D8" s="169">
        <v>40473</v>
      </c>
      <c r="E8" s="169">
        <v>0.27222200000000002</v>
      </c>
      <c r="F8" s="170">
        <v>43118.541666666664</v>
      </c>
      <c r="G8" s="171">
        <v>43118.541666666664</v>
      </c>
      <c r="H8" s="172">
        <f t="shared" si="1"/>
        <v>0</v>
      </c>
      <c r="I8" s="173">
        <v>31.56</v>
      </c>
      <c r="J8" s="174"/>
      <c r="K8" s="175" t="s">
        <v>56</v>
      </c>
      <c r="L8" s="175" t="s">
        <v>57</v>
      </c>
      <c r="M8" s="175">
        <v>-369</v>
      </c>
      <c r="N8" s="176">
        <v>1</v>
      </c>
      <c r="O8" s="176">
        <v>200</v>
      </c>
      <c r="P8" s="175" t="s">
        <v>60</v>
      </c>
      <c r="Q8" s="175" t="s">
        <v>58</v>
      </c>
      <c r="R8" s="175" t="s">
        <v>93</v>
      </c>
      <c r="S8" s="177"/>
      <c r="T8" s="177"/>
      <c r="U8" s="175"/>
      <c r="V8" s="178"/>
      <c r="W8" s="179"/>
      <c r="X8" s="177"/>
      <c r="Y8" s="177"/>
      <c r="Z8" s="177"/>
      <c r="AA8" s="177"/>
      <c r="AB8" s="180"/>
      <c r="AC8" s="174">
        <v>160.19999999999999</v>
      </c>
      <c r="AD8" s="177">
        <v>-110</v>
      </c>
      <c r="AE8" s="177">
        <v>3.3</v>
      </c>
      <c r="AF8" s="177">
        <v>-1.42</v>
      </c>
      <c r="AG8" s="177">
        <v>109.8</v>
      </c>
      <c r="AH8" s="177">
        <v>-110</v>
      </c>
      <c r="AI8" s="177">
        <v>3.81</v>
      </c>
      <c r="AJ8" s="174">
        <v>-0.26</v>
      </c>
      <c r="AK8" s="181"/>
      <c r="AL8" s="182" t="s">
        <v>94</v>
      </c>
      <c r="AM8" s="183"/>
      <c r="AN8" s="182"/>
      <c r="AO8" s="173"/>
      <c r="AP8" s="184"/>
      <c r="AQ8" s="185"/>
      <c r="AR8" s="186"/>
      <c r="AS8" s="187"/>
      <c r="AT8" s="188"/>
      <c r="AU8" s="187"/>
      <c r="AV8" s="187"/>
      <c r="AW8" s="177"/>
      <c r="AX8" s="177"/>
      <c r="AY8" s="177"/>
      <c r="AZ8" s="177"/>
      <c r="BA8" s="187"/>
      <c r="BB8" s="180"/>
      <c r="BC8" s="189"/>
      <c r="BD8" s="189"/>
      <c r="BE8" s="189"/>
      <c r="BF8" s="189"/>
      <c r="BG8" s="189"/>
      <c r="BH8" s="189"/>
      <c r="BI8" s="189"/>
      <c r="BJ8" s="189"/>
      <c r="BK8" s="189"/>
      <c r="BL8" s="189"/>
      <c r="BM8" s="189"/>
      <c r="BN8" s="189"/>
      <c r="BO8" s="189"/>
      <c r="BP8" s="189"/>
      <c r="BQ8" s="189"/>
      <c r="BR8" s="189"/>
    </row>
    <row r="9" spans="1:70" s="190" customFormat="1">
      <c r="A9" s="176">
        <v>7</v>
      </c>
      <c r="B9" s="167" t="s">
        <v>55</v>
      </c>
      <c r="C9" s="168">
        <v>0.18124999999999999</v>
      </c>
      <c r="D9" s="169">
        <v>40474</v>
      </c>
      <c r="E9" s="169">
        <v>0.18124999999999999</v>
      </c>
      <c r="F9" s="170">
        <v>43118.541666666664</v>
      </c>
      <c r="G9" s="171">
        <v>43118.541666666664</v>
      </c>
      <c r="H9" s="172">
        <f t="shared" si="1"/>
        <v>0</v>
      </c>
      <c r="I9" s="173">
        <v>31.56</v>
      </c>
      <c r="J9" s="174"/>
      <c r="K9" s="175" t="s">
        <v>56</v>
      </c>
      <c r="L9" s="175" t="s">
        <v>57</v>
      </c>
      <c r="M9" s="175">
        <v>-369</v>
      </c>
      <c r="N9" s="176">
        <v>1</v>
      </c>
      <c r="O9" s="176">
        <v>200</v>
      </c>
      <c r="P9" s="175" t="s">
        <v>60</v>
      </c>
      <c r="Q9" s="175" t="s">
        <v>58</v>
      </c>
      <c r="R9" s="175" t="s">
        <v>93</v>
      </c>
      <c r="S9" s="177"/>
      <c r="T9" s="177"/>
      <c r="U9" s="175"/>
      <c r="V9" s="178"/>
      <c r="W9" s="179"/>
      <c r="X9" s="177"/>
      <c r="Y9" s="177"/>
      <c r="Z9" s="177"/>
      <c r="AA9" s="177"/>
      <c r="AB9" s="180"/>
      <c r="AC9" s="174">
        <v>160.19999999999999</v>
      </c>
      <c r="AD9" s="177">
        <v>-110</v>
      </c>
      <c r="AE9" s="177">
        <v>3.3</v>
      </c>
      <c r="AF9" s="177">
        <v>-1.42</v>
      </c>
      <c r="AG9" s="177">
        <v>109.8</v>
      </c>
      <c r="AH9" s="177">
        <v>-110</v>
      </c>
      <c r="AI9" s="177">
        <v>3.81</v>
      </c>
      <c r="AJ9" s="174">
        <v>-0.26</v>
      </c>
      <c r="AK9" s="181"/>
      <c r="AL9" s="182" t="s">
        <v>94</v>
      </c>
      <c r="AM9" s="183"/>
      <c r="AN9" s="182"/>
      <c r="AO9" s="173"/>
      <c r="AP9" s="184"/>
      <c r="AQ9" s="185"/>
      <c r="AR9" s="186"/>
      <c r="AS9" s="187"/>
      <c r="AT9" s="188"/>
      <c r="AU9" s="187"/>
      <c r="AV9" s="187"/>
      <c r="AW9" s="177"/>
      <c r="AX9" s="177"/>
      <c r="AY9" s="177"/>
      <c r="AZ9" s="177"/>
      <c r="BA9" s="187"/>
      <c r="BB9" s="180"/>
      <c r="BC9" s="189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</row>
    <row r="10" spans="1:70" s="190" customFormat="1">
      <c r="A10" s="176">
        <v>8</v>
      </c>
      <c r="B10" s="167" t="s">
        <v>55</v>
      </c>
      <c r="C10" s="168">
        <v>0.21527777777777779</v>
      </c>
      <c r="D10" s="169">
        <v>40474</v>
      </c>
      <c r="E10" s="169">
        <v>0.215278</v>
      </c>
      <c r="F10" s="170">
        <v>43118.541666666664</v>
      </c>
      <c r="G10" s="171">
        <v>43118.541666666664</v>
      </c>
      <c r="H10" s="172">
        <f t="shared" si="1"/>
        <v>0</v>
      </c>
      <c r="I10" s="173">
        <v>31.56</v>
      </c>
      <c r="J10" s="174"/>
      <c r="K10" s="175" t="s">
        <v>56</v>
      </c>
      <c r="L10" s="175" t="s">
        <v>57</v>
      </c>
      <c r="M10" s="175">
        <v>-369</v>
      </c>
      <c r="N10" s="176">
        <v>1</v>
      </c>
      <c r="O10" s="176">
        <v>200</v>
      </c>
      <c r="P10" s="175" t="s">
        <v>60</v>
      </c>
      <c r="Q10" s="175" t="s">
        <v>58</v>
      </c>
      <c r="R10" s="175" t="s">
        <v>93</v>
      </c>
      <c r="S10" s="177"/>
      <c r="T10" s="177"/>
      <c r="U10" s="175"/>
      <c r="V10" s="178"/>
      <c r="W10" s="179"/>
      <c r="X10" s="177"/>
      <c r="Y10" s="177"/>
      <c r="Z10" s="177"/>
      <c r="AA10" s="177"/>
      <c r="AB10" s="180"/>
      <c r="AC10" s="174">
        <v>160.19999999999999</v>
      </c>
      <c r="AD10" s="177">
        <v>-110</v>
      </c>
      <c r="AE10" s="177">
        <v>3.3</v>
      </c>
      <c r="AF10" s="177">
        <v>-1.42</v>
      </c>
      <c r="AG10" s="177">
        <v>109.8</v>
      </c>
      <c r="AH10" s="177">
        <v>-110</v>
      </c>
      <c r="AI10" s="177">
        <v>3.81</v>
      </c>
      <c r="AJ10" s="174">
        <v>-0.26</v>
      </c>
      <c r="AK10" s="181"/>
      <c r="AL10" s="182" t="s">
        <v>94</v>
      </c>
      <c r="AM10" s="183"/>
      <c r="AN10" s="182"/>
      <c r="AO10" s="173"/>
      <c r="AP10" s="184"/>
      <c r="AQ10" s="185"/>
      <c r="AR10" s="186"/>
      <c r="AS10" s="187"/>
      <c r="AT10" s="188"/>
      <c r="AU10" s="187"/>
      <c r="AV10" s="187"/>
      <c r="AW10" s="177"/>
      <c r="AX10" s="177"/>
      <c r="AY10" s="177"/>
      <c r="AZ10" s="177"/>
      <c r="BA10" s="187"/>
      <c r="BB10" s="180"/>
      <c r="BC10" s="189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</row>
    <row r="11" spans="1:70" s="190" customFormat="1">
      <c r="A11" s="176">
        <v>9</v>
      </c>
      <c r="B11" s="167" t="s">
        <v>55</v>
      </c>
      <c r="C11" s="168">
        <v>0.23611111111111113</v>
      </c>
      <c r="D11" s="169">
        <v>40474</v>
      </c>
      <c r="E11" s="169">
        <v>0.23611099999999999</v>
      </c>
      <c r="F11" s="170">
        <v>43118.541666666664</v>
      </c>
      <c r="G11" s="171">
        <v>43118.541666666664</v>
      </c>
      <c r="H11" s="172">
        <f t="shared" si="1"/>
        <v>0</v>
      </c>
      <c r="I11" s="173">
        <v>31.56</v>
      </c>
      <c r="J11" s="174"/>
      <c r="K11" s="175" t="s">
        <v>56</v>
      </c>
      <c r="L11" s="175" t="s">
        <v>57</v>
      </c>
      <c r="M11" s="175">
        <v>-369</v>
      </c>
      <c r="N11" s="176">
        <v>1</v>
      </c>
      <c r="O11" s="176">
        <v>200</v>
      </c>
      <c r="P11" s="175" t="s">
        <v>60</v>
      </c>
      <c r="Q11" s="175" t="s">
        <v>58</v>
      </c>
      <c r="R11" s="175" t="s">
        <v>93</v>
      </c>
      <c r="S11" s="177"/>
      <c r="T11" s="177"/>
      <c r="U11" s="175"/>
      <c r="V11" s="178"/>
      <c r="W11" s="179"/>
      <c r="X11" s="177"/>
      <c r="Y11" s="177"/>
      <c r="Z11" s="177"/>
      <c r="AA11" s="177"/>
      <c r="AB11" s="180"/>
      <c r="AC11" s="174">
        <v>160.19999999999999</v>
      </c>
      <c r="AD11" s="177">
        <v>-110</v>
      </c>
      <c r="AE11" s="177">
        <v>3.3</v>
      </c>
      <c r="AF11" s="177">
        <v>-1.42</v>
      </c>
      <c r="AG11" s="177">
        <v>109.8</v>
      </c>
      <c r="AH11" s="177">
        <v>-110</v>
      </c>
      <c r="AI11" s="177">
        <v>3.81</v>
      </c>
      <c r="AJ11" s="174">
        <v>-0.26</v>
      </c>
      <c r="AK11" s="181"/>
      <c r="AL11" s="182" t="s">
        <v>94</v>
      </c>
      <c r="AM11" s="183"/>
      <c r="AN11" s="182"/>
      <c r="AO11" s="173"/>
      <c r="AP11" s="184"/>
      <c r="AQ11" s="185"/>
      <c r="AR11" s="186"/>
      <c r="AS11" s="187"/>
      <c r="AT11" s="188"/>
      <c r="AU11" s="187"/>
      <c r="AV11" s="187"/>
      <c r="AW11" s="177"/>
      <c r="AX11" s="177"/>
      <c r="AY11" s="177"/>
      <c r="AZ11" s="177"/>
      <c r="BA11" s="187"/>
      <c r="BB11" s="180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</row>
    <row r="12" spans="1:70" s="190" customFormat="1">
      <c r="A12" s="176">
        <v>10</v>
      </c>
      <c r="B12" s="167" t="s">
        <v>55</v>
      </c>
      <c r="C12" s="168">
        <v>0.25833333333333336</v>
      </c>
      <c r="D12" s="169">
        <v>40474</v>
      </c>
      <c r="E12" s="169">
        <v>0.25833299999999998</v>
      </c>
      <c r="F12" s="170">
        <v>43118.541666666664</v>
      </c>
      <c r="G12" s="171">
        <v>43118.541666666664</v>
      </c>
      <c r="H12" s="172">
        <f t="shared" si="1"/>
        <v>0</v>
      </c>
      <c r="I12" s="173">
        <v>31.56</v>
      </c>
      <c r="J12" s="174"/>
      <c r="K12" s="175" t="s">
        <v>56</v>
      </c>
      <c r="L12" s="175" t="s">
        <v>57</v>
      </c>
      <c r="M12" s="175">
        <v>-369</v>
      </c>
      <c r="N12" s="176">
        <v>1</v>
      </c>
      <c r="O12" s="176">
        <v>200</v>
      </c>
      <c r="P12" s="175" t="s">
        <v>60</v>
      </c>
      <c r="Q12" s="175" t="s">
        <v>58</v>
      </c>
      <c r="R12" s="175" t="s">
        <v>93</v>
      </c>
      <c r="S12" s="177"/>
      <c r="T12" s="177"/>
      <c r="U12" s="175"/>
      <c r="V12" s="178"/>
      <c r="W12" s="179"/>
      <c r="X12" s="177"/>
      <c r="Y12" s="177"/>
      <c r="Z12" s="177"/>
      <c r="AA12" s="177"/>
      <c r="AB12" s="180"/>
      <c r="AC12" s="174">
        <v>160.19999999999999</v>
      </c>
      <c r="AD12" s="177">
        <v>-110</v>
      </c>
      <c r="AE12" s="177">
        <v>3.3</v>
      </c>
      <c r="AF12" s="177">
        <v>-1.42</v>
      </c>
      <c r="AG12" s="177">
        <v>109.8</v>
      </c>
      <c r="AH12" s="177">
        <v>-110</v>
      </c>
      <c r="AI12" s="177">
        <v>3.81</v>
      </c>
      <c r="AJ12" s="174">
        <v>-0.26</v>
      </c>
      <c r="AK12" s="181"/>
      <c r="AL12" s="182" t="s">
        <v>94</v>
      </c>
      <c r="AM12" s="183"/>
      <c r="AN12" s="182"/>
      <c r="AO12" s="173"/>
      <c r="AP12" s="184"/>
      <c r="AQ12" s="185"/>
      <c r="AR12" s="186"/>
      <c r="AS12" s="187"/>
      <c r="AT12" s="188"/>
      <c r="AU12" s="187"/>
      <c r="AV12" s="187"/>
      <c r="AW12" s="177"/>
      <c r="AX12" s="177"/>
      <c r="AY12" s="177"/>
      <c r="AZ12" s="177"/>
      <c r="BA12" s="187"/>
      <c r="BB12" s="180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</row>
    <row r="13" spans="1:70" s="190" customFormat="1">
      <c r="A13" s="176">
        <v>11</v>
      </c>
      <c r="B13" s="167" t="s">
        <v>55</v>
      </c>
      <c r="C13" s="168">
        <v>0.28194444444444444</v>
      </c>
      <c r="D13" s="169">
        <v>40474</v>
      </c>
      <c r="E13" s="169">
        <v>0.28194399999999997</v>
      </c>
      <c r="F13" s="170">
        <v>43118.541666666664</v>
      </c>
      <c r="G13" s="171">
        <v>43118.541666666664</v>
      </c>
      <c r="H13" s="172">
        <f t="shared" si="1"/>
        <v>0</v>
      </c>
      <c r="I13" s="173">
        <v>31.56</v>
      </c>
      <c r="J13" s="174"/>
      <c r="K13" s="175" t="s">
        <v>56</v>
      </c>
      <c r="L13" s="175" t="s">
        <v>57</v>
      </c>
      <c r="M13" s="175">
        <v>-369</v>
      </c>
      <c r="N13" s="176">
        <v>1</v>
      </c>
      <c r="O13" s="176">
        <v>200</v>
      </c>
      <c r="P13" s="175" t="s">
        <v>60</v>
      </c>
      <c r="Q13" s="175" t="s">
        <v>58</v>
      </c>
      <c r="R13" s="175" t="s">
        <v>93</v>
      </c>
      <c r="S13" s="177"/>
      <c r="T13" s="177"/>
      <c r="U13" s="175"/>
      <c r="V13" s="178"/>
      <c r="W13" s="179"/>
      <c r="X13" s="177"/>
      <c r="Y13" s="177"/>
      <c r="Z13" s="177"/>
      <c r="AA13" s="177"/>
      <c r="AB13" s="180"/>
      <c r="AC13" s="174">
        <v>160.19999999999999</v>
      </c>
      <c r="AD13" s="177">
        <v>-110</v>
      </c>
      <c r="AE13" s="177">
        <v>3.3</v>
      </c>
      <c r="AF13" s="177">
        <v>-1.42</v>
      </c>
      <c r="AG13" s="177">
        <v>109.8</v>
      </c>
      <c r="AH13" s="177">
        <v>-110</v>
      </c>
      <c r="AI13" s="177">
        <v>3.81</v>
      </c>
      <c r="AJ13" s="174">
        <v>-0.26</v>
      </c>
      <c r="AK13" s="181"/>
      <c r="AL13" s="182" t="s">
        <v>94</v>
      </c>
      <c r="AM13" s="183"/>
      <c r="AN13" s="182"/>
      <c r="AO13" s="173"/>
      <c r="AP13" s="184"/>
      <c r="AQ13" s="185"/>
      <c r="AR13" s="186"/>
      <c r="AS13" s="187"/>
      <c r="AT13" s="188"/>
      <c r="AU13" s="187"/>
      <c r="AV13" s="187"/>
      <c r="AW13" s="177"/>
      <c r="AX13" s="177"/>
      <c r="AY13" s="177"/>
      <c r="AZ13" s="177"/>
      <c r="BA13" s="187"/>
      <c r="BB13" s="180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</row>
    <row r="14" spans="1:70" s="190" customFormat="1">
      <c r="A14" s="176">
        <v>12</v>
      </c>
      <c r="B14" s="167" t="s">
        <v>55</v>
      </c>
      <c r="C14" s="168">
        <v>0.30555555555555552</v>
      </c>
      <c r="D14" s="169">
        <v>40474</v>
      </c>
      <c r="E14" s="169">
        <v>0.30555599999999999</v>
      </c>
      <c r="F14" s="170">
        <v>43118.541666666664</v>
      </c>
      <c r="G14" s="171">
        <v>43118.541666666664</v>
      </c>
      <c r="H14" s="172">
        <f t="shared" si="1"/>
        <v>0</v>
      </c>
      <c r="I14" s="173">
        <v>31.56</v>
      </c>
      <c r="J14" s="174"/>
      <c r="K14" s="175" t="s">
        <v>56</v>
      </c>
      <c r="L14" s="175" t="s">
        <v>57</v>
      </c>
      <c r="M14" s="175">
        <v>-369</v>
      </c>
      <c r="N14" s="176">
        <v>1</v>
      </c>
      <c r="O14" s="176">
        <v>200</v>
      </c>
      <c r="P14" s="175" t="s">
        <v>60</v>
      </c>
      <c r="Q14" s="175" t="s">
        <v>58</v>
      </c>
      <c r="R14" s="175" t="s">
        <v>93</v>
      </c>
      <c r="S14" s="177"/>
      <c r="T14" s="177"/>
      <c r="U14" s="175"/>
      <c r="V14" s="178"/>
      <c r="W14" s="179"/>
      <c r="X14" s="177"/>
      <c r="Y14" s="177"/>
      <c r="Z14" s="177"/>
      <c r="AA14" s="177"/>
      <c r="AB14" s="180"/>
      <c r="AC14" s="174">
        <v>160.19999999999999</v>
      </c>
      <c r="AD14" s="177">
        <v>-110</v>
      </c>
      <c r="AE14" s="177">
        <v>3.3</v>
      </c>
      <c r="AF14" s="177">
        <v>-1.42</v>
      </c>
      <c r="AG14" s="177">
        <v>109.8</v>
      </c>
      <c r="AH14" s="177">
        <v>-110</v>
      </c>
      <c r="AI14" s="177">
        <v>3.81</v>
      </c>
      <c r="AJ14" s="174">
        <v>-0.26</v>
      </c>
      <c r="AK14" s="181"/>
      <c r="AL14" s="182" t="s">
        <v>94</v>
      </c>
      <c r="AM14" s="183"/>
      <c r="AN14" s="182"/>
      <c r="AO14" s="173"/>
      <c r="AP14" s="184"/>
      <c r="AQ14" s="185"/>
      <c r="AR14" s="186"/>
      <c r="AS14" s="187"/>
      <c r="AT14" s="188"/>
      <c r="AU14" s="187"/>
      <c r="AV14" s="187"/>
      <c r="AW14" s="177"/>
      <c r="AX14" s="177"/>
      <c r="AY14" s="177"/>
      <c r="AZ14" s="177"/>
      <c r="BA14" s="187"/>
      <c r="BB14" s="180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</row>
    <row r="15" spans="1:70" s="190" customFormat="1">
      <c r="A15" s="176">
        <v>13</v>
      </c>
      <c r="B15" s="167" t="s">
        <v>55</v>
      </c>
      <c r="C15" s="168">
        <v>0.32430555555555557</v>
      </c>
      <c r="D15" s="169">
        <v>40474</v>
      </c>
      <c r="E15" s="169">
        <v>0.32430599999999998</v>
      </c>
      <c r="F15" s="170">
        <v>43118.541666666664</v>
      </c>
      <c r="G15" s="171">
        <v>43118.541666666664</v>
      </c>
      <c r="H15" s="172">
        <f t="shared" si="1"/>
        <v>0</v>
      </c>
      <c r="I15" s="173">
        <v>31.56</v>
      </c>
      <c r="J15" s="174"/>
      <c r="K15" s="175" t="s">
        <v>56</v>
      </c>
      <c r="L15" s="175" t="s">
        <v>57</v>
      </c>
      <c r="M15" s="175">
        <v>-369</v>
      </c>
      <c r="N15" s="176">
        <v>1</v>
      </c>
      <c r="O15" s="176">
        <v>200</v>
      </c>
      <c r="P15" s="175" t="s">
        <v>60</v>
      </c>
      <c r="Q15" s="175" t="s">
        <v>58</v>
      </c>
      <c r="R15" s="175" t="s">
        <v>93</v>
      </c>
      <c r="S15" s="177"/>
      <c r="T15" s="177"/>
      <c r="U15" s="175"/>
      <c r="V15" s="178"/>
      <c r="W15" s="179"/>
      <c r="X15" s="177"/>
      <c r="Y15" s="177"/>
      <c r="Z15" s="177"/>
      <c r="AA15" s="177"/>
      <c r="AB15" s="180"/>
      <c r="AC15" s="174">
        <v>160.19999999999999</v>
      </c>
      <c r="AD15" s="177">
        <v>-110</v>
      </c>
      <c r="AE15" s="177">
        <v>3.3</v>
      </c>
      <c r="AF15" s="177">
        <v>-1.42</v>
      </c>
      <c r="AG15" s="177">
        <v>109.8</v>
      </c>
      <c r="AH15" s="177">
        <v>-110</v>
      </c>
      <c r="AI15" s="177">
        <v>3.81</v>
      </c>
      <c r="AJ15" s="174">
        <v>-0.26</v>
      </c>
      <c r="AK15" s="181"/>
      <c r="AL15" s="182" t="s">
        <v>94</v>
      </c>
      <c r="AM15" s="183"/>
      <c r="AN15" s="182"/>
      <c r="AO15" s="173"/>
      <c r="AP15" s="184"/>
      <c r="AQ15" s="185"/>
      <c r="AR15" s="186"/>
      <c r="AS15" s="187"/>
      <c r="AT15" s="188"/>
      <c r="AU15" s="187"/>
      <c r="AV15" s="187"/>
      <c r="AW15" s="177"/>
      <c r="AX15" s="177"/>
      <c r="AY15" s="177"/>
      <c r="AZ15" s="177"/>
      <c r="BA15" s="187"/>
      <c r="BB15" s="180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</row>
    <row r="16" spans="1:70" s="190" customFormat="1">
      <c r="A16" s="176">
        <v>14</v>
      </c>
      <c r="B16" s="167" t="s">
        <v>55</v>
      </c>
      <c r="C16" s="168">
        <v>0.34652777777777777</v>
      </c>
      <c r="D16" s="169">
        <v>40474</v>
      </c>
      <c r="E16" s="169">
        <v>0.346528</v>
      </c>
      <c r="F16" s="170">
        <v>43118.541666666664</v>
      </c>
      <c r="G16" s="171">
        <v>43118.541666666664</v>
      </c>
      <c r="H16" s="172">
        <f t="shared" si="1"/>
        <v>0</v>
      </c>
      <c r="I16" s="173">
        <v>31.56</v>
      </c>
      <c r="J16" s="174"/>
      <c r="K16" s="175" t="s">
        <v>56</v>
      </c>
      <c r="L16" s="175" t="s">
        <v>57</v>
      </c>
      <c r="M16" s="175">
        <v>-369</v>
      </c>
      <c r="N16" s="176">
        <v>1</v>
      </c>
      <c r="O16" s="176">
        <v>200</v>
      </c>
      <c r="P16" s="175" t="s">
        <v>60</v>
      </c>
      <c r="Q16" s="175" t="s">
        <v>58</v>
      </c>
      <c r="R16" s="175" t="s">
        <v>93</v>
      </c>
      <c r="S16" s="177"/>
      <c r="T16" s="177"/>
      <c r="U16" s="175"/>
      <c r="V16" s="178"/>
      <c r="W16" s="179"/>
      <c r="X16" s="177"/>
      <c r="Y16" s="177"/>
      <c r="Z16" s="177"/>
      <c r="AA16" s="177"/>
      <c r="AB16" s="180"/>
      <c r="AC16" s="174">
        <v>160.19999999999999</v>
      </c>
      <c r="AD16" s="177">
        <v>-110</v>
      </c>
      <c r="AE16" s="177">
        <v>3.3</v>
      </c>
      <c r="AF16" s="177">
        <v>-1.42</v>
      </c>
      <c r="AG16" s="177">
        <v>109.8</v>
      </c>
      <c r="AH16" s="177">
        <v>-110</v>
      </c>
      <c r="AI16" s="177">
        <v>3.81</v>
      </c>
      <c r="AJ16" s="174">
        <v>-0.26</v>
      </c>
      <c r="AK16" s="181"/>
      <c r="AL16" s="182" t="s">
        <v>94</v>
      </c>
      <c r="AM16" s="183"/>
      <c r="AN16" s="182"/>
      <c r="AO16" s="173"/>
      <c r="AP16" s="184"/>
      <c r="AQ16" s="185"/>
      <c r="AR16" s="186"/>
      <c r="AS16" s="187"/>
      <c r="AT16" s="188"/>
      <c r="AU16" s="187"/>
      <c r="AV16" s="187"/>
      <c r="AW16" s="177"/>
      <c r="AX16" s="177"/>
      <c r="AY16" s="177"/>
      <c r="AZ16" s="177"/>
      <c r="BA16" s="187"/>
      <c r="BB16" s="180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89"/>
      <c r="BP16" s="189"/>
      <c r="BQ16" s="189"/>
      <c r="BR16" s="189"/>
    </row>
    <row r="17" spans="1:70" s="190" customFormat="1">
      <c r="A17" s="176">
        <v>15</v>
      </c>
      <c r="B17" s="167"/>
      <c r="C17" s="168"/>
      <c r="D17" s="169"/>
      <c r="E17" s="169"/>
      <c r="F17" s="170">
        <v>43118.541666666664</v>
      </c>
      <c r="G17" s="171">
        <v>43118.541666666664</v>
      </c>
      <c r="H17" s="172">
        <f t="shared" si="1"/>
        <v>0</v>
      </c>
      <c r="I17" s="173">
        <v>31.56</v>
      </c>
      <c r="J17" s="174"/>
      <c r="K17" s="175" t="s">
        <v>56</v>
      </c>
      <c r="L17" s="175" t="s">
        <v>57</v>
      </c>
      <c r="M17" s="175">
        <v>-369</v>
      </c>
      <c r="N17" s="176">
        <v>1</v>
      </c>
      <c r="O17" s="176">
        <v>200</v>
      </c>
      <c r="P17" s="175" t="s">
        <v>60</v>
      </c>
      <c r="Q17" s="175" t="s">
        <v>58</v>
      </c>
      <c r="R17" s="175" t="s">
        <v>93</v>
      </c>
      <c r="S17" s="177"/>
      <c r="T17" s="177"/>
      <c r="U17" s="175"/>
      <c r="V17" s="178"/>
      <c r="W17" s="179"/>
      <c r="X17" s="177"/>
      <c r="Y17" s="177"/>
      <c r="Z17" s="177"/>
      <c r="AA17" s="177"/>
      <c r="AB17" s="180"/>
      <c r="AC17" s="174">
        <v>160.19999999999999</v>
      </c>
      <c r="AD17" s="177">
        <v>-110</v>
      </c>
      <c r="AE17" s="177">
        <v>3.3</v>
      </c>
      <c r="AF17" s="177">
        <v>-1.42</v>
      </c>
      <c r="AG17" s="177">
        <v>109.8</v>
      </c>
      <c r="AH17" s="177">
        <v>-110</v>
      </c>
      <c r="AI17" s="177">
        <v>3.81</v>
      </c>
      <c r="AJ17" s="174">
        <v>-0.26</v>
      </c>
      <c r="AK17" s="181"/>
      <c r="AL17" s="182" t="s">
        <v>94</v>
      </c>
      <c r="AM17" s="183"/>
      <c r="AN17" s="182"/>
      <c r="AO17" s="173"/>
      <c r="AP17" s="184"/>
      <c r="AQ17" s="185"/>
      <c r="AR17" s="186"/>
      <c r="AS17" s="187"/>
      <c r="AT17" s="188"/>
      <c r="AU17" s="187"/>
      <c r="AV17" s="187"/>
      <c r="AW17" s="177"/>
      <c r="AX17" s="177"/>
      <c r="AY17" s="177"/>
      <c r="AZ17" s="177"/>
      <c r="BA17" s="187"/>
      <c r="BB17" s="180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89"/>
      <c r="BN17" s="189"/>
      <c r="BO17" s="189"/>
      <c r="BP17" s="189"/>
      <c r="BQ17" s="189"/>
      <c r="BR17" s="189"/>
    </row>
    <row r="18" spans="1:70" s="190" customFormat="1">
      <c r="A18" s="176">
        <v>16</v>
      </c>
      <c r="B18" s="167" t="s">
        <v>55</v>
      </c>
      <c r="C18" s="168">
        <v>0.41319444444444442</v>
      </c>
      <c r="D18" s="169">
        <v>40474</v>
      </c>
      <c r="E18" s="169">
        <v>0.41319400000000001</v>
      </c>
      <c r="F18" s="170">
        <v>43118.541666666664</v>
      </c>
      <c r="G18" s="171">
        <v>43118.541666666664</v>
      </c>
      <c r="H18" s="172">
        <f t="shared" si="1"/>
        <v>0</v>
      </c>
      <c r="I18" s="173">
        <v>31.56</v>
      </c>
      <c r="J18" s="174"/>
      <c r="K18" s="175" t="s">
        <v>56</v>
      </c>
      <c r="L18" s="175" t="s">
        <v>57</v>
      </c>
      <c r="M18" s="175">
        <v>-369</v>
      </c>
      <c r="N18" s="176">
        <v>1</v>
      </c>
      <c r="O18" s="176">
        <v>200</v>
      </c>
      <c r="P18" s="175" t="s">
        <v>60</v>
      </c>
      <c r="Q18" s="175" t="s">
        <v>58</v>
      </c>
      <c r="R18" s="175" t="s">
        <v>93</v>
      </c>
      <c r="S18" s="177"/>
      <c r="T18" s="177"/>
      <c r="U18" s="175"/>
      <c r="V18" s="178"/>
      <c r="W18" s="179"/>
      <c r="X18" s="177"/>
      <c r="Y18" s="177"/>
      <c r="Z18" s="177"/>
      <c r="AA18" s="177"/>
      <c r="AB18" s="180"/>
      <c r="AC18" s="174">
        <v>160.19999999999999</v>
      </c>
      <c r="AD18" s="177">
        <v>-110</v>
      </c>
      <c r="AE18" s="177">
        <v>3.3</v>
      </c>
      <c r="AF18" s="177">
        <v>-1.42</v>
      </c>
      <c r="AG18" s="177">
        <v>109.8</v>
      </c>
      <c r="AH18" s="177">
        <v>-110</v>
      </c>
      <c r="AI18" s="177">
        <v>3.81</v>
      </c>
      <c r="AJ18" s="174">
        <v>-0.26</v>
      </c>
      <c r="AK18" s="181"/>
      <c r="AL18" s="182" t="s">
        <v>94</v>
      </c>
      <c r="AM18" s="183"/>
      <c r="AN18" s="182"/>
      <c r="AO18" s="173"/>
      <c r="AP18" s="184"/>
      <c r="AQ18" s="185"/>
      <c r="AR18" s="186"/>
      <c r="AS18" s="187"/>
      <c r="AT18" s="188"/>
      <c r="AU18" s="187"/>
      <c r="AV18" s="187"/>
      <c r="AW18" s="177"/>
      <c r="AX18" s="177"/>
      <c r="AY18" s="177"/>
      <c r="AZ18" s="177"/>
      <c r="BA18" s="187"/>
      <c r="BB18" s="180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</row>
    <row r="19" spans="1:70" s="190" customFormat="1">
      <c r="A19" s="176">
        <v>17</v>
      </c>
      <c r="B19" s="167" t="s">
        <v>55</v>
      </c>
      <c r="C19" s="168">
        <v>0.39097222222222222</v>
      </c>
      <c r="D19" s="169">
        <v>40474</v>
      </c>
      <c r="E19" s="169">
        <v>0.39097199999999999</v>
      </c>
      <c r="F19" s="170">
        <v>43118.541666666664</v>
      </c>
      <c r="G19" s="171">
        <v>43118.541666666664</v>
      </c>
      <c r="H19" s="172">
        <f t="shared" si="1"/>
        <v>0</v>
      </c>
      <c r="I19" s="173">
        <v>31.56</v>
      </c>
      <c r="J19" s="174"/>
      <c r="K19" s="175" t="s">
        <v>56</v>
      </c>
      <c r="L19" s="175" t="s">
        <v>57</v>
      </c>
      <c r="M19" s="175">
        <v>-369</v>
      </c>
      <c r="N19" s="176">
        <v>1</v>
      </c>
      <c r="O19" s="176">
        <v>200</v>
      </c>
      <c r="P19" s="175" t="s">
        <v>60</v>
      </c>
      <c r="Q19" s="175" t="s">
        <v>58</v>
      </c>
      <c r="R19" s="175" t="s">
        <v>93</v>
      </c>
      <c r="S19" s="177"/>
      <c r="T19" s="177"/>
      <c r="U19" s="175"/>
      <c r="V19" s="178"/>
      <c r="W19" s="179"/>
      <c r="X19" s="177"/>
      <c r="Y19" s="177"/>
      <c r="Z19" s="177"/>
      <c r="AA19" s="177"/>
      <c r="AB19" s="180"/>
      <c r="AC19" s="174">
        <v>160.19999999999999</v>
      </c>
      <c r="AD19" s="177">
        <v>-110</v>
      </c>
      <c r="AE19" s="177">
        <v>3.3</v>
      </c>
      <c r="AF19" s="177">
        <v>-1.42</v>
      </c>
      <c r="AG19" s="177">
        <v>109.8</v>
      </c>
      <c r="AH19" s="177">
        <v>-110</v>
      </c>
      <c r="AI19" s="177">
        <v>3.81</v>
      </c>
      <c r="AJ19" s="174">
        <v>-0.26</v>
      </c>
      <c r="AK19" s="181"/>
      <c r="AL19" s="182" t="s">
        <v>94</v>
      </c>
      <c r="AM19" s="183"/>
      <c r="AN19" s="182"/>
      <c r="AO19" s="173"/>
      <c r="AP19" s="184"/>
      <c r="AQ19" s="185"/>
      <c r="AR19" s="186"/>
      <c r="AS19" s="187"/>
      <c r="AT19" s="188"/>
      <c r="AU19" s="187"/>
      <c r="AV19" s="187"/>
      <c r="AW19" s="177"/>
      <c r="AX19" s="177"/>
      <c r="AY19" s="177"/>
      <c r="AZ19" s="177"/>
      <c r="BA19" s="187"/>
      <c r="BB19" s="180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</row>
    <row r="20" spans="1:70" s="190" customFormat="1">
      <c r="A20" s="176">
        <v>18</v>
      </c>
      <c r="B20" s="167" t="s">
        <v>55</v>
      </c>
      <c r="C20" s="168">
        <v>0.45833333333333331</v>
      </c>
      <c r="D20" s="169">
        <v>40474</v>
      </c>
      <c r="E20" s="169">
        <v>0.45833299999999999</v>
      </c>
      <c r="F20" s="170">
        <v>43118.541666666664</v>
      </c>
      <c r="G20" s="171">
        <v>43118.541666666664</v>
      </c>
      <c r="H20" s="172">
        <f t="shared" si="1"/>
        <v>0</v>
      </c>
      <c r="I20" s="173">
        <v>31.56</v>
      </c>
      <c r="J20" s="174"/>
      <c r="K20" s="175" t="s">
        <v>56</v>
      </c>
      <c r="L20" s="175" t="s">
        <v>57</v>
      </c>
      <c r="M20" s="175">
        <v>-369</v>
      </c>
      <c r="N20" s="176">
        <v>1</v>
      </c>
      <c r="O20" s="176">
        <v>200</v>
      </c>
      <c r="P20" s="175" t="s">
        <v>60</v>
      </c>
      <c r="Q20" s="175" t="s">
        <v>58</v>
      </c>
      <c r="R20" s="175" t="s">
        <v>93</v>
      </c>
      <c r="S20" s="177"/>
      <c r="T20" s="177"/>
      <c r="U20" s="175"/>
      <c r="V20" s="178"/>
      <c r="W20" s="179"/>
      <c r="X20" s="177"/>
      <c r="Y20" s="177"/>
      <c r="Z20" s="177"/>
      <c r="AA20" s="177"/>
      <c r="AB20" s="180"/>
      <c r="AC20" s="174">
        <v>160.19999999999999</v>
      </c>
      <c r="AD20" s="177">
        <v>-110</v>
      </c>
      <c r="AE20" s="177">
        <v>3.3</v>
      </c>
      <c r="AF20" s="177">
        <v>-1.42</v>
      </c>
      <c r="AG20" s="177">
        <v>109.8</v>
      </c>
      <c r="AH20" s="177">
        <v>-110</v>
      </c>
      <c r="AI20" s="177">
        <v>3.81</v>
      </c>
      <c r="AJ20" s="174">
        <v>-0.26</v>
      </c>
      <c r="AK20" s="181"/>
      <c r="AL20" s="182" t="s">
        <v>94</v>
      </c>
      <c r="AM20" s="183"/>
      <c r="AN20" s="182"/>
      <c r="AO20" s="173"/>
      <c r="AP20" s="184"/>
      <c r="AQ20" s="185"/>
      <c r="AR20" s="186"/>
      <c r="AS20" s="187"/>
      <c r="AT20" s="188"/>
      <c r="AU20" s="187"/>
      <c r="AV20" s="187"/>
      <c r="AW20" s="177"/>
      <c r="AX20" s="177"/>
      <c r="AY20" s="177"/>
      <c r="AZ20" s="177"/>
      <c r="BA20" s="187"/>
      <c r="BB20" s="180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</row>
    <row r="21" spans="1:70" s="190" customFormat="1">
      <c r="A21" s="176">
        <v>19</v>
      </c>
      <c r="B21" s="167" t="s">
        <v>55</v>
      </c>
      <c r="C21" s="168">
        <v>0.4826388888888889</v>
      </c>
      <c r="D21" s="169">
        <v>40474</v>
      </c>
      <c r="E21" s="169">
        <v>0.48263899999999998</v>
      </c>
      <c r="F21" s="170">
        <v>43118.541666666664</v>
      </c>
      <c r="G21" s="171">
        <v>43118.541666666664</v>
      </c>
      <c r="H21" s="172">
        <f t="shared" si="1"/>
        <v>0</v>
      </c>
      <c r="I21" s="173">
        <v>31.56</v>
      </c>
      <c r="J21" s="174"/>
      <c r="K21" s="175" t="s">
        <v>56</v>
      </c>
      <c r="L21" s="175" t="s">
        <v>57</v>
      </c>
      <c r="M21" s="175">
        <v>-369</v>
      </c>
      <c r="N21" s="176">
        <v>1</v>
      </c>
      <c r="O21" s="176">
        <v>200</v>
      </c>
      <c r="P21" s="175" t="s">
        <v>60</v>
      </c>
      <c r="Q21" s="175" t="s">
        <v>58</v>
      </c>
      <c r="R21" s="175" t="s">
        <v>93</v>
      </c>
      <c r="S21" s="177"/>
      <c r="T21" s="177"/>
      <c r="U21" s="175"/>
      <c r="V21" s="178"/>
      <c r="W21" s="179"/>
      <c r="X21" s="177"/>
      <c r="Y21" s="177"/>
      <c r="Z21" s="177"/>
      <c r="AA21" s="177"/>
      <c r="AB21" s="180"/>
      <c r="AC21" s="174">
        <v>160.19999999999999</v>
      </c>
      <c r="AD21" s="177">
        <v>-110</v>
      </c>
      <c r="AE21" s="177">
        <v>3.3</v>
      </c>
      <c r="AF21" s="177">
        <v>-1.42</v>
      </c>
      <c r="AG21" s="177">
        <v>109.8</v>
      </c>
      <c r="AH21" s="177">
        <v>-110</v>
      </c>
      <c r="AI21" s="177">
        <v>3.81</v>
      </c>
      <c r="AJ21" s="174">
        <v>-0.26</v>
      </c>
      <c r="AK21" s="181"/>
      <c r="AL21" s="182" t="s">
        <v>94</v>
      </c>
      <c r="AM21" s="183"/>
      <c r="AN21" s="182"/>
      <c r="AO21" s="173"/>
      <c r="AP21" s="184"/>
      <c r="AQ21" s="185"/>
      <c r="AR21" s="186"/>
      <c r="AS21" s="187"/>
      <c r="AT21" s="188"/>
      <c r="AU21" s="187"/>
      <c r="AV21" s="187"/>
      <c r="AW21" s="177"/>
      <c r="AX21" s="177"/>
      <c r="AY21" s="177"/>
      <c r="AZ21" s="177"/>
      <c r="BA21" s="187"/>
      <c r="BB21" s="180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</row>
    <row r="22" spans="1:70" s="190" customFormat="1">
      <c r="A22" s="176">
        <v>20</v>
      </c>
      <c r="B22" s="167" t="s">
        <v>55</v>
      </c>
      <c r="C22" s="168">
        <v>0.50347222222222221</v>
      </c>
      <c r="D22" s="169">
        <v>40474</v>
      </c>
      <c r="E22" s="169">
        <v>0.50347200000000003</v>
      </c>
      <c r="F22" s="170">
        <v>43118.541666666664</v>
      </c>
      <c r="G22" s="171">
        <v>43118.541666666664</v>
      </c>
      <c r="H22" s="172">
        <f t="shared" si="1"/>
        <v>0</v>
      </c>
      <c r="I22" s="173">
        <v>31.56</v>
      </c>
      <c r="J22" s="174"/>
      <c r="K22" s="175" t="s">
        <v>56</v>
      </c>
      <c r="L22" s="175" t="s">
        <v>57</v>
      </c>
      <c r="M22" s="175">
        <v>-369</v>
      </c>
      <c r="N22" s="176">
        <v>1</v>
      </c>
      <c r="O22" s="176">
        <v>200</v>
      </c>
      <c r="P22" s="175" t="s">
        <v>60</v>
      </c>
      <c r="Q22" s="175" t="s">
        <v>58</v>
      </c>
      <c r="R22" s="175" t="s">
        <v>93</v>
      </c>
      <c r="S22" s="177"/>
      <c r="T22" s="177"/>
      <c r="U22" s="175"/>
      <c r="V22" s="178"/>
      <c r="W22" s="179"/>
      <c r="X22" s="177"/>
      <c r="Y22" s="177"/>
      <c r="Z22" s="177"/>
      <c r="AA22" s="177"/>
      <c r="AB22" s="180"/>
      <c r="AC22" s="174">
        <v>160.19999999999999</v>
      </c>
      <c r="AD22" s="177">
        <v>-110</v>
      </c>
      <c r="AE22" s="177">
        <v>3.3</v>
      </c>
      <c r="AF22" s="177">
        <v>-1.42</v>
      </c>
      <c r="AG22" s="177">
        <v>109.8</v>
      </c>
      <c r="AH22" s="177">
        <v>-110</v>
      </c>
      <c r="AI22" s="177">
        <v>3.81</v>
      </c>
      <c r="AJ22" s="174">
        <v>-0.26</v>
      </c>
      <c r="AK22" s="181"/>
      <c r="AL22" s="182" t="s">
        <v>94</v>
      </c>
      <c r="AM22" s="183"/>
      <c r="AN22" s="182"/>
      <c r="AO22" s="173"/>
      <c r="AP22" s="184"/>
      <c r="AQ22" s="185"/>
      <c r="AR22" s="186"/>
      <c r="AS22" s="187"/>
      <c r="AT22" s="188"/>
      <c r="AU22" s="187"/>
      <c r="AV22" s="187"/>
      <c r="AW22" s="177"/>
      <c r="AX22" s="177"/>
      <c r="AY22" s="177"/>
      <c r="AZ22" s="177"/>
      <c r="BA22" s="187"/>
      <c r="BB22" s="180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</row>
    <row r="23" spans="1:70" s="149" customFormat="1">
      <c r="A23" s="138">
        <v>21</v>
      </c>
      <c r="B23" s="129" t="s">
        <v>55</v>
      </c>
      <c r="C23" s="130">
        <v>0.54791666666666672</v>
      </c>
      <c r="D23" s="131">
        <v>40474</v>
      </c>
      <c r="E23" s="131">
        <v>0.54791699999999999</v>
      </c>
      <c r="F23" s="132">
        <v>43118.541666666664</v>
      </c>
      <c r="G23" s="133">
        <v>43118.541666666664</v>
      </c>
      <c r="H23" s="134">
        <f t="shared" si="1"/>
        <v>0</v>
      </c>
      <c r="I23" s="135">
        <v>31.56</v>
      </c>
      <c r="J23" s="136"/>
      <c r="K23" s="137" t="s">
        <v>56</v>
      </c>
      <c r="L23" s="137" t="s">
        <v>57</v>
      </c>
      <c r="M23" s="137">
        <v>-369</v>
      </c>
      <c r="N23" s="138">
        <v>1</v>
      </c>
      <c r="O23" s="138">
        <v>200</v>
      </c>
      <c r="P23" s="137" t="s">
        <v>60</v>
      </c>
      <c r="Q23" s="137" t="s">
        <v>58</v>
      </c>
      <c r="R23" s="137" t="s">
        <v>95</v>
      </c>
      <c r="S23" s="139"/>
      <c r="T23" s="139"/>
      <c r="U23" s="137"/>
      <c r="V23" s="140"/>
      <c r="W23" s="141"/>
      <c r="X23" s="139"/>
      <c r="Y23" s="139"/>
      <c r="Z23" s="139"/>
      <c r="AA23" s="139"/>
      <c r="AB23" s="142"/>
      <c r="AC23" s="136">
        <v>160.19999999999999</v>
      </c>
      <c r="AD23" s="139">
        <v>-110</v>
      </c>
      <c r="AE23" s="139">
        <v>3.3</v>
      </c>
      <c r="AF23" s="139">
        <v>-1.42</v>
      </c>
      <c r="AG23" s="139">
        <v>109.8</v>
      </c>
      <c r="AH23" s="139">
        <v>-110</v>
      </c>
      <c r="AI23" s="139">
        <v>3.81</v>
      </c>
      <c r="AJ23" s="136">
        <v>-0.26</v>
      </c>
      <c r="AK23" s="143"/>
      <c r="AL23" s="144" t="s">
        <v>89</v>
      </c>
      <c r="AM23" s="145"/>
      <c r="AN23" s="144"/>
      <c r="AO23" s="135"/>
      <c r="AP23" s="146"/>
      <c r="AQ23" s="158"/>
      <c r="AR23" s="162"/>
      <c r="AS23" s="147"/>
      <c r="AT23" s="164"/>
      <c r="AU23" s="147"/>
      <c r="AV23" s="147"/>
      <c r="AW23" s="139"/>
      <c r="AX23" s="139"/>
      <c r="AY23" s="139"/>
      <c r="AZ23" s="139"/>
      <c r="BA23" s="147"/>
      <c r="BB23" s="142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</row>
    <row r="24" spans="1:70" s="190" customFormat="1">
      <c r="A24" s="176">
        <v>22</v>
      </c>
      <c r="B24" s="167"/>
      <c r="C24" s="168"/>
      <c r="D24" s="169"/>
      <c r="E24" s="169"/>
      <c r="F24" s="170">
        <v>43118.541666666664</v>
      </c>
      <c r="G24" s="171">
        <v>43118.541666666664</v>
      </c>
      <c r="H24" s="172">
        <f t="shared" si="1"/>
        <v>0</v>
      </c>
      <c r="I24" s="173">
        <v>31.56</v>
      </c>
      <c r="J24" s="174"/>
      <c r="K24" s="175" t="s">
        <v>56</v>
      </c>
      <c r="L24" s="175" t="s">
        <v>57</v>
      </c>
      <c r="M24" s="175">
        <v>-369</v>
      </c>
      <c r="N24" s="176">
        <v>1</v>
      </c>
      <c r="O24" s="176">
        <v>200</v>
      </c>
      <c r="P24" s="175" t="s">
        <v>60</v>
      </c>
      <c r="Q24" s="175" t="s">
        <v>58</v>
      </c>
      <c r="R24" s="175" t="s">
        <v>93</v>
      </c>
      <c r="S24" s="177"/>
      <c r="T24" s="177"/>
      <c r="U24" s="175">
        <v>983</v>
      </c>
      <c r="V24" s="178">
        <v>1600</v>
      </c>
      <c r="W24" s="179"/>
      <c r="X24" s="177"/>
      <c r="Y24" s="177"/>
      <c r="Z24" s="177"/>
      <c r="AA24" s="177"/>
      <c r="AB24" s="180"/>
      <c r="AC24" s="174">
        <v>160.19999999999999</v>
      </c>
      <c r="AD24" s="177">
        <v>-110</v>
      </c>
      <c r="AE24" s="177">
        <v>3.3</v>
      </c>
      <c r="AF24" s="177">
        <v>-1.42</v>
      </c>
      <c r="AG24" s="177">
        <v>109.8</v>
      </c>
      <c r="AH24" s="177">
        <v>-110</v>
      </c>
      <c r="AI24" s="177">
        <v>3.81</v>
      </c>
      <c r="AJ24" s="174">
        <v>-0.26</v>
      </c>
      <c r="AK24" s="181"/>
      <c r="AL24" s="182" t="s">
        <v>96</v>
      </c>
      <c r="AM24" s="183"/>
      <c r="AN24" s="182"/>
      <c r="AO24" s="173"/>
      <c r="AP24" s="184"/>
      <c r="AQ24" s="185"/>
      <c r="AR24" s="186"/>
      <c r="AS24" s="187"/>
      <c r="AT24" s="188"/>
      <c r="AU24" s="187"/>
      <c r="AV24" s="187"/>
      <c r="AW24" s="177"/>
      <c r="AX24" s="177"/>
      <c r="AY24" s="177"/>
      <c r="AZ24" s="177"/>
      <c r="BA24" s="187"/>
      <c r="BB24" s="180"/>
      <c r="BC24" s="189"/>
      <c r="BD24" s="189"/>
      <c r="BE24" s="189"/>
      <c r="BF24" s="189"/>
      <c r="BG24" s="189"/>
      <c r="BH24" s="189"/>
      <c r="BI24" s="189"/>
      <c r="BJ24" s="189"/>
      <c r="BK24" s="189"/>
      <c r="BL24" s="189"/>
      <c r="BM24" s="189"/>
      <c r="BN24" s="189"/>
      <c r="BO24" s="189"/>
      <c r="BP24" s="189"/>
      <c r="BQ24" s="189"/>
      <c r="BR24" s="189"/>
    </row>
    <row r="25" spans="1:70" s="190" customFormat="1">
      <c r="A25" s="176">
        <v>23</v>
      </c>
      <c r="B25" s="167"/>
      <c r="C25" s="168"/>
      <c r="D25" s="169"/>
      <c r="E25" s="169"/>
      <c r="F25" s="170">
        <v>43118.541666666664</v>
      </c>
      <c r="G25" s="171">
        <v>43118.541666666664</v>
      </c>
      <c r="H25" s="172">
        <f t="shared" si="1"/>
        <v>0</v>
      </c>
      <c r="I25" s="173">
        <v>31.56</v>
      </c>
      <c r="J25" s="174"/>
      <c r="K25" s="175" t="s">
        <v>56</v>
      </c>
      <c r="L25" s="175" t="s">
        <v>57</v>
      </c>
      <c r="M25" s="175">
        <v>-369</v>
      </c>
      <c r="N25" s="176">
        <v>1</v>
      </c>
      <c r="O25" s="176">
        <v>200</v>
      </c>
      <c r="P25" s="175" t="s">
        <v>60</v>
      </c>
      <c r="Q25" s="175" t="s">
        <v>58</v>
      </c>
      <c r="R25" s="175" t="s">
        <v>93</v>
      </c>
      <c r="S25" s="177"/>
      <c r="T25" s="177"/>
      <c r="U25" s="175">
        <v>983</v>
      </c>
      <c r="V25" s="178">
        <v>1600</v>
      </c>
      <c r="W25" s="179"/>
      <c r="X25" s="177"/>
      <c r="Y25" s="177"/>
      <c r="Z25" s="177"/>
      <c r="AA25" s="177"/>
      <c r="AB25" s="180"/>
      <c r="AC25" s="174">
        <v>160.19999999999999</v>
      </c>
      <c r="AD25" s="177">
        <v>-110</v>
      </c>
      <c r="AE25" s="177">
        <v>3.3</v>
      </c>
      <c r="AF25" s="177">
        <v>-1.42</v>
      </c>
      <c r="AG25" s="177">
        <v>109.8</v>
      </c>
      <c r="AH25" s="177">
        <v>-110</v>
      </c>
      <c r="AI25" s="177">
        <v>3.81</v>
      </c>
      <c r="AJ25" s="174">
        <v>-0.26</v>
      </c>
      <c r="AK25" s="181"/>
      <c r="AL25" s="182" t="s">
        <v>97</v>
      </c>
      <c r="AM25" s="183"/>
      <c r="AN25" s="182"/>
      <c r="AO25" s="173"/>
      <c r="AP25" s="184"/>
      <c r="AQ25" s="185"/>
      <c r="AR25" s="186"/>
      <c r="AS25" s="187"/>
      <c r="AT25" s="188"/>
      <c r="AU25" s="187"/>
      <c r="AV25" s="187"/>
      <c r="AW25" s="177"/>
      <c r="AX25" s="177"/>
      <c r="AY25" s="177"/>
      <c r="AZ25" s="177"/>
      <c r="BA25" s="187"/>
      <c r="BB25" s="180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</row>
    <row r="26" spans="1:70" s="190" customFormat="1">
      <c r="A26" s="176">
        <v>24</v>
      </c>
      <c r="B26" s="167" t="s">
        <v>55</v>
      </c>
      <c r="C26" s="168">
        <v>0.59375</v>
      </c>
      <c r="D26" s="169">
        <v>40474</v>
      </c>
      <c r="E26" s="169">
        <v>0.59375</v>
      </c>
      <c r="F26" s="170">
        <v>43118.541666666664</v>
      </c>
      <c r="G26" s="171">
        <v>43118.541666666664</v>
      </c>
      <c r="H26" s="172">
        <f t="shared" si="1"/>
        <v>0</v>
      </c>
      <c r="I26" s="173">
        <v>31.56</v>
      </c>
      <c r="J26" s="174"/>
      <c r="K26" s="175" t="s">
        <v>56</v>
      </c>
      <c r="L26" s="175" t="s">
        <v>57</v>
      </c>
      <c r="M26" s="175">
        <v>-369</v>
      </c>
      <c r="N26" s="176">
        <v>1</v>
      </c>
      <c r="O26" s="176">
        <v>200</v>
      </c>
      <c r="P26" s="175" t="s">
        <v>60</v>
      </c>
      <c r="Q26" s="175" t="s">
        <v>58</v>
      </c>
      <c r="R26" s="175" t="s">
        <v>93</v>
      </c>
      <c r="S26" s="177"/>
      <c r="T26" s="177"/>
      <c r="U26" s="175">
        <v>983</v>
      </c>
      <c r="V26" s="178">
        <v>1600</v>
      </c>
      <c r="W26" s="179"/>
      <c r="X26" s="177"/>
      <c r="Y26" s="177"/>
      <c r="Z26" s="177"/>
      <c r="AA26" s="177"/>
      <c r="AB26" s="180"/>
      <c r="AC26" s="174">
        <v>160.19999999999999</v>
      </c>
      <c r="AD26" s="177">
        <v>-110</v>
      </c>
      <c r="AE26" s="177">
        <v>3.3</v>
      </c>
      <c r="AF26" s="177">
        <v>-1.42</v>
      </c>
      <c r="AG26" s="177">
        <v>109.8</v>
      </c>
      <c r="AH26" s="177">
        <v>-110</v>
      </c>
      <c r="AI26" s="177">
        <v>3.81</v>
      </c>
      <c r="AJ26" s="174">
        <v>-0.26</v>
      </c>
      <c r="AK26" s="181"/>
      <c r="AL26" s="182" t="s">
        <v>98</v>
      </c>
      <c r="AM26" s="183"/>
      <c r="AN26" s="182"/>
      <c r="AO26" s="191"/>
      <c r="AP26" s="192"/>
      <c r="AQ26" s="193"/>
      <c r="AR26" s="186"/>
      <c r="AS26" s="187"/>
      <c r="AT26" s="188"/>
      <c r="AU26" s="187"/>
      <c r="AV26" s="187"/>
      <c r="AW26" s="177"/>
      <c r="AX26" s="177"/>
      <c r="AY26" s="177"/>
      <c r="AZ26" s="177"/>
      <c r="BA26" s="187"/>
      <c r="BB26" s="180"/>
      <c r="BC26" s="189"/>
      <c r="BD26" s="189"/>
      <c r="BE26" s="189"/>
      <c r="BF26" s="189"/>
      <c r="BG26" s="189"/>
      <c r="BH26" s="189"/>
      <c r="BI26" s="189"/>
      <c r="BJ26" s="189"/>
      <c r="BK26" s="189"/>
      <c r="BL26" s="189"/>
      <c r="BM26" s="189"/>
      <c r="BN26" s="189"/>
      <c r="BO26" s="189"/>
      <c r="BP26" s="189"/>
      <c r="BQ26" s="189"/>
      <c r="BR26" s="189"/>
    </row>
    <row r="27" spans="1:70" s="190" customFormat="1">
      <c r="A27" s="176">
        <v>25</v>
      </c>
      <c r="B27" s="167"/>
      <c r="C27" s="168"/>
      <c r="D27" s="169"/>
      <c r="E27" s="169"/>
      <c r="F27" s="170">
        <v>43118.541666666664</v>
      </c>
      <c r="G27" s="171">
        <v>43118.541666666664</v>
      </c>
      <c r="H27" s="172">
        <f t="shared" si="1"/>
        <v>0</v>
      </c>
      <c r="I27" s="173">
        <v>31.56</v>
      </c>
      <c r="J27" s="174"/>
      <c r="K27" s="175" t="s">
        <v>56</v>
      </c>
      <c r="L27" s="175" t="s">
        <v>57</v>
      </c>
      <c r="M27" s="175">
        <v>-369</v>
      </c>
      <c r="N27" s="176">
        <v>1</v>
      </c>
      <c r="O27" s="176">
        <v>200</v>
      </c>
      <c r="P27" s="175" t="s">
        <v>60</v>
      </c>
      <c r="Q27" s="175" t="s">
        <v>58</v>
      </c>
      <c r="R27" s="175" t="s">
        <v>93</v>
      </c>
      <c r="S27" s="177"/>
      <c r="T27" s="177"/>
      <c r="U27" s="175">
        <v>0</v>
      </c>
      <c r="V27" s="178">
        <v>0</v>
      </c>
      <c r="W27" s="179"/>
      <c r="X27" s="177"/>
      <c r="Y27" s="177"/>
      <c r="Z27" s="177"/>
      <c r="AA27" s="177"/>
      <c r="AB27" s="180"/>
      <c r="AC27" s="174">
        <v>160.19999999999999</v>
      </c>
      <c r="AD27" s="177">
        <v>-110</v>
      </c>
      <c r="AE27" s="177">
        <v>3.3</v>
      </c>
      <c r="AF27" s="177">
        <v>-1.42</v>
      </c>
      <c r="AG27" s="177">
        <v>109.8</v>
      </c>
      <c r="AH27" s="177">
        <v>-110</v>
      </c>
      <c r="AI27" s="177">
        <v>3.81</v>
      </c>
      <c r="AJ27" s="174">
        <v>-0.26</v>
      </c>
      <c r="AK27" s="181"/>
      <c r="AL27" s="182" t="s">
        <v>99</v>
      </c>
      <c r="AM27" s="183"/>
      <c r="AN27" s="182"/>
      <c r="AO27" s="191"/>
      <c r="AP27" s="192"/>
      <c r="AQ27" s="193"/>
      <c r="AR27" s="186"/>
      <c r="AS27" s="187"/>
      <c r="AT27" s="188"/>
      <c r="AU27" s="187"/>
      <c r="AV27" s="187"/>
      <c r="AW27" s="177"/>
      <c r="AX27" s="177"/>
      <c r="AY27" s="177"/>
      <c r="AZ27" s="177"/>
      <c r="BA27" s="187"/>
      <c r="BB27" s="180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189"/>
      <c r="BP27" s="189"/>
      <c r="BQ27" s="189"/>
      <c r="BR27" s="189"/>
    </row>
    <row r="28" spans="1:70" s="149" customFormat="1">
      <c r="A28" s="138">
        <v>26</v>
      </c>
      <c r="B28" s="129" t="s">
        <v>55</v>
      </c>
      <c r="C28" s="130">
        <v>0.64513888888888882</v>
      </c>
      <c r="D28" s="131">
        <v>40474</v>
      </c>
      <c r="E28" s="131">
        <v>0.64513900000000002</v>
      </c>
      <c r="F28" s="132">
        <v>43118.541666666664</v>
      </c>
      <c r="G28" s="133">
        <v>43118.541666666664</v>
      </c>
      <c r="H28" s="134">
        <f t="shared" si="1"/>
        <v>0</v>
      </c>
      <c r="I28" s="135">
        <v>31.56</v>
      </c>
      <c r="J28" s="136"/>
      <c r="K28" s="137" t="s">
        <v>56</v>
      </c>
      <c r="L28" s="137" t="s">
        <v>57</v>
      </c>
      <c r="M28" s="137">
        <v>-369</v>
      </c>
      <c r="N28" s="138">
        <v>1</v>
      </c>
      <c r="O28" s="138">
        <v>200</v>
      </c>
      <c r="P28" s="137" t="s">
        <v>60</v>
      </c>
      <c r="Q28" s="137" t="s">
        <v>58</v>
      </c>
      <c r="R28" s="137" t="s">
        <v>93</v>
      </c>
      <c r="S28" s="139"/>
      <c r="T28" s="139"/>
      <c r="U28" s="137">
        <v>0</v>
      </c>
      <c r="V28" s="140">
        <v>0</v>
      </c>
      <c r="W28" s="141"/>
      <c r="X28" s="139"/>
      <c r="Y28" s="139"/>
      <c r="Z28" s="139"/>
      <c r="AA28" s="139"/>
      <c r="AB28" s="142"/>
      <c r="AC28" s="136">
        <v>160.19999999999999</v>
      </c>
      <c r="AD28" s="139">
        <v>-110</v>
      </c>
      <c r="AE28" s="139">
        <v>3.3</v>
      </c>
      <c r="AF28" s="139">
        <v>-1.42</v>
      </c>
      <c r="AG28" s="139">
        <v>109.8</v>
      </c>
      <c r="AH28" s="139">
        <v>-110</v>
      </c>
      <c r="AI28" s="139">
        <v>3.81</v>
      </c>
      <c r="AJ28" s="136">
        <v>-0.26</v>
      </c>
      <c r="AK28" s="143"/>
      <c r="AL28" s="144" t="s">
        <v>89</v>
      </c>
      <c r="AM28" s="145"/>
      <c r="AN28" s="144"/>
      <c r="AO28" s="151"/>
      <c r="AP28" s="152"/>
      <c r="AQ28" s="160"/>
      <c r="AR28" s="162"/>
      <c r="AS28" s="147"/>
      <c r="AT28" s="164"/>
      <c r="AU28" s="147"/>
      <c r="AV28" s="147"/>
      <c r="AW28" s="139"/>
      <c r="AX28" s="139"/>
      <c r="AY28" s="139"/>
      <c r="AZ28" s="139"/>
      <c r="BA28" s="147"/>
      <c r="BB28" s="142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</row>
    <row r="29" spans="1:70" s="190" customFormat="1">
      <c r="A29" s="176">
        <v>27</v>
      </c>
      <c r="B29" s="167" t="s">
        <v>55</v>
      </c>
      <c r="C29" s="168">
        <v>0.66666666666666663</v>
      </c>
      <c r="D29" s="169">
        <v>40474</v>
      </c>
      <c r="E29" s="169">
        <v>0.66666700000000001</v>
      </c>
      <c r="F29" s="170">
        <v>43118.541666666664</v>
      </c>
      <c r="G29" s="171">
        <v>43118.541666666664</v>
      </c>
      <c r="H29" s="172">
        <f t="shared" ref="H29" si="2">G29-F29</f>
        <v>0</v>
      </c>
      <c r="I29" s="173">
        <v>31.56</v>
      </c>
      <c r="J29" s="174"/>
      <c r="K29" s="175" t="s">
        <v>56</v>
      </c>
      <c r="L29" s="175" t="s">
        <v>57</v>
      </c>
      <c r="M29" s="175">
        <v>-369</v>
      </c>
      <c r="N29" s="176">
        <v>1</v>
      </c>
      <c r="O29" s="176">
        <v>200</v>
      </c>
      <c r="P29" s="175" t="s">
        <v>60</v>
      </c>
      <c r="Q29" s="175" t="s">
        <v>58</v>
      </c>
      <c r="R29" s="175" t="s">
        <v>93</v>
      </c>
      <c r="S29" s="177"/>
      <c r="T29" s="177"/>
      <c r="U29" s="175"/>
      <c r="V29" s="194" t="s">
        <v>125</v>
      </c>
      <c r="W29" s="179"/>
      <c r="X29" s="177"/>
      <c r="Y29" s="177"/>
      <c r="Z29" s="177"/>
      <c r="AA29" s="177"/>
      <c r="AB29" s="180"/>
      <c r="AC29" s="174">
        <v>160.19999999999999</v>
      </c>
      <c r="AD29" s="177">
        <v>-110</v>
      </c>
      <c r="AE29" s="177">
        <v>3.3</v>
      </c>
      <c r="AF29" s="177">
        <v>-1.42</v>
      </c>
      <c r="AG29" s="177">
        <v>109.8</v>
      </c>
      <c r="AH29" s="177">
        <v>-110</v>
      </c>
      <c r="AI29" s="177">
        <v>3.81</v>
      </c>
      <c r="AJ29" s="174">
        <v>-0.26</v>
      </c>
      <c r="AK29" s="181"/>
      <c r="AL29" s="182" t="s">
        <v>101</v>
      </c>
      <c r="AM29" s="183"/>
      <c r="AN29" s="182"/>
      <c r="AO29" s="191"/>
      <c r="AP29" s="192"/>
      <c r="AQ29" s="193"/>
      <c r="AR29" s="186"/>
      <c r="AS29" s="187"/>
      <c r="AT29" s="188"/>
      <c r="AU29" s="187"/>
      <c r="AV29" s="187"/>
      <c r="AW29" s="177"/>
      <c r="AX29" s="177"/>
      <c r="AY29" s="177"/>
      <c r="AZ29" s="177"/>
      <c r="BA29" s="187"/>
      <c r="BB29" s="180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</row>
    <row r="30" spans="1:70" s="190" customFormat="1">
      <c r="A30" s="176">
        <v>28</v>
      </c>
      <c r="B30" s="167"/>
      <c r="C30" s="168"/>
      <c r="D30" s="169"/>
      <c r="E30" s="169"/>
      <c r="F30" s="170">
        <v>43118.541666666664</v>
      </c>
      <c r="G30" s="171">
        <v>43118.541666666664</v>
      </c>
      <c r="H30" s="172">
        <f t="shared" ref="H30:H32" si="3">G30-F30</f>
        <v>0</v>
      </c>
      <c r="I30" s="173">
        <v>31.56</v>
      </c>
      <c r="J30" s="174"/>
      <c r="K30" s="175" t="s">
        <v>56</v>
      </c>
      <c r="L30" s="175" t="s">
        <v>57</v>
      </c>
      <c r="M30" s="175">
        <v>-369</v>
      </c>
      <c r="N30" s="176">
        <v>1</v>
      </c>
      <c r="O30" s="176">
        <v>200</v>
      </c>
      <c r="P30" s="175" t="s">
        <v>60</v>
      </c>
      <c r="Q30" s="175" t="s">
        <v>58</v>
      </c>
      <c r="R30" s="175" t="s">
        <v>77</v>
      </c>
      <c r="S30" s="177"/>
      <c r="T30" s="177"/>
      <c r="U30" s="175"/>
      <c r="V30" s="194" t="s">
        <v>124</v>
      </c>
      <c r="W30" s="179"/>
      <c r="X30" s="177"/>
      <c r="Y30" s="177"/>
      <c r="Z30" s="177"/>
      <c r="AA30" s="177"/>
      <c r="AB30" s="180"/>
      <c r="AC30" s="174">
        <v>160.19999999999999</v>
      </c>
      <c r="AD30" s="177">
        <v>-110</v>
      </c>
      <c r="AE30" s="177">
        <v>3.3</v>
      </c>
      <c r="AF30" s="177">
        <v>-1.42</v>
      </c>
      <c r="AG30" s="177">
        <v>109.8</v>
      </c>
      <c r="AH30" s="177">
        <v>-110</v>
      </c>
      <c r="AI30" s="177">
        <v>3.81</v>
      </c>
      <c r="AJ30" s="174">
        <v>-0.26</v>
      </c>
      <c r="AK30" s="181"/>
      <c r="AL30" s="182" t="s">
        <v>102</v>
      </c>
      <c r="AM30" s="183"/>
      <c r="AN30" s="182"/>
      <c r="AO30" s="191"/>
      <c r="AP30" s="192"/>
      <c r="AQ30" s="193"/>
      <c r="AR30" s="186"/>
      <c r="AS30" s="187"/>
      <c r="AT30" s="188"/>
      <c r="AU30" s="187"/>
      <c r="AV30" s="187"/>
      <c r="AW30" s="177"/>
      <c r="AX30" s="177"/>
      <c r="AY30" s="177"/>
      <c r="AZ30" s="177"/>
      <c r="BA30" s="187"/>
      <c r="BB30" s="180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</row>
    <row r="31" spans="1:70" s="149" customFormat="1">
      <c r="A31" s="138">
        <v>29</v>
      </c>
      <c r="B31" s="129" t="s">
        <v>55</v>
      </c>
      <c r="C31" s="130">
        <v>0.7104166666666667</v>
      </c>
      <c r="D31" s="131">
        <v>40474</v>
      </c>
      <c r="E31" s="131">
        <v>0.71041699999999997</v>
      </c>
      <c r="F31" s="132">
        <v>43118.541666666664</v>
      </c>
      <c r="G31" s="133">
        <v>43118.541666666664</v>
      </c>
      <c r="H31" s="134">
        <f t="shared" si="3"/>
        <v>0</v>
      </c>
      <c r="I31" s="135">
        <v>31.56</v>
      </c>
      <c r="J31" s="136"/>
      <c r="K31" s="137" t="s">
        <v>56</v>
      </c>
      <c r="L31" s="137" t="s">
        <v>57</v>
      </c>
      <c r="M31" s="137">
        <v>-369</v>
      </c>
      <c r="N31" s="138">
        <v>1</v>
      </c>
      <c r="O31" s="138">
        <v>200</v>
      </c>
      <c r="P31" s="137" t="s">
        <v>60</v>
      </c>
      <c r="Q31" s="137" t="s">
        <v>58</v>
      </c>
      <c r="R31" s="137" t="s">
        <v>77</v>
      </c>
      <c r="S31" s="139"/>
      <c r="T31" s="139"/>
      <c r="U31" s="137"/>
      <c r="V31" s="140"/>
      <c r="W31" s="141"/>
      <c r="X31" s="139"/>
      <c r="Y31" s="139"/>
      <c r="Z31" s="139"/>
      <c r="AA31" s="139"/>
      <c r="AB31" s="142"/>
      <c r="AC31" s="136">
        <v>160.19999999999999</v>
      </c>
      <c r="AD31" s="139">
        <v>-110</v>
      </c>
      <c r="AE31" s="139">
        <v>3.3</v>
      </c>
      <c r="AF31" s="139">
        <v>-1.42</v>
      </c>
      <c r="AG31" s="139">
        <v>109.8</v>
      </c>
      <c r="AH31" s="139">
        <v>-110</v>
      </c>
      <c r="AI31" s="139">
        <v>3.81</v>
      </c>
      <c r="AJ31" s="136">
        <v>-0.26</v>
      </c>
      <c r="AK31" s="143"/>
      <c r="AL31" s="144" t="s">
        <v>103</v>
      </c>
      <c r="AM31" s="145"/>
      <c r="AN31" s="144"/>
      <c r="AO31" s="151"/>
      <c r="AP31" s="152"/>
      <c r="AQ31" s="160"/>
      <c r="AR31" s="162"/>
      <c r="AS31" s="147"/>
      <c r="AT31" s="164"/>
      <c r="AU31" s="147"/>
      <c r="AV31" s="147"/>
      <c r="AW31" s="139"/>
      <c r="AX31" s="139"/>
      <c r="AY31" s="139"/>
      <c r="AZ31" s="139"/>
      <c r="BA31" s="147"/>
      <c r="BB31" s="142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</row>
    <row r="32" spans="1:70" s="206" customFormat="1">
      <c r="A32" s="176">
        <v>30</v>
      </c>
      <c r="B32" s="195" t="s">
        <v>55</v>
      </c>
      <c r="C32" s="196">
        <v>0.73263888888888884</v>
      </c>
      <c r="D32" s="197">
        <v>40474</v>
      </c>
      <c r="E32" s="197">
        <v>0.73263900000000004</v>
      </c>
      <c r="F32" s="170">
        <v>43118.541666666664</v>
      </c>
      <c r="G32" s="171">
        <v>43118.541666666664</v>
      </c>
      <c r="H32" s="172">
        <f t="shared" si="3"/>
        <v>0</v>
      </c>
      <c r="I32" s="173">
        <v>31.56</v>
      </c>
      <c r="J32" s="174"/>
      <c r="K32" s="175" t="s">
        <v>56</v>
      </c>
      <c r="L32" s="175" t="s">
        <v>57</v>
      </c>
      <c r="M32" s="175">
        <v>-369</v>
      </c>
      <c r="N32" s="176">
        <v>1</v>
      </c>
      <c r="O32" s="176">
        <v>200</v>
      </c>
      <c r="P32" s="175" t="s">
        <v>60</v>
      </c>
      <c r="Q32" s="175" t="s">
        <v>58</v>
      </c>
      <c r="R32" s="175" t="s">
        <v>77</v>
      </c>
      <c r="S32" s="198"/>
      <c r="T32" s="198"/>
      <c r="U32" s="199"/>
      <c r="V32" s="178">
        <v>700</v>
      </c>
      <c r="W32" s="200"/>
      <c r="X32" s="198"/>
      <c r="Y32" s="198"/>
      <c r="Z32" s="198"/>
      <c r="AA32" s="198"/>
      <c r="AB32" s="188"/>
      <c r="AC32" s="174">
        <v>160.19999999999999</v>
      </c>
      <c r="AD32" s="177">
        <v>-110</v>
      </c>
      <c r="AE32" s="177">
        <v>3.3</v>
      </c>
      <c r="AF32" s="177">
        <v>-1.42</v>
      </c>
      <c r="AG32" s="177">
        <v>109.8</v>
      </c>
      <c r="AH32" s="177">
        <v>-110</v>
      </c>
      <c r="AI32" s="177">
        <v>3.81</v>
      </c>
      <c r="AJ32" s="174">
        <v>-0.26</v>
      </c>
      <c r="AK32" s="181"/>
      <c r="AL32" s="182" t="s">
        <v>104</v>
      </c>
      <c r="AM32" s="201"/>
      <c r="AN32" s="202"/>
      <c r="AO32" s="203"/>
      <c r="AP32" s="204"/>
      <c r="AQ32" s="193"/>
      <c r="AR32" s="186"/>
      <c r="AS32" s="186"/>
      <c r="AT32" s="188"/>
      <c r="AU32" s="205"/>
      <c r="AV32" s="186"/>
      <c r="AW32" s="198"/>
      <c r="AX32" s="198"/>
      <c r="AY32" s="198"/>
      <c r="AZ32" s="198"/>
      <c r="BA32" s="186"/>
      <c r="BB32" s="188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5"/>
    </row>
    <row r="33" spans="1:70" s="206" customFormat="1">
      <c r="A33" s="176">
        <v>31</v>
      </c>
      <c r="B33" s="195"/>
      <c r="C33" s="196"/>
      <c r="D33" s="197"/>
      <c r="E33" s="197"/>
      <c r="F33" s="170">
        <v>43118.541666666664</v>
      </c>
      <c r="G33" s="171">
        <v>43118.541666666664</v>
      </c>
      <c r="H33" s="172">
        <f t="shared" ref="H33:H41" si="4">G33-F33</f>
        <v>0</v>
      </c>
      <c r="I33" s="173">
        <v>31.56</v>
      </c>
      <c r="J33" s="174"/>
      <c r="K33" s="175" t="s">
        <v>56</v>
      </c>
      <c r="L33" s="175" t="s">
        <v>57</v>
      </c>
      <c r="M33" s="175">
        <v>-369</v>
      </c>
      <c r="N33" s="176">
        <v>1</v>
      </c>
      <c r="O33" s="176">
        <v>200</v>
      </c>
      <c r="P33" s="175" t="s">
        <v>60</v>
      </c>
      <c r="Q33" s="175" t="s">
        <v>58</v>
      </c>
      <c r="R33" s="175" t="s">
        <v>76</v>
      </c>
      <c r="S33" s="198"/>
      <c r="T33" s="198"/>
      <c r="U33" s="199"/>
      <c r="V33" s="207"/>
      <c r="W33" s="200"/>
      <c r="X33" s="198"/>
      <c r="Y33" s="198"/>
      <c r="Z33" s="198"/>
      <c r="AA33" s="198"/>
      <c r="AB33" s="188"/>
      <c r="AC33" s="174">
        <v>160.19999999999999</v>
      </c>
      <c r="AD33" s="177">
        <v>-110</v>
      </c>
      <c r="AE33" s="177">
        <v>3.3</v>
      </c>
      <c r="AF33" s="177">
        <v>-1.42</v>
      </c>
      <c r="AG33" s="177">
        <v>109.8</v>
      </c>
      <c r="AH33" s="177">
        <v>-110</v>
      </c>
      <c r="AI33" s="177">
        <v>3.81</v>
      </c>
      <c r="AJ33" s="174">
        <v>-0.26</v>
      </c>
      <c r="AK33" s="181" t="s">
        <v>78</v>
      </c>
      <c r="AL33" s="182" t="s">
        <v>105</v>
      </c>
      <c r="AM33" s="201"/>
      <c r="AN33" s="202"/>
      <c r="AO33" s="203"/>
      <c r="AP33" s="204"/>
      <c r="AQ33" s="193"/>
      <c r="AR33" s="186"/>
      <c r="AS33" s="186"/>
      <c r="AT33" s="188"/>
      <c r="AU33" s="205"/>
      <c r="AV33" s="186"/>
      <c r="AW33" s="198"/>
      <c r="AX33" s="198"/>
      <c r="AY33" s="198"/>
      <c r="AZ33" s="198"/>
      <c r="BA33" s="186"/>
      <c r="BB33" s="188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</row>
    <row r="34" spans="1:70" s="206" customFormat="1">
      <c r="A34" s="176">
        <v>32</v>
      </c>
      <c r="B34" s="195"/>
      <c r="C34" s="196"/>
      <c r="D34" s="197"/>
      <c r="E34" s="197"/>
      <c r="F34" s="170">
        <v>43118.541666666664</v>
      </c>
      <c r="G34" s="171">
        <v>43118.541666666664</v>
      </c>
      <c r="H34" s="172">
        <f t="shared" si="4"/>
        <v>0</v>
      </c>
      <c r="I34" s="173">
        <v>31.56</v>
      </c>
      <c r="J34" s="174"/>
      <c r="K34" s="175" t="s">
        <v>56</v>
      </c>
      <c r="L34" s="175" t="s">
        <v>57</v>
      </c>
      <c r="M34" s="175">
        <v>-369</v>
      </c>
      <c r="N34" s="176">
        <v>1</v>
      </c>
      <c r="O34" s="176">
        <v>200</v>
      </c>
      <c r="P34" s="175" t="s">
        <v>60</v>
      </c>
      <c r="Q34" s="175" t="s">
        <v>58</v>
      </c>
      <c r="R34" s="175" t="s">
        <v>76</v>
      </c>
      <c r="S34" s="198"/>
      <c r="T34" s="198"/>
      <c r="U34" s="199"/>
      <c r="V34" s="207"/>
      <c r="W34" s="200"/>
      <c r="X34" s="198"/>
      <c r="Y34" s="198"/>
      <c r="Z34" s="198"/>
      <c r="AA34" s="198"/>
      <c r="AB34" s="188"/>
      <c r="AC34" s="174">
        <v>160.19999999999999</v>
      </c>
      <c r="AD34" s="177">
        <v>-110</v>
      </c>
      <c r="AE34" s="177">
        <v>3.3</v>
      </c>
      <c r="AF34" s="177">
        <v>-1.42</v>
      </c>
      <c r="AG34" s="177">
        <v>109.8</v>
      </c>
      <c r="AH34" s="177">
        <v>-110</v>
      </c>
      <c r="AI34" s="177">
        <v>3.81</v>
      </c>
      <c r="AJ34" s="174">
        <v>-0.26</v>
      </c>
      <c r="AK34" s="181" t="s">
        <v>78</v>
      </c>
      <c r="AL34" s="182" t="s">
        <v>106</v>
      </c>
      <c r="AM34" s="201"/>
      <c r="AN34" s="202"/>
      <c r="AO34" s="203"/>
      <c r="AP34" s="204"/>
      <c r="AQ34" s="193"/>
      <c r="AR34" s="186"/>
      <c r="AS34" s="186"/>
      <c r="AT34" s="188"/>
      <c r="AU34" s="205"/>
      <c r="AV34" s="186"/>
      <c r="AW34" s="198"/>
      <c r="AX34" s="198"/>
      <c r="AY34" s="198"/>
      <c r="AZ34" s="198"/>
      <c r="BA34" s="186"/>
      <c r="BB34" s="188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</row>
    <row r="35" spans="1:70" s="190" customFormat="1">
      <c r="A35" s="176">
        <v>33</v>
      </c>
      <c r="B35" s="167" t="s">
        <v>55</v>
      </c>
      <c r="C35" s="168">
        <v>0.83819444444444446</v>
      </c>
      <c r="D35" s="169">
        <v>40474</v>
      </c>
      <c r="E35" s="169">
        <v>0.83819399999999999</v>
      </c>
      <c r="F35" s="170">
        <v>43118.541666666664</v>
      </c>
      <c r="G35" s="171">
        <v>43118.541666666664</v>
      </c>
      <c r="H35" s="172">
        <f t="shared" si="4"/>
        <v>0</v>
      </c>
      <c r="I35" s="173">
        <v>31.56</v>
      </c>
      <c r="J35" s="174"/>
      <c r="K35" s="175" t="s">
        <v>56</v>
      </c>
      <c r="L35" s="175" t="s">
        <v>57</v>
      </c>
      <c r="M35" s="175">
        <v>-369</v>
      </c>
      <c r="N35" s="176">
        <v>1</v>
      </c>
      <c r="O35" s="176">
        <v>200</v>
      </c>
      <c r="P35" s="175" t="s">
        <v>60</v>
      </c>
      <c r="Q35" s="175" t="s">
        <v>58</v>
      </c>
      <c r="R35" s="175" t="s">
        <v>76</v>
      </c>
      <c r="S35" s="177"/>
      <c r="T35" s="177"/>
      <c r="U35" s="175"/>
      <c r="V35" s="178"/>
      <c r="W35" s="179"/>
      <c r="X35" s="177"/>
      <c r="Y35" s="177"/>
      <c r="Z35" s="177"/>
      <c r="AA35" s="177"/>
      <c r="AB35" s="180"/>
      <c r="AC35" s="174">
        <v>160.19999999999999</v>
      </c>
      <c r="AD35" s="177">
        <v>-110</v>
      </c>
      <c r="AE35" s="177">
        <v>3.3</v>
      </c>
      <c r="AF35" s="177">
        <v>-1.42</v>
      </c>
      <c r="AG35" s="177">
        <v>109.8</v>
      </c>
      <c r="AH35" s="177">
        <v>-110</v>
      </c>
      <c r="AI35" s="177">
        <v>3.81</v>
      </c>
      <c r="AJ35" s="174">
        <v>-0.26</v>
      </c>
      <c r="AK35" s="181" t="s">
        <v>78</v>
      </c>
      <c r="AL35" s="182" t="s">
        <v>107</v>
      </c>
      <c r="AM35" s="183"/>
      <c r="AN35" s="182"/>
      <c r="AO35" s="191"/>
      <c r="AP35" s="192"/>
      <c r="AQ35" s="193"/>
      <c r="AR35" s="186"/>
      <c r="AS35" s="187"/>
      <c r="AT35" s="188"/>
      <c r="AU35" s="189"/>
      <c r="AV35" s="187"/>
      <c r="AW35" s="177"/>
      <c r="AX35" s="177"/>
      <c r="AY35" s="177"/>
      <c r="AZ35" s="177"/>
      <c r="BA35" s="187"/>
      <c r="BB35" s="180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</row>
    <row r="36" spans="1:70" s="190" customFormat="1">
      <c r="A36" s="176">
        <v>34</v>
      </c>
      <c r="B36" s="167" t="s">
        <v>55</v>
      </c>
      <c r="C36" s="168">
        <v>0.85833333333333339</v>
      </c>
      <c r="D36" s="169">
        <v>40474</v>
      </c>
      <c r="E36" s="169">
        <v>0.85833300000000001</v>
      </c>
      <c r="F36" s="170">
        <v>43118.541666666664</v>
      </c>
      <c r="G36" s="171">
        <v>43118.541666666664</v>
      </c>
      <c r="H36" s="172">
        <f t="shared" si="4"/>
        <v>0</v>
      </c>
      <c r="I36" s="173">
        <v>31.56</v>
      </c>
      <c r="J36" s="174"/>
      <c r="K36" s="175" t="s">
        <v>56</v>
      </c>
      <c r="L36" s="175" t="s">
        <v>57</v>
      </c>
      <c r="M36" s="175">
        <v>-369</v>
      </c>
      <c r="N36" s="176">
        <v>1</v>
      </c>
      <c r="O36" s="176">
        <v>200</v>
      </c>
      <c r="P36" s="175" t="s">
        <v>60</v>
      </c>
      <c r="Q36" s="175" t="s">
        <v>58</v>
      </c>
      <c r="R36" s="175" t="s">
        <v>76</v>
      </c>
      <c r="S36" s="177"/>
      <c r="T36" s="177"/>
      <c r="U36" s="175"/>
      <c r="V36" s="178"/>
      <c r="W36" s="179"/>
      <c r="X36" s="177"/>
      <c r="Y36" s="177"/>
      <c r="Z36" s="177"/>
      <c r="AA36" s="177"/>
      <c r="AB36" s="180"/>
      <c r="AC36" s="174">
        <v>160.19999999999999</v>
      </c>
      <c r="AD36" s="177">
        <v>-110</v>
      </c>
      <c r="AE36" s="177">
        <v>3.3</v>
      </c>
      <c r="AF36" s="177">
        <v>-1.42</v>
      </c>
      <c r="AG36" s="177">
        <v>109.8</v>
      </c>
      <c r="AH36" s="177">
        <v>-110</v>
      </c>
      <c r="AI36" s="177">
        <v>3.81</v>
      </c>
      <c r="AJ36" s="174">
        <v>-0.26</v>
      </c>
      <c r="AK36" s="181" t="s">
        <v>78</v>
      </c>
      <c r="AL36" s="182" t="s">
        <v>108</v>
      </c>
      <c r="AM36" s="183"/>
      <c r="AN36" s="182"/>
      <c r="AO36" s="191"/>
      <c r="AP36" s="192"/>
      <c r="AQ36" s="193"/>
      <c r="AR36" s="186"/>
      <c r="AS36" s="187"/>
      <c r="AT36" s="188"/>
      <c r="AU36" s="189"/>
      <c r="AV36" s="187"/>
      <c r="AW36" s="177"/>
      <c r="AX36" s="177"/>
      <c r="AY36" s="177"/>
      <c r="AZ36" s="177"/>
      <c r="BA36" s="187"/>
      <c r="BB36" s="180"/>
      <c r="BC36" s="189"/>
      <c r="BD36" s="189"/>
      <c r="BE36" s="189"/>
      <c r="BF36" s="189"/>
      <c r="BG36" s="189"/>
      <c r="BH36" s="189"/>
      <c r="BI36" s="189"/>
      <c r="BJ36" s="189"/>
      <c r="BK36" s="189"/>
      <c r="BL36" s="189"/>
      <c r="BM36" s="189"/>
      <c r="BN36" s="189"/>
      <c r="BO36" s="189"/>
      <c r="BP36" s="189"/>
      <c r="BQ36" s="189"/>
      <c r="BR36" s="189"/>
    </row>
    <row r="37" spans="1:70" s="149" customFormat="1">
      <c r="A37" s="138">
        <v>35</v>
      </c>
      <c r="B37" s="129"/>
      <c r="C37" s="130"/>
      <c r="D37" s="131"/>
      <c r="E37" s="131"/>
      <c r="F37" s="132">
        <v>43118.541666666664</v>
      </c>
      <c r="G37" s="133">
        <v>43118.541666666664</v>
      </c>
      <c r="H37" s="134">
        <f t="shared" si="4"/>
        <v>0</v>
      </c>
      <c r="I37" s="135">
        <v>31.56</v>
      </c>
      <c r="J37" s="136"/>
      <c r="K37" s="137" t="s">
        <v>56</v>
      </c>
      <c r="L37" s="137" t="s">
        <v>57</v>
      </c>
      <c r="M37" s="137">
        <v>-369</v>
      </c>
      <c r="N37" s="138">
        <v>1</v>
      </c>
      <c r="O37" s="138">
        <v>200</v>
      </c>
      <c r="P37" s="137" t="s">
        <v>60</v>
      </c>
      <c r="Q37" s="137" t="s">
        <v>58</v>
      </c>
      <c r="R37" s="137" t="s">
        <v>76</v>
      </c>
      <c r="S37" s="139"/>
      <c r="T37" s="139"/>
      <c r="U37" s="137"/>
      <c r="V37" s="140"/>
      <c r="W37" s="141"/>
      <c r="X37" s="139"/>
      <c r="Y37" s="139"/>
      <c r="Z37" s="139"/>
      <c r="AA37" s="139"/>
      <c r="AB37" s="142"/>
      <c r="AC37" s="136">
        <v>160.19999999999999</v>
      </c>
      <c r="AD37" s="139">
        <v>-110</v>
      </c>
      <c r="AE37" s="139">
        <v>3.3</v>
      </c>
      <c r="AF37" s="139">
        <v>-1.42</v>
      </c>
      <c r="AG37" s="139">
        <v>109.8</v>
      </c>
      <c r="AH37" s="139">
        <v>-110</v>
      </c>
      <c r="AI37" s="139">
        <v>3.81</v>
      </c>
      <c r="AJ37" s="136">
        <v>-0.26</v>
      </c>
      <c r="AK37" s="143" t="s">
        <v>78</v>
      </c>
      <c r="AL37" s="144" t="s">
        <v>103</v>
      </c>
      <c r="AM37" s="145"/>
      <c r="AN37" s="144"/>
      <c r="AO37" s="151"/>
      <c r="AP37" s="152"/>
      <c r="AQ37" s="160"/>
      <c r="AR37" s="162"/>
      <c r="AS37" s="147"/>
      <c r="AT37" s="164"/>
      <c r="AU37" s="148"/>
      <c r="AV37" s="147"/>
      <c r="AW37" s="139"/>
      <c r="AX37" s="139"/>
      <c r="AY37" s="139"/>
      <c r="AZ37" s="139"/>
      <c r="BA37" s="147"/>
      <c r="BB37" s="142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</row>
    <row r="38" spans="1:70" s="190" customFormat="1">
      <c r="A38" s="176">
        <v>36</v>
      </c>
      <c r="B38" s="167" t="s">
        <v>55</v>
      </c>
      <c r="C38" s="168">
        <v>0.90138888888888891</v>
      </c>
      <c r="D38" s="169">
        <v>40474</v>
      </c>
      <c r="E38" s="169">
        <v>0.901389</v>
      </c>
      <c r="F38" s="170">
        <v>43118.541666666664</v>
      </c>
      <c r="G38" s="171">
        <v>43118.541666666664</v>
      </c>
      <c r="H38" s="172">
        <f t="shared" si="4"/>
        <v>0</v>
      </c>
      <c r="I38" s="173">
        <v>31.56</v>
      </c>
      <c r="J38" s="174"/>
      <c r="K38" s="175" t="s">
        <v>56</v>
      </c>
      <c r="L38" s="175" t="s">
        <v>57</v>
      </c>
      <c r="M38" s="175">
        <v>-369</v>
      </c>
      <c r="N38" s="176">
        <v>1</v>
      </c>
      <c r="O38" s="176">
        <v>200</v>
      </c>
      <c r="P38" s="175" t="s">
        <v>60</v>
      </c>
      <c r="Q38" s="175" t="s">
        <v>58</v>
      </c>
      <c r="R38" s="175" t="s">
        <v>76</v>
      </c>
      <c r="S38" s="177"/>
      <c r="T38" s="177"/>
      <c r="U38" s="175"/>
      <c r="V38" s="178"/>
      <c r="W38" s="179"/>
      <c r="X38" s="177"/>
      <c r="Y38" s="177"/>
      <c r="Z38" s="177"/>
      <c r="AA38" s="177"/>
      <c r="AB38" s="180"/>
      <c r="AC38" s="174">
        <v>160.19999999999999</v>
      </c>
      <c r="AD38" s="177">
        <v>-110</v>
      </c>
      <c r="AE38" s="177">
        <v>3.3</v>
      </c>
      <c r="AF38" s="177">
        <v>-1.42</v>
      </c>
      <c r="AG38" s="177">
        <v>109.8</v>
      </c>
      <c r="AH38" s="177">
        <v>-110</v>
      </c>
      <c r="AI38" s="177">
        <v>3.81</v>
      </c>
      <c r="AJ38" s="174">
        <v>-0.26</v>
      </c>
      <c r="AK38" s="181" t="s">
        <v>62</v>
      </c>
      <c r="AL38" s="182" t="s">
        <v>110</v>
      </c>
      <c r="AM38" s="183"/>
      <c r="AN38" s="182"/>
      <c r="AO38" s="191"/>
      <c r="AP38" s="192"/>
      <c r="AQ38" s="193"/>
      <c r="AR38" s="186"/>
      <c r="AS38" s="187"/>
      <c r="AT38" s="188"/>
      <c r="AU38" s="189"/>
      <c r="AV38" s="187"/>
      <c r="AW38" s="177"/>
      <c r="AX38" s="177"/>
      <c r="AY38" s="177"/>
      <c r="AZ38" s="177"/>
      <c r="BA38" s="187"/>
      <c r="BB38" s="180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</row>
    <row r="39" spans="1:70" s="190" customFormat="1">
      <c r="A39" s="176">
        <v>37</v>
      </c>
      <c r="B39" s="167" t="s">
        <v>55</v>
      </c>
      <c r="C39" s="168">
        <v>0.92361111111111116</v>
      </c>
      <c r="D39" s="169">
        <v>40474</v>
      </c>
      <c r="E39" s="169">
        <v>0.92361099999999996</v>
      </c>
      <c r="F39" s="170">
        <v>43118.541666666664</v>
      </c>
      <c r="G39" s="171">
        <v>43118.541666666664</v>
      </c>
      <c r="H39" s="172">
        <f t="shared" si="4"/>
        <v>0</v>
      </c>
      <c r="I39" s="173">
        <v>31.56</v>
      </c>
      <c r="J39" s="174"/>
      <c r="K39" s="175" t="s">
        <v>56</v>
      </c>
      <c r="L39" s="175" t="s">
        <v>57</v>
      </c>
      <c r="M39" s="175">
        <v>-369</v>
      </c>
      <c r="N39" s="176">
        <v>1</v>
      </c>
      <c r="O39" s="176">
        <v>200</v>
      </c>
      <c r="P39" s="175" t="s">
        <v>60</v>
      </c>
      <c r="Q39" s="175" t="s">
        <v>58</v>
      </c>
      <c r="R39" s="175" t="s">
        <v>76</v>
      </c>
      <c r="S39" s="177"/>
      <c r="T39" s="177"/>
      <c r="U39" s="175"/>
      <c r="V39" s="178"/>
      <c r="W39" s="179"/>
      <c r="X39" s="177"/>
      <c r="Y39" s="177"/>
      <c r="Z39" s="177"/>
      <c r="AA39" s="177"/>
      <c r="AB39" s="180"/>
      <c r="AC39" s="174">
        <v>160.19999999999999</v>
      </c>
      <c r="AD39" s="177">
        <v>-110</v>
      </c>
      <c r="AE39" s="177">
        <v>3.3</v>
      </c>
      <c r="AF39" s="177">
        <v>-1.42</v>
      </c>
      <c r="AG39" s="177">
        <v>109.8</v>
      </c>
      <c r="AH39" s="177">
        <v>-110</v>
      </c>
      <c r="AI39" s="177">
        <v>3.81</v>
      </c>
      <c r="AJ39" s="174">
        <v>-0.26</v>
      </c>
      <c r="AK39" s="181" t="s">
        <v>78</v>
      </c>
      <c r="AL39" s="182" t="s">
        <v>111</v>
      </c>
      <c r="AM39" s="183"/>
      <c r="AN39" s="182"/>
      <c r="AO39" s="191"/>
      <c r="AP39" s="192"/>
      <c r="AQ39" s="193"/>
      <c r="AR39" s="186"/>
      <c r="AS39" s="187"/>
      <c r="AT39" s="188"/>
      <c r="AU39" s="189"/>
      <c r="AV39" s="187"/>
      <c r="AW39" s="177"/>
      <c r="AX39" s="177"/>
      <c r="AY39" s="177"/>
      <c r="AZ39" s="177"/>
      <c r="BA39" s="187"/>
      <c r="BB39" s="180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</row>
    <row r="40" spans="1:70" s="190" customFormat="1">
      <c r="A40" s="176">
        <v>38</v>
      </c>
      <c r="B40" s="167" t="s">
        <v>55</v>
      </c>
      <c r="C40" s="168">
        <v>0.94930555555555562</v>
      </c>
      <c r="D40" s="169">
        <v>40474</v>
      </c>
      <c r="E40" s="169">
        <v>0.94930599999999998</v>
      </c>
      <c r="F40" s="170">
        <v>43118.541666666664</v>
      </c>
      <c r="G40" s="171">
        <v>43118.541666666664</v>
      </c>
      <c r="H40" s="172">
        <f t="shared" si="4"/>
        <v>0</v>
      </c>
      <c r="I40" s="173">
        <v>31.56</v>
      </c>
      <c r="J40" s="174"/>
      <c r="K40" s="175" t="s">
        <v>56</v>
      </c>
      <c r="L40" s="175" t="s">
        <v>57</v>
      </c>
      <c r="M40" s="175">
        <v>-369</v>
      </c>
      <c r="N40" s="176">
        <v>1</v>
      </c>
      <c r="O40" s="176">
        <v>200</v>
      </c>
      <c r="P40" s="175" t="s">
        <v>60</v>
      </c>
      <c r="Q40" s="175" t="s">
        <v>58</v>
      </c>
      <c r="R40" s="175" t="s">
        <v>76</v>
      </c>
      <c r="S40" s="177"/>
      <c r="T40" s="177"/>
      <c r="U40" s="175"/>
      <c r="V40" s="178"/>
      <c r="W40" s="179"/>
      <c r="X40" s="177"/>
      <c r="Y40" s="177"/>
      <c r="Z40" s="177"/>
      <c r="AA40" s="177"/>
      <c r="AB40" s="180"/>
      <c r="AC40" s="174">
        <v>160.19999999999999</v>
      </c>
      <c r="AD40" s="177">
        <v>-110</v>
      </c>
      <c r="AE40" s="177">
        <v>3.3</v>
      </c>
      <c r="AF40" s="177">
        <v>-1.42</v>
      </c>
      <c r="AG40" s="177">
        <v>109.8</v>
      </c>
      <c r="AH40" s="177">
        <v>-110</v>
      </c>
      <c r="AI40" s="177">
        <v>3.81</v>
      </c>
      <c r="AJ40" s="174">
        <v>-0.26</v>
      </c>
      <c r="AK40" s="181" t="s">
        <v>121</v>
      </c>
      <c r="AL40" s="182" t="s">
        <v>109</v>
      </c>
      <c r="AM40" s="183"/>
      <c r="AN40" s="182"/>
      <c r="AO40" s="191"/>
      <c r="AP40" s="192"/>
      <c r="AQ40" s="193"/>
      <c r="AR40" s="186"/>
      <c r="AS40" s="187"/>
      <c r="AT40" s="188"/>
      <c r="AU40" s="189"/>
      <c r="AV40" s="187"/>
      <c r="AW40" s="177"/>
      <c r="AX40" s="177"/>
      <c r="AY40" s="177"/>
      <c r="AZ40" s="177"/>
      <c r="BA40" s="187"/>
      <c r="BB40" s="180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</row>
    <row r="41" spans="1:70" s="190" customFormat="1">
      <c r="A41" s="176">
        <v>39</v>
      </c>
      <c r="F41" s="170">
        <v>43118.541666666664</v>
      </c>
      <c r="G41" s="171">
        <v>43118.541666666664</v>
      </c>
      <c r="H41" s="172">
        <f t="shared" si="4"/>
        <v>0</v>
      </c>
      <c r="I41" s="173">
        <v>31.56</v>
      </c>
      <c r="J41" s="174"/>
      <c r="K41" s="175" t="s">
        <v>56</v>
      </c>
      <c r="L41" s="175" t="s">
        <v>57</v>
      </c>
      <c r="M41" s="175">
        <v>-369</v>
      </c>
      <c r="N41" s="176">
        <v>1</v>
      </c>
      <c r="O41" s="176">
        <v>200</v>
      </c>
      <c r="P41" s="175" t="s">
        <v>60</v>
      </c>
      <c r="Q41" s="175" t="s">
        <v>58</v>
      </c>
      <c r="R41" s="175" t="s">
        <v>76</v>
      </c>
      <c r="S41" s="177"/>
      <c r="T41" s="177"/>
      <c r="U41" s="175"/>
      <c r="V41" s="178"/>
      <c r="W41" s="179"/>
      <c r="X41" s="177"/>
      <c r="Y41" s="177"/>
      <c r="Z41" s="177"/>
      <c r="AA41" s="177"/>
      <c r="AB41" s="180"/>
      <c r="AC41" s="174">
        <v>160.19999999999999</v>
      </c>
      <c r="AD41" s="177">
        <v>-110</v>
      </c>
      <c r="AE41" s="177">
        <v>3.3</v>
      </c>
      <c r="AF41" s="177">
        <v>-1.42</v>
      </c>
      <c r="AG41" s="177">
        <v>109.8</v>
      </c>
      <c r="AH41" s="177">
        <v>-110</v>
      </c>
      <c r="AI41" s="177">
        <v>3.81</v>
      </c>
      <c r="AJ41" s="174">
        <v>-0.26</v>
      </c>
      <c r="AK41" s="181" t="s">
        <v>78</v>
      </c>
      <c r="AL41" s="182" t="s">
        <v>112</v>
      </c>
      <c r="AM41" s="183"/>
      <c r="AN41" s="182"/>
      <c r="AO41" s="191"/>
      <c r="AP41" s="192"/>
      <c r="AQ41" s="193"/>
      <c r="AR41" s="186"/>
      <c r="AS41" s="187"/>
      <c r="AT41" s="188"/>
      <c r="AU41" s="189"/>
      <c r="AV41" s="187"/>
      <c r="AW41" s="177"/>
      <c r="AX41" s="177"/>
      <c r="AY41" s="177"/>
      <c r="AZ41" s="177"/>
      <c r="BA41" s="187"/>
      <c r="BB41" s="180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</row>
    <row r="42" spans="1:70" s="190" customFormat="1">
      <c r="A42" s="176">
        <v>40</v>
      </c>
      <c r="F42" s="170">
        <v>43118.541666666664</v>
      </c>
      <c r="G42" s="171">
        <v>43118.541666666664</v>
      </c>
      <c r="H42" s="172">
        <f t="shared" ref="H42" si="5">G42-F42</f>
        <v>0</v>
      </c>
      <c r="I42" s="173">
        <v>31.56</v>
      </c>
      <c r="J42" s="174"/>
      <c r="K42" s="175" t="s">
        <v>56</v>
      </c>
      <c r="L42" s="175" t="s">
        <v>57</v>
      </c>
      <c r="M42" s="175">
        <v>-369</v>
      </c>
      <c r="N42" s="176">
        <v>1</v>
      </c>
      <c r="O42" s="176">
        <v>200</v>
      </c>
      <c r="P42" s="175" t="s">
        <v>60</v>
      </c>
      <c r="Q42" s="175" t="s">
        <v>58</v>
      </c>
      <c r="R42" s="175" t="s">
        <v>113</v>
      </c>
      <c r="S42" s="177"/>
      <c r="T42" s="177"/>
      <c r="U42" s="175">
        <v>0</v>
      </c>
      <c r="V42" s="178">
        <v>0</v>
      </c>
      <c r="W42" s="179"/>
      <c r="X42" s="177"/>
      <c r="Y42" s="177"/>
      <c r="Z42" s="177"/>
      <c r="AA42" s="177"/>
      <c r="AB42" s="180"/>
      <c r="AC42" s="174">
        <v>160.1</v>
      </c>
      <c r="AD42" s="177">
        <v>-109.9</v>
      </c>
      <c r="AE42" s="177">
        <v>3.3</v>
      </c>
      <c r="AF42" s="177">
        <v>-1.42</v>
      </c>
      <c r="AG42" s="177">
        <v>109.8</v>
      </c>
      <c r="AH42" s="177">
        <v>-110</v>
      </c>
      <c r="AI42" s="177">
        <v>3.81</v>
      </c>
      <c r="AJ42" s="174">
        <v>-0.26</v>
      </c>
      <c r="AK42" s="181"/>
      <c r="AL42" s="182" t="s">
        <v>114</v>
      </c>
      <c r="AM42" s="183"/>
      <c r="AN42" s="182"/>
      <c r="AO42" s="191"/>
      <c r="AP42" s="192"/>
      <c r="AQ42" s="193"/>
      <c r="AR42" s="186"/>
      <c r="AS42" s="187"/>
      <c r="AT42" s="188"/>
      <c r="AU42" s="189"/>
      <c r="AV42" s="187"/>
      <c r="AW42" s="177"/>
      <c r="AX42" s="177"/>
      <c r="AY42" s="177"/>
      <c r="AZ42" s="177"/>
      <c r="BA42" s="187"/>
      <c r="BB42" s="180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</row>
    <row r="43" spans="1:70" s="190" customFormat="1">
      <c r="A43" s="176">
        <v>41</v>
      </c>
      <c r="F43" s="170">
        <v>43118.541666666664</v>
      </c>
      <c r="G43" s="171">
        <v>43118.541666666664</v>
      </c>
      <c r="H43" s="172">
        <f t="shared" ref="H43:H49" si="6">G43-F43</f>
        <v>0</v>
      </c>
      <c r="I43" s="173">
        <v>31.54</v>
      </c>
      <c r="J43" s="174"/>
      <c r="K43" s="175" t="s">
        <v>56</v>
      </c>
      <c r="L43" s="175" t="s">
        <v>57</v>
      </c>
      <c r="M43" s="175">
        <v>-369</v>
      </c>
      <c r="N43" s="176">
        <v>1</v>
      </c>
      <c r="O43" s="176">
        <v>200</v>
      </c>
      <c r="P43" s="175">
        <v>355</v>
      </c>
      <c r="Q43" s="175" t="s">
        <v>58</v>
      </c>
      <c r="R43" s="175" t="s">
        <v>91</v>
      </c>
      <c r="S43" s="177"/>
      <c r="T43" s="177"/>
      <c r="U43" s="175">
        <v>0</v>
      </c>
      <c r="V43" s="178">
        <v>0</v>
      </c>
      <c r="W43" s="179"/>
      <c r="X43" s="177"/>
      <c r="Y43" s="177"/>
      <c r="Z43" s="177"/>
      <c r="AA43" s="177"/>
      <c r="AB43" s="180"/>
      <c r="AC43" s="174">
        <v>160.1</v>
      </c>
      <c r="AD43" s="177">
        <v>-110</v>
      </c>
      <c r="AE43" s="177">
        <v>3.3</v>
      </c>
      <c r="AF43" s="177">
        <v>-1.42</v>
      </c>
      <c r="AG43" s="177">
        <v>109.8</v>
      </c>
      <c r="AH43" s="177">
        <v>-110</v>
      </c>
      <c r="AI43" s="177">
        <v>2.82</v>
      </c>
      <c r="AJ43" s="174">
        <v>0.84</v>
      </c>
      <c r="AK43" s="181"/>
      <c r="AL43" s="182" t="s">
        <v>115</v>
      </c>
      <c r="AM43" s="183"/>
      <c r="AN43" s="182"/>
      <c r="AO43" s="191"/>
      <c r="AP43" s="192"/>
      <c r="AQ43" s="193"/>
      <c r="AR43" s="186"/>
      <c r="AS43" s="187"/>
      <c r="AT43" s="188"/>
      <c r="AU43" s="189"/>
      <c r="AV43" s="187"/>
      <c r="AW43" s="177"/>
      <c r="AX43" s="177"/>
      <c r="AY43" s="177"/>
      <c r="AZ43" s="177"/>
      <c r="BA43" s="187"/>
      <c r="BB43" s="180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</row>
    <row r="44" spans="1:70" s="190" customFormat="1">
      <c r="A44" s="176">
        <v>42</v>
      </c>
      <c r="F44" s="170">
        <v>43118.541666666664</v>
      </c>
      <c r="G44" s="171">
        <v>43118.541666666664</v>
      </c>
      <c r="H44" s="172">
        <f t="shared" si="6"/>
        <v>0</v>
      </c>
      <c r="I44" s="173">
        <v>31.54</v>
      </c>
      <c r="J44" s="174"/>
      <c r="K44" s="175" t="s">
        <v>56</v>
      </c>
      <c r="L44" s="175" t="s">
        <v>57</v>
      </c>
      <c r="M44" s="175">
        <v>-369</v>
      </c>
      <c r="N44" s="176">
        <v>1</v>
      </c>
      <c r="O44" s="176">
        <v>200</v>
      </c>
      <c r="P44" s="175">
        <v>350</v>
      </c>
      <c r="Q44" s="175" t="s">
        <v>58</v>
      </c>
      <c r="R44" s="175" t="s">
        <v>91</v>
      </c>
      <c r="S44" s="177"/>
      <c r="T44" s="177"/>
      <c r="U44" s="175">
        <v>0</v>
      </c>
      <c r="V44" s="178">
        <v>0</v>
      </c>
      <c r="W44" s="179"/>
      <c r="X44" s="177"/>
      <c r="Y44" s="177"/>
      <c r="Z44" s="177"/>
      <c r="AA44" s="177"/>
      <c r="AB44" s="180"/>
      <c r="AC44" s="174">
        <v>160.1</v>
      </c>
      <c r="AD44" s="177">
        <v>-110</v>
      </c>
      <c r="AE44" s="177">
        <v>3.3</v>
      </c>
      <c r="AF44" s="177">
        <v>-1.42</v>
      </c>
      <c r="AG44" s="177">
        <v>109.8</v>
      </c>
      <c r="AH44" s="177">
        <v>-110</v>
      </c>
      <c r="AI44" s="177">
        <v>2.82</v>
      </c>
      <c r="AJ44" s="174">
        <v>0.84</v>
      </c>
      <c r="AK44" s="181"/>
      <c r="AL44" s="182" t="s">
        <v>116</v>
      </c>
      <c r="AM44" s="183"/>
      <c r="AN44" s="182"/>
      <c r="AO44" s="191"/>
      <c r="AP44" s="192"/>
      <c r="AQ44" s="193"/>
      <c r="AR44" s="186"/>
      <c r="AS44" s="187"/>
      <c r="AT44" s="188"/>
      <c r="AU44" s="187"/>
      <c r="AV44" s="187"/>
      <c r="AW44" s="177"/>
      <c r="AX44" s="177"/>
      <c r="AY44" s="177"/>
      <c r="AZ44" s="177"/>
      <c r="BA44" s="187"/>
      <c r="BB44" s="180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</row>
    <row r="45" spans="1:70" s="190" customFormat="1">
      <c r="A45" s="176">
        <v>43</v>
      </c>
      <c r="F45" s="170">
        <v>43118.541666666664</v>
      </c>
      <c r="G45" s="171">
        <v>43118.541666666664</v>
      </c>
      <c r="H45" s="172">
        <f t="shared" si="6"/>
        <v>0</v>
      </c>
      <c r="I45" s="173">
        <v>31.54</v>
      </c>
      <c r="J45" s="174"/>
      <c r="K45" s="175" t="s">
        <v>56</v>
      </c>
      <c r="L45" s="175" t="s">
        <v>57</v>
      </c>
      <c r="M45" s="175">
        <v>-369</v>
      </c>
      <c r="N45" s="176">
        <v>1</v>
      </c>
      <c r="O45" s="176">
        <v>200</v>
      </c>
      <c r="P45" s="175">
        <v>345</v>
      </c>
      <c r="Q45" s="175" t="s">
        <v>58</v>
      </c>
      <c r="R45" s="175" t="s">
        <v>91</v>
      </c>
      <c r="S45" s="177"/>
      <c r="T45" s="177"/>
      <c r="U45" s="175">
        <v>0</v>
      </c>
      <c r="V45" s="178">
        <v>0</v>
      </c>
      <c r="W45" s="179"/>
      <c r="X45" s="177"/>
      <c r="Y45" s="177"/>
      <c r="Z45" s="177"/>
      <c r="AA45" s="177"/>
      <c r="AB45" s="180"/>
      <c r="AC45" s="174">
        <v>160.1</v>
      </c>
      <c r="AD45" s="177">
        <v>-110</v>
      </c>
      <c r="AE45" s="177">
        <v>3.3</v>
      </c>
      <c r="AF45" s="177">
        <v>-1.42</v>
      </c>
      <c r="AG45" s="177">
        <v>109.8</v>
      </c>
      <c r="AH45" s="177">
        <v>-110</v>
      </c>
      <c r="AI45" s="177">
        <v>2.82</v>
      </c>
      <c r="AJ45" s="174">
        <v>0.84</v>
      </c>
      <c r="AK45" s="181"/>
      <c r="AL45" s="182" t="s">
        <v>117</v>
      </c>
      <c r="AM45" s="183"/>
      <c r="AN45" s="182"/>
      <c r="AO45" s="191"/>
      <c r="AP45" s="192"/>
      <c r="AQ45" s="193"/>
      <c r="AR45" s="186"/>
      <c r="AS45" s="187"/>
      <c r="AT45" s="188"/>
      <c r="AU45" s="187"/>
      <c r="AV45" s="187"/>
      <c r="AW45" s="177"/>
      <c r="AX45" s="177"/>
      <c r="AY45" s="177"/>
      <c r="AZ45" s="177"/>
      <c r="BA45" s="187"/>
      <c r="BB45" s="180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</row>
    <row r="46" spans="1:70" s="190" customFormat="1">
      <c r="A46" s="176">
        <v>44</v>
      </c>
      <c r="F46" s="170">
        <v>43118.541666666664</v>
      </c>
      <c r="G46" s="171">
        <v>43118.541666666664</v>
      </c>
      <c r="H46" s="172">
        <f t="shared" si="6"/>
        <v>0</v>
      </c>
      <c r="I46" s="173">
        <v>31.54</v>
      </c>
      <c r="J46" s="174"/>
      <c r="K46" s="175" t="s">
        <v>56</v>
      </c>
      <c r="L46" s="175" t="s">
        <v>57</v>
      </c>
      <c r="M46" s="175">
        <v>-369</v>
      </c>
      <c r="N46" s="176">
        <v>1</v>
      </c>
      <c r="O46" s="176">
        <v>200</v>
      </c>
      <c r="P46" s="175">
        <v>340</v>
      </c>
      <c r="Q46" s="175" t="s">
        <v>58</v>
      </c>
      <c r="R46" s="175" t="s">
        <v>91</v>
      </c>
      <c r="S46" s="177"/>
      <c r="T46" s="177"/>
      <c r="U46" s="175">
        <v>0</v>
      </c>
      <c r="V46" s="178">
        <v>0</v>
      </c>
      <c r="W46" s="179"/>
      <c r="X46" s="177"/>
      <c r="Y46" s="177"/>
      <c r="Z46" s="177"/>
      <c r="AA46" s="177"/>
      <c r="AB46" s="180"/>
      <c r="AC46" s="174">
        <v>160.1</v>
      </c>
      <c r="AD46" s="177">
        <v>-110</v>
      </c>
      <c r="AE46" s="177">
        <v>3.3</v>
      </c>
      <c r="AF46" s="177">
        <v>-1.42</v>
      </c>
      <c r="AG46" s="177">
        <v>109.8</v>
      </c>
      <c r="AH46" s="177">
        <v>-110</v>
      </c>
      <c r="AI46" s="177">
        <v>2.82</v>
      </c>
      <c r="AJ46" s="174">
        <v>0.84</v>
      </c>
      <c r="AK46" s="181"/>
      <c r="AL46" s="182" t="s">
        <v>118</v>
      </c>
      <c r="AM46" s="183"/>
      <c r="AN46" s="182"/>
      <c r="AO46" s="191"/>
      <c r="AP46" s="192"/>
      <c r="AQ46" s="193"/>
      <c r="AR46" s="186"/>
      <c r="AS46" s="187"/>
      <c r="AT46" s="188"/>
      <c r="AU46" s="187"/>
      <c r="AV46" s="187"/>
      <c r="AW46" s="177"/>
      <c r="AX46" s="177"/>
      <c r="AY46" s="177"/>
      <c r="AZ46" s="177"/>
      <c r="BA46" s="187"/>
      <c r="BB46" s="180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</row>
    <row r="47" spans="1:70" s="206" customFormat="1">
      <c r="A47" s="176">
        <v>45</v>
      </c>
      <c r="B47" s="190"/>
      <c r="C47" s="190"/>
      <c r="D47" s="190"/>
      <c r="E47" s="190"/>
      <c r="F47" s="170">
        <v>43118.541666666664</v>
      </c>
      <c r="G47" s="171">
        <v>43118.541666666664</v>
      </c>
      <c r="H47" s="172">
        <f t="shared" si="6"/>
        <v>0</v>
      </c>
      <c r="I47" s="173">
        <v>31.54</v>
      </c>
      <c r="J47" s="174"/>
      <c r="K47" s="175" t="s">
        <v>56</v>
      </c>
      <c r="L47" s="175" t="s">
        <v>57</v>
      </c>
      <c r="M47" s="175">
        <v>-369</v>
      </c>
      <c r="N47" s="176">
        <v>1</v>
      </c>
      <c r="O47" s="176">
        <v>200</v>
      </c>
      <c r="P47" s="175">
        <v>335</v>
      </c>
      <c r="Q47" s="175" t="s">
        <v>58</v>
      </c>
      <c r="R47" s="175" t="s">
        <v>91</v>
      </c>
      <c r="S47" s="177"/>
      <c r="T47" s="177"/>
      <c r="U47" s="175">
        <v>0</v>
      </c>
      <c r="V47" s="178">
        <v>0</v>
      </c>
      <c r="W47" s="179"/>
      <c r="X47" s="177"/>
      <c r="Y47" s="177"/>
      <c r="Z47" s="177"/>
      <c r="AA47" s="177"/>
      <c r="AB47" s="180"/>
      <c r="AC47" s="174">
        <v>160.1</v>
      </c>
      <c r="AD47" s="177">
        <v>-110</v>
      </c>
      <c r="AE47" s="177">
        <v>3.3</v>
      </c>
      <c r="AF47" s="177">
        <v>-1.42</v>
      </c>
      <c r="AG47" s="177">
        <v>109.8</v>
      </c>
      <c r="AH47" s="177">
        <v>-110</v>
      </c>
      <c r="AI47" s="177">
        <v>2.82</v>
      </c>
      <c r="AJ47" s="174">
        <v>0.84</v>
      </c>
      <c r="AK47" s="181"/>
      <c r="AL47" s="182" t="s">
        <v>119</v>
      </c>
      <c r="AM47" s="183"/>
      <c r="AN47" s="182"/>
      <c r="AO47" s="191"/>
      <c r="AP47" s="192"/>
      <c r="AQ47" s="193"/>
      <c r="AR47" s="186"/>
      <c r="AS47" s="187"/>
      <c r="AT47" s="188"/>
      <c r="AU47" s="187"/>
      <c r="AV47" s="187"/>
      <c r="AW47" s="177"/>
      <c r="AX47" s="177"/>
      <c r="AY47" s="177"/>
      <c r="AZ47" s="177"/>
      <c r="BA47" s="187"/>
      <c r="BB47" s="180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205"/>
      <c r="BQ47" s="205"/>
      <c r="BR47" s="205"/>
    </row>
    <row r="48" spans="1:70" s="154" customFormat="1">
      <c r="A48" s="138">
        <v>46</v>
      </c>
      <c r="B48" s="149"/>
      <c r="C48" s="149"/>
      <c r="D48" s="149"/>
      <c r="E48" s="149"/>
      <c r="F48" s="132">
        <v>43118.541666666664</v>
      </c>
      <c r="G48" s="133">
        <v>43118.541666666664</v>
      </c>
      <c r="H48" s="134">
        <f t="shared" si="6"/>
        <v>0</v>
      </c>
      <c r="I48" s="135">
        <v>31.54</v>
      </c>
      <c r="J48" s="136"/>
      <c r="K48" s="137" t="s">
        <v>56</v>
      </c>
      <c r="L48" s="137" t="s">
        <v>57</v>
      </c>
      <c r="M48" s="137">
        <v>-369</v>
      </c>
      <c r="N48" s="138">
        <v>1</v>
      </c>
      <c r="O48" s="138">
        <v>200</v>
      </c>
      <c r="P48" s="137">
        <v>350</v>
      </c>
      <c r="Q48" s="137" t="s">
        <v>58</v>
      </c>
      <c r="R48" s="137" t="s">
        <v>91</v>
      </c>
      <c r="S48" s="139"/>
      <c r="T48" s="139"/>
      <c r="U48" s="137">
        <v>0</v>
      </c>
      <c r="V48" s="140">
        <v>0</v>
      </c>
      <c r="W48" s="141"/>
      <c r="X48" s="139"/>
      <c r="Y48" s="139"/>
      <c r="Z48" s="139"/>
      <c r="AA48" s="139"/>
      <c r="AB48" s="142"/>
      <c r="AC48" s="136">
        <v>160.1</v>
      </c>
      <c r="AD48" s="139">
        <v>-110</v>
      </c>
      <c r="AE48" s="139">
        <v>3.3</v>
      </c>
      <c r="AF48" s="139">
        <v>-1.42</v>
      </c>
      <c r="AG48" s="139">
        <v>109.8</v>
      </c>
      <c r="AH48" s="139">
        <v>-110</v>
      </c>
      <c r="AI48" s="139">
        <v>2.82</v>
      </c>
      <c r="AJ48" s="136">
        <v>0.84</v>
      </c>
      <c r="AK48" s="143"/>
      <c r="AL48" s="144" t="s">
        <v>103</v>
      </c>
      <c r="AM48" s="145"/>
      <c r="AN48" s="144"/>
      <c r="AO48" s="151"/>
      <c r="AP48" s="152"/>
      <c r="AQ48" s="160"/>
      <c r="AR48" s="162"/>
      <c r="AS48" s="147"/>
      <c r="AT48" s="164"/>
      <c r="AU48" s="147"/>
      <c r="AV48" s="147"/>
      <c r="AW48" s="139"/>
      <c r="AX48" s="139"/>
      <c r="AY48" s="139"/>
      <c r="AZ48" s="139"/>
      <c r="BA48" s="147"/>
      <c r="BB48" s="142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53"/>
      <c r="BQ48" s="153"/>
      <c r="BR48" s="153"/>
    </row>
    <row r="49" spans="1:70" s="206" customFormat="1">
      <c r="A49" s="176">
        <v>47</v>
      </c>
      <c r="B49" s="190"/>
      <c r="C49" s="190"/>
      <c r="D49" s="190"/>
      <c r="E49" s="190"/>
      <c r="F49" s="170">
        <v>43118.541666666664</v>
      </c>
      <c r="G49" s="171">
        <v>43118.541666666664</v>
      </c>
      <c r="H49" s="172">
        <f t="shared" si="6"/>
        <v>0</v>
      </c>
      <c r="I49" s="173">
        <v>31.54</v>
      </c>
      <c r="J49" s="174"/>
      <c r="K49" s="175" t="s">
        <v>56</v>
      </c>
      <c r="L49" s="175" t="s">
        <v>57</v>
      </c>
      <c r="M49" s="175">
        <v>-369</v>
      </c>
      <c r="N49" s="176">
        <v>1</v>
      </c>
      <c r="O49" s="176">
        <v>200</v>
      </c>
      <c r="P49" s="175">
        <v>347</v>
      </c>
      <c r="Q49" s="175" t="s">
        <v>58</v>
      </c>
      <c r="R49" s="175" t="s">
        <v>91</v>
      </c>
      <c r="S49" s="177"/>
      <c r="T49" s="177"/>
      <c r="U49" s="175">
        <v>0</v>
      </c>
      <c r="V49" s="178">
        <v>0</v>
      </c>
      <c r="W49" s="179"/>
      <c r="X49" s="177"/>
      <c r="Y49" s="177"/>
      <c r="Z49" s="177"/>
      <c r="AA49" s="177"/>
      <c r="AB49" s="180"/>
      <c r="AC49" s="174">
        <v>160.1</v>
      </c>
      <c r="AD49" s="177">
        <v>-110</v>
      </c>
      <c r="AE49" s="177">
        <v>3.3</v>
      </c>
      <c r="AF49" s="177">
        <v>-1.42</v>
      </c>
      <c r="AG49" s="177">
        <v>109.8</v>
      </c>
      <c r="AH49" s="177">
        <v>-110</v>
      </c>
      <c r="AI49" s="177">
        <v>2.82</v>
      </c>
      <c r="AJ49" s="174">
        <v>0.84</v>
      </c>
      <c r="AK49" s="181"/>
      <c r="AL49" s="182" t="s">
        <v>120</v>
      </c>
      <c r="AM49" s="183"/>
      <c r="AN49" s="182"/>
      <c r="AO49" s="191"/>
      <c r="AP49" s="192"/>
      <c r="AQ49" s="193"/>
      <c r="AR49" s="186"/>
      <c r="AS49" s="187"/>
      <c r="AT49" s="188"/>
      <c r="AU49" s="187"/>
      <c r="AV49" s="187"/>
      <c r="AW49" s="177"/>
      <c r="AX49" s="177"/>
      <c r="AY49" s="177"/>
      <c r="AZ49" s="177"/>
      <c r="BA49" s="187"/>
      <c r="BB49" s="180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205"/>
      <c r="BQ49" s="205"/>
      <c r="BR49" s="205"/>
    </row>
    <row r="50" spans="1:70" s="206" customFormat="1">
      <c r="A50" s="176">
        <v>48</v>
      </c>
      <c r="B50" s="190"/>
      <c r="C50" s="190"/>
      <c r="D50" s="190"/>
      <c r="E50" s="190"/>
      <c r="F50" s="170">
        <v>43118.541666666664</v>
      </c>
      <c r="G50" s="171">
        <v>43118.541666666664</v>
      </c>
      <c r="H50" s="172">
        <f t="shared" ref="H50:H57" si="7">G50-F50</f>
        <v>0</v>
      </c>
      <c r="I50" s="173">
        <v>31.53</v>
      </c>
      <c r="J50" s="174"/>
      <c r="K50" s="175" t="s">
        <v>56</v>
      </c>
      <c r="L50" s="175" t="s">
        <v>57</v>
      </c>
      <c r="M50" s="175">
        <v>-369</v>
      </c>
      <c r="N50" s="176">
        <v>1</v>
      </c>
      <c r="O50" s="176">
        <v>200</v>
      </c>
      <c r="P50" s="175">
        <v>347</v>
      </c>
      <c r="Q50" s="175" t="s">
        <v>58</v>
      </c>
      <c r="R50" s="175" t="s">
        <v>91</v>
      </c>
      <c r="S50" s="177"/>
      <c r="T50" s="177"/>
      <c r="U50" s="175">
        <v>0</v>
      </c>
      <c r="V50" s="178">
        <v>0</v>
      </c>
      <c r="W50" s="179"/>
      <c r="X50" s="177"/>
      <c r="Y50" s="177"/>
      <c r="Z50" s="177"/>
      <c r="AA50" s="177"/>
      <c r="AB50" s="180"/>
      <c r="AC50" s="174">
        <v>160.1</v>
      </c>
      <c r="AD50" s="177">
        <v>-110</v>
      </c>
      <c r="AE50" s="177">
        <v>3.3</v>
      </c>
      <c r="AF50" s="177">
        <v>-1.42</v>
      </c>
      <c r="AG50" s="177">
        <v>109.8</v>
      </c>
      <c r="AH50" s="177">
        <v>-110</v>
      </c>
      <c r="AI50" s="177">
        <v>0.5</v>
      </c>
      <c r="AJ50" s="174">
        <v>0.2</v>
      </c>
      <c r="AK50" s="181"/>
      <c r="AL50" s="182" t="s">
        <v>126</v>
      </c>
      <c r="AM50" s="183"/>
      <c r="AN50" s="182"/>
      <c r="AO50" s="191"/>
      <c r="AP50" s="192"/>
      <c r="AQ50" s="193"/>
      <c r="AR50" s="186"/>
      <c r="AS50" s="187"/>
      <c r="AT50" s="188"/>
      <c r="AU50" s="187"/>
      <c r="AV50" s="187"/>
      <c r="AW50" s="177"/>
      <c r="AX50" s="177"/>
      <c r="AY50" s="177"/>
      <c r="AZ50" s="177"/>
      <c r="BA50" s="187"/>
      <c r="BB50" s="180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205"/>
      <c r="BQ50" s="205"/>
      <c r="BR50" s="205"/>
    </row>
    <row r="51" spans="1:70" s="190" customFormat="1">
      <c r="A51" s="176">
        <v>49</v>
      </c>
      <c r="F51" s="170">
        <v>43118.541666666664</v>
      </c>
      <c r="G51" s="171">
        <v>43118.541666666664</v>
      </c>
      <c r="H51" s="172">
        <f t="shared" si="7"/>
        <v>0</v>
      </c>
      <c r="I51" s="173">
        <v>31.53</v>
      </c>
      <c r="J51" s="174"/>
      <c r="K51" s="175" t="s">
        <v>56</v>
      </c>
      <c r="L51" s="175" t="s">
        <v>57</v>
      </c>
      <c r="M51" s="175">
        <v>-369</v>
      </c>
      <c r="N51" s="176">
        <v>1</v>
      </c>
      <c r="O51" s="176">
        <v>200</v>
      </c>
      <c r="P51" s="175">
        <v>347</v>
      </c>
      <c r="Q51" s="175" t="s">
        <v>58</v>
      </c>
      <c r="R51" s="175" t="s">
        <v>91</v>
      </c>
      <c r="S51" s="177"/>
      <c r="T51" s="177"/>
      <c r="U51" s="175">
        <v>0</v>
      </c>
      <c r="V51" s="178">
        <v>0</v>
      </c>
      <c r="W51" s="179"/>
      <c r="X51" s="177"/>
      <c r="Y51" s="177"/>
      <c r="Z51" s="177"/>
      <c r="AA51" s="177"/>
      <c r="AB51" s="180"/>
      <c r="AC51" s="174">
        <v>160.1</v>
      </c>
      <c r="AD51" s="177">
        <v>-110</v>
      </c>
      <c r="AE51" s="177">
        <v>3.3</v>
      </c>
      <c r="AF51" s="177">
        <v>-1.42</v>
      </c>
      <c r="AG51" s="177">
        <v>109.8</v>
      </c>
      <c r="AH51" s="177">
        <v>-110</v>
      </c>
      <c r="AI51" s="177">
        <v>1</v>
      </c>
      <c r="AJ51" s="174">
        <v>0.7</v>
      </c>
      <c r="AK51" s="181"/>
      <c r="AL51" s="182" t="s">
        <v>127</v>
      </c>
      <c r="AM51" s="183"/>
      <c r="AN51" s="182">
        <v>0.92100000000000004</v>
      </c>
      <c r="AO51" s="191"/>
      <c r="AP51" s="192"/>
      <c r="AQ51" s="193"/>
      <c r="AR51" s="186"/>
      <c r="AS51" s="187"/>
      <c r="AT51" s="188"/>
      <c r="AU51" s="187"/>
      <c r="AV51" s="187"/>
      <c r="AW51" s="177"/>
      <c r="AX51" s="177"/>
      <c r="AY51" s="177"/>
      <c r="AZ51" s="177"/>
      <c r="BA51" s="187"/>
      <c r="BB51" s="180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</row>
    <row r="52" spans="1:70" s="190" customFormat="1">
      <c r="A52" s="176">
        <v>50</v>
      </c>
      <c r="F52" s="170">
        <v>43118.541666666664</v>
      </c>
      <c r="G52" s="171">
        <v>43118.541666666664</v>
      </c>
      <c r="H52" s="172">
        <f t="shared" si="7"/>
        <v>0</v>
      </c>
      <c r="I52" s="173">
        <v>31.53</v>
      </c>
      <c r="J52" s="174"/>
      <c r="K52" s="175" t="s">
        <v>56</v>
      </c>
      <c r="L52" s="175" t="s">
        <v>57</v>
      </c>
      <c r="M52" s="175">
        <v>-369</v>
      </c>
      <c r="N52" s="176">
        <v>1</v>
      </c>
      <c r="O52" s="176">
        <v>200</v>
      </c>
      <c r="P52" s="175">
        <v>347</v>
      </c>
      <c r="Q52" s="175" t="s">
        <v>58</v>
      </c>
      <c r="R52" s="175" t="s">
        <v>91</v>
      </c>
      <c r="S52" s="177"/>
      <c r="T52" s="177"/>
      <c r="U52" s="175">
        <v>0</v>
      </c>
      <c r="V52" s="178">
        <v>0</v>
      </c>
      <c r="W52" s="179"/>
      <c r="X52" s="177"/>
      <c r="Y52" s="177"/>
      <c r="Z52" s="177"/>
      <c r="AA52" s="177"/>
      <c r="AB52" s="180"/>
      <c r="AC52" s="174">
        <v>160.1</v>
      </c>
      <c r="AD52" s="177">
        <v>-110</v>
      </c>
      <c r="AE52" s="177">
        <v>3.3</v>
      </c>
      <c r="AF52" s="177">
        <v>-1.42</v>
      </c>
      <c r="AG52" s="177">
        <v>109.8</v>
      </c>
      <c r="AH52" s="177">
        <v>-110</v>
      </c>
      <c r="AI52" s="177">
        <v>1.5</v>
      </c>
      <c r="AJ52" s="174">
        <v>1.2</v>
      </c>
      <c r="AK52" s="181"/>
      <c r="AL52" s="182" t="s">
        <v>128</v>
      </c>
      <c r="AM52" s="183"/>
      <c r="AN52" s="182">
        <v>0.96499999999999997</v>
      </c>
      <c r="AO52" s="191"/>
      <c r="AP52" s="192"/>
      <c r="AQ52" s="193"/>
      <c r="AR52" s="186"/>
      <c r="AS52" s="187"/>
      <c r="AT52" s="188"/>
      <c r="AU52" s="187"/>
      <c r="AV52" s="187"/>
      <c r="AW52" s="177"/>
      <c r="AX52" s="177"/>
      <c r="AY52" s="177"/>
      <c r="AZ52" s="177"/>
      <c r="BA52" s="187"/>
      <c r="BB52" s="180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</row>
    <row r="53" spans="1:70" s="190" customFormat="1">
      <c r="A53" s="176">
        <v>51</v>
      </c>
      <c r="F53" s="170">
        <v>43118.541666666664</v>
      </c>
      <c r="G53" s="171">
        <v>43118.541666666664</v>
      </c>
      <c r="H53" s="172">
        <f t="shared" si="7"/>
        <v>0</v>
      </c>
      <c r="I53" s="173">
        <v>31.53</v>
      </c>
      <c r="J53" s="174"/>
      <c r="K53" s="175" t="s">
        <v>56</v>
      </c>
      <c r="L53" s="175" t="s">
        <v>57</v>
      </c>
      <c r="M53" s="175">
        <v>-369</v>
      </c>
      <c r="N53" s="176">
        <v>1</v>
      </c>
      <c r="O53" s="176">
        <v>200</v>
      </c>
      <c r="P53" s="175">
        <v>347</v>
      </c>
      <c r="Q53" s="175" t="s">
        <v>58</v>
      </c>
      <c r="R53" s="175" t="s">
        <v>91</v>
      </c>
      <c r="S53" s="177"/>
      <c r="T53" s="177"/>
      <c r="U53" s="175">
        <v>0</v>
      </c>
      <c r="V53" s="178">
        <v>0</v>
      </c>
      <c r="W53" s="179"/>
      <c r="X53" s="177"/>
      <c r="Y53" s="177"/>
      <c r="Z53" s="177"/>
      <c r="AA53" s="177"/>
      <c r="AB53" s="180"/>
      <c r="AC53" s="174">
        <v>160.1</v>
      </c>
      <c r="AD53" s="177">
        <v>-110</v>
      </c>
      <c r="AE53" s="177">
        <v>3.3</v>
      </c>
      <c r="AF53" s="177">
        <v>-1.42</v>
      </c>
      <c r="AG53" s="177">
        <v>109.8</v>
      </c>
      <c r="AH53" s="177">
        <v>-110</v>
      </c>
      <c r="AI53" s="177">
        <v>2</v>
      </c>
      <c r="AJ53" s="174">
        <v>1.7</v>
      </c>
      <c r="AK53" s="181"/>
      <c r="AL53" s="182" t="s">
        <v>129</v>
      </c>
      <c r="AM53" s="183"/>
      <c r="AN53" s="182">
        <v>0.95199999999999996</v>
      </c>
      <c r="AO53" s="191"/>
      <c r="AP53" s="192"/>
      <c r="AQ53" s="193"/>
      <c r="AR53" s="186"/>
      <c r="AS53" s="187"/>
      <c r="AT53" s="188"/>
      <c r="AU53" s="187"/>
      <c r="AV53" s="187"/>
      <c r="AW53" s="177"/>
      <c r="AX53" s="177"/>
      <c r="AY53" s="177"/>
      <c r="AZ53" s="177"/>
      <c r="BA53" s="187"/>
      <c r="BB53" s="180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</row>
    <row r="54" spans="1:70" s="190" customFormat="1">
      <c r="A54" s="176">
        <v>52</v>
      </c>
      <c r="F54" s="170">
        <v>43118.541666666664</v>
      </c>
      <c r="G54" s="171">
        <v>43118.541666666664</v>
      </c>
      <c r="H54" s="172">
        <f t="shared" si="7"/>
        <v>0</v>
      </c>
      <c r="I54" s="173">
        <v>31.53</v>
      </c>
      <c r="J54" s="174"/>
      <c r="K54" s="175" t="s">
        <v>56</v>
      </c>
      <c r="L54" s="175" t="s">
        <v>57</v>
      </c>
      <c r="M54" s="175">
        <v>-369</v>
      </c>
      <c r="N54" s="176">
        <v>1</v>
      </c>
      <c r="O54" s="176">
        <v>200</v>
      </c>
      <c r="P54" s="175">
        <v>347</v>
      </c>
      <c r="Q54" s="175" t="s">
        <v>58</v>
      </c>
      <c r="R54" s="175" t="s">
        <v>91</v>
      </c>
      <c r="S54" s="177"/>
      <c r="T54" s="177"/>
      <c r="U54" s="175">
        <v>0</v>
      </c>
      <c r="V54" s="178">
        <v>0</v>
      </c>
      <c r="W54" s="179"/>
      <c r="X54" s="177"/>
      <c r="Y54" s="177"/>
      <c r="Z54" s="177"/>
      <c r="AA54" s="177"/>
      <c r="AB54" s="180"/>
      <c r="AC54" s="174">
        <v>160.1</v>
      </c>
      <c r="AD54" s="177">
        <v>-110</v>
      </c>
      <c r="AE54" s="177">
        <v>3.3</v>
      </c>
      <c r="AF54" s="177">
        <v>-1.42</v>
      </c>
      <c r="AG54" s="177">
        <v>109.8</v>
      </c>
      <c r="AH54" s="177">
        <v>-110</v>
      </c>
      <c r="AI54" s="177">
        <v>2.5</v>
      </c>
      <c r="AJ54" s="174">
        <v>2.2000000000000002</v>
      </c>
      <c r="AK54" s="181"/>
      <c r="AL54" s="182" t="s">
        <v>130</v>
      </c>
      <c r="AM54" s="183"/>
      <c r="AN54" s="182">
        <v>0.91200000000000003</v>
      </c>
      <c r="AO54" s="191"/>
      <c r="AP54" s="192"/>
      <c r="AQ54" s="193"/>
      <c r="AR54" s="186"/>
      <c r="AS54" s="187"/>
      <c r="AT54" s="188"/>
      <c r="AU54" s="187"/>
      <c r="AV54" s="187"/>
      <c r="AW54" s="177"/>
      <c r="AX54" s="177"/>
      <c r="AY54" s="177"/>
      <c r="AZ54" s="177"/>
      <c r="BA54" s="187"/>
      <c r="BB54" s="180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</row>
    <row r="55" spans="1:70" s="190" customFormat="1">
      <c r="A55" s="176">
        <v>53</v>
      </c>
      <c r="F55" s="170">
        <v>43118.541666666664</v>
      </c>
      <c r="G55" s="171">
        <v>43118.541666666664</v>
      </c>
      <c r="H55" s="172">
        <f t="shared" si="7"/>
        <v>0</v>
      </c>
      <c r="I55" s="173">
        <v>31.53</v>
      </c>
      <c r="J55" s="174"/>
      <c r="K55" s="175" t="s">
        <v>56</v>
      </c>
      <c r="L55" s="175" t="s">
        <v>57</v>
      </c>
      <c r="M55" s="175">
        <v>-369</v>
      </c>
      <c r="N55" s="176">
        <v>1</v>
      </c>
      <c r="O55" s="176">
        <v>200</v>
      </c>
      <c r="P55" s="175">
        <v>347</v>
      </c>
      <c r="Q55" s="175" t="s">
        <v>58</v>
      </c>
      <c r="R55" s="175" t="s">
        <v>91</v>
      </c>
      <c r="S55" s="177"/>
      <c r="T55" s="177"/>
      <c r="U55" s="175">
        <v>0</v>
      </c>
      <c r="V55" s="178">
        <v>0</v>
      </c>
      <c r="W55" s="179"/>
      <c r="X55" s="177"/>
      <c r="Y55" s="177"/>
      <c r="Z55" s="177"/>
      <c r="AA55" s="177"/>
      <c r="AB55" s="180"/>
      <c r="AC55" s="174">
        <v>160.1</v>
      </c>
      <c r="AD55" s="177">
        <v>-110</v>
      </c>
      <c r="AE55" s="177">
        <v>3.3</v>
      </c>
      <c r="AF55" s="177">
        <v>-1.42</v>
      </c>
      <c r="AG55" s="177">
        <v>109.8</v>
      </c>
      <c r="AH55" s="177">
        <v>-110</v>
      </c>
      <c r="AI55" s="177">
        <v>3</v>
      </c>
      <c r="AJ55" s="174">
        <v>2.7</v>
      </c>
      <c r="AK55" s="181"/>
      <c r="AL55" s="182" t="s">
        <v>131</v>
      </c>
      <c r="AM55" s="183"/>
      <c r="AN55" s="182">
        <v>0.876</v>
      </c>
      <c r="AO55" s="191"/>
      <c r="AP55" s="192"/>
      <c r="AQ55" s="193"/>
      <c r="AR55" s="186"/>
      <c r="AS55" s="187"/>
      <c r="AT55" s="188"/>
      <c r="AU55" s="187"/>
      <c r="AV55" s="187"/>
      <c r="AW55" s="177"/>
      <c r="AX55" s="177"/>
      <c r="AY55" s="177"/>
      <c r="AZ55" s="177"/>
      <c r="BA55" s="187"/>
      <c r="BB55" s="180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</row>
    <row r="56" spans="1:70" s="190" customFormat="1">
      <c r="A56" s="176">
        <v>54</v>
      </c>
      <c r="F56" s="170">
        <v>43118.541666666664</v>
      </c>
      <c r="G56" s="171">
        <v>43118.541666666664</v>
      </c>
      <c r="H56" s="172">
        <f t="shared" si="7"/>
        <v>0</v>
      </c>
      <c r="I56" s="173">
        <v>31.53</v>
      </c>
      <c r="J56" s="174"/>
      <c r="K56" s="175" t="s">
        <v>56</v>
      </c>
      <c r="L56" s="175" t="s">
        <v>57</v>
      </c>
      <c r="M56" s="175">
        <v>-369</v>
      </c>
      <c r="N56" s="176">
        <v>1</v>
      </c>
      <c r="O56" s="176">
        <v>200</v>
      </c>
      <c r="P56" s="175">
        <v>347</v>
      </c>
      <c r="Q56" s="175" t="s">
        <v>58</v>
      </c>
      <c r="R56" s="175" t="s">
        <v>91</v>
      </c>
      <c r="S56" s="177"/>
      <c r="T56" s="177"/>
      <c r="U56" s="175">
        <v>0</v>
      </c>
      <c r="V56" s="178">
        <v>0</v>
      </c>
      <c r="W56" s="179"/>
      <c r="X56" s="177"/>
      <c r="Y56" s="177"/>
      <c r="Z56" s="177"/>
      <c r="AA56" s="177"/>
      <c r="AB56" s="180"/>
      <c r="AC56" s="174">
        <v>160.1</v>
      </c>
      <c r="AD56" s="177">
        <v>-110</v>
      </c>
      <c r="AE56" s="177">
        <v>3.3</v>
      </c>
      <c r="AF56" s="177">
        <v>-1.42</v>
      </c>
      <c r="AG56" s="177">
        <v>109.8</v>
      </c>
      <c r="AH56" s="177">
        <v>-110</v>
      </c>
      <c r="AI56" s="177">
        <v>3.5</v>
      </c>
      <c r="AJ56" s="174">
        <v>3.2</v>
      </c>
      <c r="AK56" s="181"/>
      <c r="AL56" s="182" t="s">
        <v>132</v>
      </c>
      <c r="AM56" s="183"/>
      <c r="AN56" s="182">
        <v>0.69799999999999995</v>
      </c>
      <c r="AO56" s="191"/>
      <c r="AP56" s="192"/>
      <c r="AQ56" s="193"/>
      <c r="AR56" s="186"/>
      <c r="AS56" s="187"/>
      <c r="AT56" s="188"/>
      <c r="AU56" s="187"/>
      <c r="AV56" s="187"/>
      <c r="AW56" s="177"/>
      <c r="AX56" s="177"/>
      <c r="AY56" s="177"/>
      <c r="AZ56" s="177"/>
      <c r="BA56" s="187"/>
      <c r="BB56" s="180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</row>
    <row r="57" spans="1:70" s="190" customFormat="1">
      <c r="A57" s="176">
        <v>55</v>
      </c>
      <c r="F57" s="170">
        <v>43118.541666666664</v>
      </c>
      <c r="G57" s="171">
        <v>43118.541666666664</v>
      </c>
      <c r="H57" s="172">
        <f t="shared" si="7"/>
        <v>0</v>
      </c>
      <c r="I57" s="173">
        <v>31.53</v>
      </c>
      <c r="J57" s="174"/>
      <c r="K57" s="175" t="s">
        <v>56</v>
      </c>
      <c r="L57" s="175" t="s">
        <v>57</v>
      </c>
      <c r="M57" s="175">
        <v>-369</v>
      </c>
      <c r="N57" s="176">
        <v>1</v>
      </c>
      <c r="O57" s="176">
        <v>200</v>
      </c>
      <c r="P57" s="175">
        <v>347</v>
      </c>
      <c r="Q57" s="175" t="s">
        <v>58</v>
      </c>
      <c r="R57" s="175" t="s">
        <v>91</v>
      </c>
      <c r="S57" s="177"/>
      <c r="T57" s="177"/>
      <c r="U57" s="175">
        <v>0</v>
      </c>
      <c r="V57" s="178">
        <v>0</v>
      </c>
      <c r="W57" s="179"/>
      <c r="X57" s="177"/>
      <c r="Y57" s="177"/>
      <c r="Z57" s="177"/>
      <c r="AA57" s="177"/>
      <c r="AB57" s="180"/>
      <c r="AC57" s="174">
        <v>160.1</v>
      </c>
      <c r="AD57" s="177">
        <v>-110</v>
      </c>
      <c r="AE57" s="177">
        <v>3.3</v>
      </c>
      <c r="AF57" s="177">
        <v>-1.42</v>
      </c>
      <c r="AG57" s="177">
        <v>109.8</v>
      </c>
      <c r="AH57" s="177">
        <v>-110</v>
      </c>
      <c r="AI57" s="177">
        <v>4</v>
      </c>
      <c r="AJ57" s="174">
        <v>3.7</v>
      </c>
      <c r="AK57" s="181"/>
      <c r="AL57" s="182" t="s">
        <v>133</v>
      </c>
      <c r="AM57" s="183"/>
      <c r="AN57" s="182">
        <v>0.28899999999999998</v>
      </c>
      <c r="AO57" s="191"/>
      <c r="AP57" s="192"/>
      <c r="AQ57" s="193"/>
      <c r="AR57" s="186"/>
      <c r="AS57" s="187"/>
      <c r="AT57" s="188"/>
      <c r="AU57" s="187"/>
      <c r="AV57" s="187"/>
      <c r="AW57" s="177"/>
      <c r="AX57" s="177"/>
      <c r="AY57" s="177"/>
      <c r="AZ57" s="177"/>
      <c r="BA57" s="187"/>
      <c r="BB57" s="180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</row>
    <row r="58" spans="1:70" s="190" customFormat="1">
      <c r="A58" s="176">
        <v>56</v>
      </c>
      <c r="F58" s="170">
        <v>43118.541666666664</v>
      </c>
      <c r="G58" s="171">
        <v>43118.541666666664</v>
      </c>
      <c r="H58" s="172">
        <f t="shared" ref="H58:H59" si="8">G58-F58</f>
        <v>0</v>
      </c>
      <c r="I58" s="173">
        <v>31.58</v>
      </c>
      <c r="J58" s="174"/>
      <c r="K58" s="175" t="s">
        <v>56</v>
      </c>
      <c r="L58" s="175" t="s">
        <v>57</v>
      </c>
      <c r="M58" s="175">
        <v>-369</v>
      </c>
      <c r="N58" s="176">
        <v>1</v>
      </c>
      <c r="O58" s="176">
        <v>200</v>
      </c>
      <c r="P58" s="175">
        <v>347</v>
      </c>
      <c r="Q58" s="175" t="s">
        <v>58</v>
      </c>
      <c r="R58" s="175" t="s">
        <v>91</v>
      </c>
      <c r="S58" s="177"/>
      <c r="T58" s="177"/>
      <c r="U58" s="175">
        <v>0</v>
      </c>
      <c r="V58" s="178">
        <v>0</v>
      </c>
      <c r="W58" s="179"/>
      <c r="X58" s="177"/>
      <c r="Y58" s="177"/>
      <c r="Z58" s="177"/>
      <c r="AA58" s="177"/>
      <c r="AB58" s="180"/>
      <c r="AC58" s="174">
        <v>160.19999999999999</v>
      </c>
      <c r="AD58" s="177">
        <v>-110</v>
      </c>
      <c r="AE58" s="177">
        <v>-2.48</v>
      </c>
      <c r="AF58" s="177">
        <v>-3.37</v>
      </c>
      <c r="AG58" s="177">
        <v>109.8</v>
      </c>
      <c r="AH58" s="177">
        <v>-110</v>
      </c>
      <c r="AI58" s="177">
        <v>2.63</v>
      </c>
      <c r="AJ58" s="174">
        <v>0.63</v>
      </c>
      <c r="AK58" s="181"/>
      <c r="AL58" s="182" t="s">
        <v>134</v>
      </c>
      <c r="AM58" s="183"/>
      <c r="AN58" s="182">
        <v>0.224</v>
      </c>
      <c r="AO58" s="191"/>
      <c r="AP58" s="192"/>
      <c r="AQ58" s="193"/>
      <c r="AR58" s="186"/>
      <c r="AS58" s="187"/>
      <c r="AT58" s="188"/>
      <c r="AU58" s="187"/>
      <c r="AV58" s="187"/>
      <c r="AW58" s="177"/>
      <c r="AX58" s="177"/>
      <c r="AY58" s="177"/>
      <c r="AZ58" s="177"/>
      <c r="BA58" s="187"/>
      <c r="BB58" s="180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</row>
    <row r="59" spans="1:70" s="190" customFormat="1">
      <c r="A59" s="176">
        <v>57</v>
      </c>
      <c r="F59" s="170">
        <v>43118.541666666664</v>
      </c>
      <c r="G59" s="171">
        <v>43118.541666666664</v>
      </c>
      <c r="H59" s="172">
        <f t="shared" si="8"/>
        <v>0</v>
      </c>
      <c r="I59" s="173">
        <v>31.58</v>
      </c>
      <c r="J59" s="174"/>
      <c r="K59" s="175" t="s">
        <v>56</v>
      </c>
      <c r="L59" s="175" t="s">
        <v>57</v>
      </c>
      <c r="M59" s="175">
        <v>-369</v>
      </c>
      <c r="N59" s="176">
        <v>1</v>
      </c>
      <c r="O59" s="176">
        <v>200</v>
      </c>
      <c r="P59" s="175">
        <v>347</v>
      </c>
      <c r="Q59" s="175" t="s">
        <v>58</v>
      </c>
      <c r="R59" s="175" t="s">
        <v>91</v>
      </c>
      <c r="S59" s="177"/>
      <c r="T59" s="177"/>
      <c r="U59" s="175">
        <v>0</v>
      </c>
      <c r="V59" s="178">
        <v>0</v>
      </c>
      <c r="W59" s="179"/>
      <c r="X59" s="177"/>
      <c r="Y59" s="177"/>
      <c r="Z59" s="177"/>
      <c r="AA59" s="177"/>
      <c r="AB59" s="180"/>
      <c r="AC59" s="174">
        <v>160.19999999999999</v>
      </c>
      <c r="AD59" s="177">
        <v>-110</v>
      </c>
      <c r="AE59" s="177">
        <v>-1.49</v>
      </c>
      <c r="AF59" s="177">
        <v>-2.38</v>
      </c>
      <c r="AG59" s="177">
        <v>109.8</v>
      </c>
      <c r="AH59" s="177">
        <v>-110</v>
      </c>
      <c r="AI59" s="177">
        <v>2.63</v>
      </c>
      <c r="AJ59" s="174">
        <v>0.63</v>
      </c>
      <c r="AK59" s="181"/>
      <c r="AL59" s="182" t="s">
        <v>135</v>
      </c>
      <c r="AM59" s="183"/>
      <c r="AN59" s="208">
        <v>0.496</v>
      </c>
      <c r="AO59" s="191"/>
      <c r="AP59" s="192"/>
      <c r="AQ59" s="193"/>
      <c r="AR59" s="186"/>
      <c r="AS59" s="187"/>
      <c r="AT59" s="188"/>
      <c r="AU59" s="187"/>
      <c r="AV59" s="187"/>
      <c r="AW59" s="177"/>
      <c r="AX59" s="177"/>
      <c r="AY59" s="177"/>
      <c r="AZ59" s="177"/>
      <c r="BA59" s="187"/>
      <c r="BB59" s="180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</row>
    <row r="60" spans="1:70" s="190" customFormat="1">
      <c r="A60" s="176">
        <v>58</v>
      </c>
      <c r="F60" s="170">
        <v>43118.541666666664</v>
      </c>
      <c r="G60" s="171">
        <v>43118.541666666664</v>
      </c>
      <c r="H60" s="172">
        <f t="shared" ref="H60:H66" si="9">G60-F60</f>
        <v>0</v>
      </c>
      <c r="I60" s="173">
        <v>31.58</v>
      </c>
      <c r="J60" s="174"/>
      <c r="K60" s="175" t="s">
        <v>56</v>
      </c>
      <c r="L60" s="175" t="s">
        <v>57</v>
      </c>
      <c r="M60" s="175">
        <v>-369</v>
      </c>
      <c r="N60" s="176">
        <v>1</v>
      </c>
      <c r="O60" s="176">
        <v>200</v>
      </c>
      <c r="P60" s="175">
        <v>347</v>
      </c>
      <c r="Q60" s="175" t="s">
        <v>58</v>
      </c>
      <c r="R60" s="175" t="s">
        <v>91</v>
      </c>
      <c r="S60" s="177"/>
      <c r="T60" s="177"/>
      <c r="U60" s="175">
        <v>0</v>
      </c>
      <c r="V60" s="178">
        <v>0</v>
      </c>
      <c r="W60" s="179"/>
      <c r="X60" s="177"/>
      <c r="Y60" s="177"/>
      <c r="Z60" s="177"/>
      <c r="AA60" s="177"/>
      <c r="AB60" s="180"/>
      <c r="AC60" s="174">
        <v>160.19999999999999</v>
      </c>
      <c r="AD60" s="177">
        <v>-110</v>
      </c>
      <c r="AE60" s="177">
        <v>-0.51</v>
      </c>
      <c r="AF60" s="177">
        <v>-1.4</v>
      </c>
      <c r="AG60" s="177">
        <v>109.8</v>
      </c>
      <c r="AH60" s="177">
        <v>-110</v>
      </c>
      <c r="AI60" s="177">
        <v>2.63</v>
      </c>
      <c r="AJ60" s="174">
        <v>0.63</v>
      </c>
      <c r="AK60" s="181"/>
      <c r="AL60" s="182" t="s">
        <v>136</v>
      </c>
      <c r="AM60" s="183"/>
      <c r="AN60" s="208">
        <v>0.81799999999999995</v>
      </c>
      <c r="AO60" s="191"/>
      <c r="AP60" s="192"/>
      <c r="AQ60" s="193"/>
      <c r="AR60" s="186"/>
      <c r="AS60" s="187"/>
      <c r="AT60" s="188"/>
      <c r="AU60" s="187"/>
      <c r="AV60" s="187"/>
      <c r="AW60" s="177"/>
      <c r="AX60" s="177"/>
      <c r="AY60" s="177"/>
      <c r="AZ60" s="177"/>
      <c r="BA60" s="187"/>
      <c r="BB60" s="180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</row>
    <row r="61" spans="1:70" s="190" customFormat="1">
      <c r="A61" s="176">
        <v>59</v>
      </c>
      <c r="F61" s="170">
        <v>43118.541666666664</v>
      </c>
      <c r="G61" s="171">
        <v>43118.541666666664</v>
      </c>
      <c r="H61" s="172">
        <f t="shared" si="9"/>
        <v>0</v>
      </c>
      <c r="I61" s="173">
        <v>31.58</v>
      </c>
      <c r="J61" s="174"/>
      <c r="K61" s="175" t="s">
        <v>56</v>
      </c>
      <c r="L61" s="175" t="s">
        <v>57</v>
      </c>
      <c r="M61" s="175">
        <v>-369</v>
      </c>
      <c r="N61" s="176">
        <v>1</v>
      </c>
      <c r="O61" s="176">
        <v>200</v>
      </c>
      <c r="P61" s="175">
        <v>347</v>
      </c>
      <c r="Q61" s="175" t="s">
        <v>58</v>
      </c>
      <c r="R61" s="175" t="s">
        <v>91</v>
      </c>
      <c r="S61" s="177"/>
      <c r="T61" s="177"/>
      <c r="U61" s="175">
        <v>0</v>
      </c>
      <c r="V61" s="178">
        <v>0</v>
      </c>
      <c r="W61" s="179"/>
      <c r="X61" s="177"/>
      <c r="Y61" s="177"/>
      <c r="Z61" s="177"/>
      <c r="AA61" s="177"/>
      <c r="AB61" s="180"/>
      <c r="AC61" s="174">
        <v>160.19999999999999</v>
      </c>
      <c r="AD61" s="177">
        <v>-110</v>
      </c>
      <c r="AE61" s="177">
        <v>0.47</v>
      </c>
      <c r="AF61" s="177">
        <v>-0.38</v>
      </c>
      <c r="AG61" s="177">
        <v>109.8</v>
      </c>
      <c r="AH61" s="177">
        <v>-110</v>
      </c>
      <c r="AI61" s="177">
        <v>2.63</v>
      </c>
      <c r="AJ61" s="174">
        <v>0.63</v>
      </c>
      <c r="AK61" s="181"/>
      <c r="AL61" s="182" t="s">
        <v>137</v>
      </c>
      <c r="AM61" s="183"/>
      <c r="AN61" s="208">
        <v>0.97699999999999998</v>
      </c>
      <c r="AO61" s="191"/>
      <c r="AP61" s="192"/>
      <c r="AQ61" s="193"/>
      <c r="AR61" s="186"/>
      <c r="AS61" s="187"/>
      <c r="AT61" s="188"/>
      <c r="AU61" s="187"/>
      <c r="AV61" s="187"/>
      <c r="AW61" s="177"/>
      <c r="AX61" s="177"/>
      <c r="AY61" s="177"/>
      <c r="AZ61" s="177"/>
      <c r="BA61" s="187"/>
      <c r="BB61" s="180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</row>
    <row r="62" spans="1:70" s="190" customFormat="1">
      <c r="A62" s="176">
        <v>60</v>
      </c>
      <c r="F62" s="170">
        <v>43118.541666666664</v>
      </c>
      <c r="G62" s="171">
        <v>43118.541666666664</v>
      </c>
      <c r="H62" s="172">
        <f t="shared" si="9"/>
        <v>0</v>
      </c>
      <c r="I62" s="173">
        <v>31.58</v>
      </c>
      <c r="J62" s="174"/>
      <c r="K62" s="175" t="s">
        <v>56</v>
      </c>
      <c r="L62" s="175" t="s">
        <v>57</v>
      </c>
      <c r="M62" s="175">
        <v>-369</v>
      </c>
      <c r="N62" s="176">
        <v>1</v>
      </c>
      <c r="O62" s="176">
        <v>200</v>
      </c>
      <c r="P62" s="175">
        <v>347</v>
      </c>
      <c r="Q62" s="175" t="s">
        <v>58</v>
      </c>
      <c r="R62" s="175" t="s">
        <v>91</v>
      </c>
      <c r="S62" s="177"/>
      <c r="T62" s="177"/>
      <c r="U62" s="175">
        <v>0</v>
      </c>
      <c r="V62" s="178">
        <v>0</v>
      </c>
      <c r="W62" s="179"/>
      <c r="X62" s="177"/>
      <c r="Y62" s="177"/>
      <c r="Z62" s="177"/>
      <c r="AA62" s="177"/>
      <c r="AB62" s="180"/>
      <c r="AC62" s="174">
        <v>160.19999999999999</v>
      </c>
      <c r="AD62" s="177">
        <v>-110</v>
      </c>
      <c r="AE62" s="177">
        <v>1.49</v>
      </c>
      <c r="AF62" s="177">
        <v>0.61</v>
      </c>
      <c r="AG62" s="177">
        <v>109.8</v>
      </c>
      <c r="AH62" s="177">
        <v>-110</v>
      </c>
      <c r="AI62" s="177">
        <v>2.63</v>
      </c>
      <c r="AJ62" s="174">
        <v>0.63</v>
      </c>
      <c r="AK62" s="181"/>
      <c r="AL62" s="182" t="s">
        <v>138</v>
      </c>
      <c r="AM62" s="183"/>
      <c r="AN62" s="208">
        <v>0.93300000000000005</v>
      </c>
      <c r="AO62" s="191"/>
      <c r="AP62" s="192"/>
      <c r="AQ62" s="193"/>
      <c r="AR62" s="186"/>
      <c r="AS62" s="187"/>
      <c r="AT62" s="188"/>
      <c r="AU62" s="187"/>
      <c r="AV62" s="187"/>
      <c r="AW62" s="177"/>
      <c r="AX62" s="177"/>
      <c r="AY62" s="177"/>
      <c r="AZ62" s="177"/>
      <c r="BA62" s="187"/>
      <c r="BB62" s="180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</row>
    <row r="63" spans="1:70" s="149" customFormat="1">
      <c r="A63" s="138">
        <v>61</v>
      </c>
      <c r="F63" s="132">
        <v>43118.541666666664</v>
      </c>
      <c r="G63" s="133">
        <v>43118.541666666664</v>
      </c>
      <c r="H63" s="134">
        <f t="shared" si="9"/>
        <v>0</v>
      </c>
      <c r="I63" s="135">
        <v>31.58</v>
      </c>
      <c r="J63" s="136"/>
      <c r="K63" s="137" t="s">
        <v>56</v>
      </c>
      <c r="L63" s="137" t="s">
        <v>57</v>
      </c>
      <c r="M63" s="137">
        <v>-369</v>
      </c>
      <c r="N63" s="138">
        <v>1</v>
      </c>
      <c r="O63" s="138">
        <v>200</v>
      </c>
      <c r="P63" s="137">
        <v>347</v>
      </c>
      <c r="Q63" s="137" t="s">
        <v>58</v>
      </c>
      <c r="R63" s="137" t="s">
        <v>91</v>
      </c>
      <c r="S63" s="139"/>
      <c r="T63" s="139"/>
      <c r="U63" s="137">
        <v>0</v>
      </c>
      <c r="V63" s="140">
        <v>0</v>
      </c>
      <c r="W63" s="141"/>
      <c r="X63" s="139"/>
      <c r="Y63" s="139"/>
      <c r="Z63" s="139"/>
      <c r="AA63" s="139"/>
      <c r="AB63" s="142"/>
      <c r="AC63" s="136">
        <v>160.19999999999999</v>
      </c>
      <c r="AD63" s="139">
        <v>-110</v>
      </c>
      <c r="AE63" s="139"/>
      <c r="AF63" s="139"/>
      <c r="AG63" s="139">
        <v>109.8</v>
      </c>
      <c r="AH63" s="139">
        <v>-110</v>
      </c>
      <c r="AI63" s="139">
        <v>2.63</v>
      </c>
      <c r="AJ63" s="136">
        <v>0.63</v>
      </c>
      <c r="AK63" s="143"/>
      <c r="AL63" s="144" t="s">
        <v>89</v>
      </c>
      <c r="AM63" s="145"/>
      <c r="AN63" s="155"/>
      <c r="AO63" s="151"/>
      <c r="AP63" s="152"/>
      <c r="AQ63" s="160"/>
      <c r="AR63" s="162"/>
      <c r="AS63" s="147"/>
      <c r="AT63" s="164"/>
      <c r="AU63" s="147"/>
      <c r="AV63" s="147"/>
      <c r="AW63" s="139"/>
      <c r="AX63" s="139"/>
      <c r="AY63" s="139"/>
      <c r="AZ63" s="139"/>
      <c r="BA63" s="147"/>
      <c r="BB63" s="142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</row>
    <row r="64" spans="1:70" s="190" customFormat="1">
      <c r="A64" s="176">
        <v>62</v>
      </c>
      <c r="F64" s="170">
        <v>43118.541666666664</v>
      </c>
      <c r="G64" s="171">
        <v>43118.541666666664</v>
      </c>
      <c r="H64" s="172">
        <f t="shared" si="9"/>
        <v>0</v>
      </c>
      <c r="I64" s="173">
        <v>31.58</v>
      </c>
      <c r="J64" s="174"/>
      <c r="K64" s="175" t="s">
        <v>56</v>
      </c>
      <c r="L64" s="175" t="s">
        <v>57</v>
      </c>
      <c r="M64" s="175">
        <v>-369</v>
      </c>
      <c r="N64" s="176">
        <v>1</v>
      </c>
      <c r="O64" s="176">
        <v>200</v>
      </c>
      <c r="P64" s="175">
        <v>347</v>
      </c>
      <c r="Q64" s="175" t="s">
        <v>58</v>
      </c>
      <c r="R64" s="175" t="s">
        <v>91</v>
      </c>
      <c r="S64" s="177"/>
      <c r="T64" s="177"/>
      <c r="U64" s="175">
        <v>0</v>
      </c>
      <c r="V64" s="178">
        <v>0</v>
      </c>
      <c r="W64" s="179"/>
      <c r="X64" s="177"/>
      <c r="Y64" s="177"/>
      <c r="Z64" s="177"/>
      <c r="AA64" s="177"/>
      <c r="AB64" s="180"/>
      <c r="AC64" s="174">
        <v>160.19999999999999</v>
      </c>
      <c r="AD64" s="177">
        <v>-110</v>
      </c>
      <c r="AE64" s="177">
        <v>2.48</v>
      </c>
      <c r="AF64" s="177">
        <v>1.63</v>
      </c>
      <c r="AG64" s="177">
        <v>109.8</v>
      </c>
      <c r="AH64" s="177">
        <v>-110</v>
      </c>
      <c r="AI64" s="177">
        <v>2.63</v>
      </c>
      <c r="AJ64" s="174">
        <v>0.63</v>
      </c>
      <c r="AK64" s="181"/>
      <c r="AL64" s="182" t="s">
        <v>139</v>
      </c>
      <c r="AM64" s="183"/>
      <c r="AN64" s="208">
        <v>0.996</v>
      </c>
      <c r="AO64" s="191"/>
      <c r="AP64" s="192"/>
      <c r="AQ64" s="193"/>
      <c r="AR64" s="186"/>
      <c r="AS64" s="187"/>
      <c r="AT64" s="188"/>
      <c r="AU64" s="187"/>
      <c r="AV64" s="187"/>
      <c r="AW64" s="177"/>
      <c r="AX64" s="177"/>
      <c r="AY64" s="177"/>
      <c r="AZ64" s="177"/>
      <c r="BA64" s="187"/>
      <c r="BB64" s="180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</row>
    <row r="65" spans="1:70" s="190" customFormat="1">
      <c r="A65" s="176">
        <v>63</v>
      </c>
      <c r="F65" s="170">
        <v>43118.541666666664</v>
      </c>
      <c r="G65" s="171">
        <v>43118.541666666664</v>
      </c>
      <c r="H65" s="172">
        <f t="shared" si="9"/>
        <v>0</v>
      </c>
      <c r="I65" s="173">
        <v>31.58</v>
      </c>
      <c r="J65" s="174"/>
      <c r="K65" s="175" t="s">
        <v>56</v>
      </c>
      <c r="L65" s="175" t="s">
        <v>57</v>
      </c>
      <c r="M65" s="175">
        <v>-369</v>
      </c>
      <c r="N65" s="176">
        <v>1</v>
      </c>
      <c r="O65" s="176">
        <v>200</v>
      </c>
      <c r="P65" s="175">
        <v>347</v>
      </c>
      <c r="Q65" s="175" t="s">
        <v>58</v>
      </c>
      <c r="R65" s="175" t="s">
        <v>91</v>
      </c>
      <c r="S65" s="177"/>
      <c r="T65" s="177"/>
      <c r="U65" s="175">
        <v>0</v>
      </c>
      <c r="V65" s="178">
        <v>0</v>
      </c>
      <c r="W65" s="179"/>
      <c r="X65" s="177"/>
      <c r="Y65" s="177"/>
      <c r="Z65" s="177"/>
      <c r="AA65" s="177"/>
      <c r="AB65" s="180"/>
      <c r="AC65" s="174">
        <v>160.19999999999999</v>
      </c>
      <c r="AD65" s="177">
        <v>-110</v>
      </c>
      <c r="AE65" s="177">
        <v>3.49</v>
      </c>
      <c r="AF65" s="177">
        <v>2.65</v>
      </c>
      <c r="AG65" s="177">
        <v>109.8</v>
      </c>
      <c r="AH65" s="177">
        <v>-110</v>
      </c>
      <c r="AI65" s="177">
        <v>2.63</v>
      </c>
      <c r="AJ65" s="174">
        <v>0.63</v>
      </c>
      <c r="AK65" s="181"/>
      <c r="AL65" s="182" t="s">
        <v>140</v>
      </c>
      <c r="AM65" s="183"/>
      <c r="AN65" s="208">
        <v>0.98099999999999998</v>
      </c>
      <c r="AO65" s="191"/>
      <c r="AP65" s="192"/>
      <c r="AQ65" s="193"/>
      <c r="AR65" s="186"/>
      <c r="AS65" s="187"/>
      <c r="AT65" s="188"/>
      <c r="AU65" s="187"/>
      <c r="AV65" s="187"/>
      <c r="AW65" s="177"/>
      <c r="AX65" s="177"/>
      <c r="AY65" s="177"/>
      <c r="AZ65" s="177"/>
      <c r="BA65" s="187"/>
      <c r="BB65" s="180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189"/>
    </row>
    <row r="66" spans="1:70" s="190" customFormat="1">
      <c r="A66" s="176">
        <v>64</v>
      </c>
      <c r="F66" s="170">
        <v>43118.541666666664</v>
      </c>
      <c r="G66" s="171">
        <v>43118.541666666664</v>
      </c>
      <c r="H66" s="172">
        <f t="shared" si="9"/>
        <v>0</v>
      </c>
      <c r="I66" s="173">
        <v>31.58</v>
      </c>
      <c r="J66" s="174"/>
      <c r="K66" s="175" t="s">
        <v>56</v>
      </c>
      <c r="L66" s="175" t="s">
        <v>57</v>
      </c>
      <c r="M66" s="175">
        <v>-369</v>
      </c>
      <c r="N66" s="176">
        <v>1</v>
      </c>
      <c r="O66" s="176">
        <v>200</v>
      </c>
      <c r="P66" s="175">
        <v>347</v>
      </c>
      <c r="Q66" s="175" t="s">
        <v>58</v>
      </c>
      <c r="R66" s="175" t="s">
        <v>91</v>
      </c>
      <c r="S66" s="177"/>
      <c r="T66" s="177"/>
      <c r="U66" s="175">
        <v>0</v>
      </c>
      <c r="V66" s="178">
        <v>0</v>
      </c>
      <c r="W66" s="179"/>
      <c r="X66" s="177"/>
      <c r="Y66" s="177"/>
      <c r="Z66" s="177"/>
      <c r="AA66" s="177"/>
      <c r="AB66" s="180"/>
      <c r="AC66" s="174">
        <v>160.19999999999999</v>
      </c>
      <c r="AD66" s="177">
        <v>-110</v>
      </c>
      <c r="AE66" s="177">
        <v>4.4800000000000004</v>
      </c>
      <c r="AF66" s="177">
        <v>3.64</v>
      </c>
      <c r="AG66" s="177">
        <v>109.8</v>
      </c>
      <c r="AH66" s="177">
        <v>-110</v>
      </c>
      <c r="AI66" s="177">
        <v>2.63</v>
      </c>
      <c r="AJ66" s="174">
        <v>0.63</v>
      </c>
      <c r="AK66" s="181"/>
      <c r="AL66" s="182" t="s">
        <v>141</v>
      </c>
      <c r="AM66" s="183"/>
      <c r="AN66" s="208">
        <v>0.93100000000000005</v>
      </c>
      <c r="AO66" s="191"/>
      <c r="AP66" s="192"/>
      <c r="AQ66" s="193"/>
      <c r="AR66" s="186"/>
      <c r="AS66" s="187"/>
      <c r="AT66" s="188"/>
      <c r="AU66" s="187"/>
      <c r="AV66" s="187"/>
      <c r="AW66" s="177"/>
      <c r="AX66" s="177"/>
      <c r="AY66" s="177"/>
      <c r="AZ66" s="177"/>
      <c r="BA66" s="187"/>
      <c r="BB66" s="180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</row>
    <row r="67" spans="1:70" s="190" customFormat="1">
      <c r="A67" s="176">
        <v>65</v>
      </c>
      <c r="F67" s="170">
        <v>43118.666666666664</v>
      </c>
      <c r="G67" s="171">
        <v>43118.666666666664</v>
      </c>
      <c r="H67" s="172">
        <f t="shared" ref="H67:H68" si="10">G67-F67</f>
        <v>0</v>
      </c>
      <c r="I67" s="173">
        <v>31.56</v>
      </c>
      <c r="J67" s="174"/>
      <c r="K67" s="175" t="s">
        <v>56</v>
      </c>
      <c r="L67" s="175" t="s">
        <v>57</v>
      </c>
      <c r="M67" s="175">
        <v>-369</v>
      </c>
      <c r="N67" s="176">
        <v>1</v>
      </c>
      <c r="O67" s="176">
        <v>200</v>
      </c>
      <c r="P67" s="175">
        <v>347</v>
      </c>
      <c r="Q67" s="175" t="s">
        <v>58</v>
      </c>
      <c r="R67" s="175" t="s">
        <v>91</v>
      </c>
      <c r="S67" s="177"/>
      <c r="T67" s="177"/>
      <c r="U67" s="175">
        <v>0</v>
      </c>
      <c r="V67" s="178">
        <v>0</v>
      </c>
      <c r="W67" s="179">
        <v>10</v>
      </c>
      <c r="X67" s="177">
        <v>33041</v>
      </c>
      <c r="Y67" s="177">
        <v>581651</v>
      </c>
      <c r="Z67" s="177">
        <v>4803793</v>
      </c>
      <c r="AA67" s="177">
        <v>1543603</v>
      </c>
      <c r="AB67" s="180">
        <v>3283323</v>
      </c>
      <c r="AC67" s="174">
        <v>160.1</v>
      </c>
      <c r="AD67" s="177">
        <v>-110</v>
      </c>
      <c r="AE67" s="177">
        <v>4.1399999999999997</v>
      </c>
      <c r="AF67" s="177">
        <v>-0.56999999999999995</v>
      </c>
      <c r="AG67" s="177">
        <v>109.8</v>
      </c>
      <c r="AH67" s="177">
        <v>-110</v>
      </c>
      <c r="AI67" s="177">
        <v>3.62</v>
      </c>
      <c r="AJ67" s="174">
        <v>-0.43</v>
      </c>
      <c r="AK67" s="181" t="s">
        <v>142</v>
      </c>
      <c r="AL67" s="182" t="s">
        <v>145</v>
      </c>
      <c r="AM67" s="183"/>
      <c r="AN67" s="208">
        <v>0.97599999999999998</v>
      </c>
      <c r="AO67" s="191"/>
      <c r="AP67" s="192"/>
      <c r="AQ67" s="193"/>
      <c r="AR67" s="186"/>
      <c r="AS67" s="187"/>
      <c r="AT67" s="188"/>
      <c r="AU67" s="187"/>
      <c r="AV67" s="187"/>
      <c r="AW67" s="177"/>
      <c r="AX67" s="177"/>
      <c r="AY67" s="177"/>
      <c r="AZ67" s="177"/>
      <c r="BA67" s="187"/>
      <c r="BB67" s="180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</row>
    <row r="68" spans="1:70" s="190" customFormat="1">
      <c r="A68" s="176">
        <v>66</v>
      </c>
      <c r="F68" s="170">
        <v>43118.685231481482</v>
      </c>
      <c r="G68" s="171">
        <v>43118.688159722224</v>
      </c>
      <c r="H68" s="172">
        <f t="shared" si="10"/>
        <v>2.9282407413120382E-3</v>
      </c>
      <c r="I68" s="173">
        <v>31.56</v>
      </c>
      <c r="J68" s="174"/>
      <c r="K68" s="175" t="s">
        <v>56</v>
      </c>
      <c r="L68" s="175" t="s">
        <v>57</v>
      </c>
      <c r="M68" s="175">
        <v>-369</v>
      </c>
      <c r="N68" s="176">
        <v>1</v>
      </c>
      <c r="O68" s="176">
        <v>200</v>
      </c>
      <c r="P68" s="175">
        <v>347</v>
      </c>
      <c r="Q68" s="175" t="s">
        <v>58</v>
      </c>
      <c r="R68" s="175" t="s">
        <v>91</v>
      </c>
      <c r="S68" s="177"/>
      <c r="T68" s="177"/>
      <c r="U68" s="175">
        <v>0</v>
      </c>
      <c r="V68" s="178">
        <v>0</v>
      </c>
      <c r="W68" s="179">
        <v>10</v>
      </c>
      <c r="X68" s="177">
        <v>32918</v>
      </c>
      <c r="Y68" s="177">
        <v>581928</v>
      </c>
      <c r="Z68" s="177">
        <v>7330075</v>
      </c>
      <c r="AA68" s="177">
        <v>2442712</v>
      </c>
      <c r="AB68" s="180">
        <v>4909812</v>
      </c>
      <c r="AC68" s="174">
        <v>160.1</v>
      </c>
      <c r="AD68" s="177">
        <v>-110</v>
      </c>
      <c r="AE68" s="177">
        <v>4.1399999999999997</v>
      </c>
      <c r="AF68" s="177">
        <v>-0.56999999999999995</v>
      </c>
      <c r="AG68" s="177">
        <v>109.8</v>
      </c>
      <c r="AH68" s="177">
        <v>-110</v>
      </c>
      <c r="AI68" s="177">
        <v>3.62</v>
      </c>
      <c r="AJ68" s="174">
        <v>-0.43</v>
      </c>
      <c r="AK68" s="181" t="s">
        <v>143</v>
      </c>
      <c r="AL68" s="182" t="s">
        <v>144</v>
      </c>
      <c r="AM68" s="183"/>
      <c r="AN68" s="208">
        <v>0.53300000000000003</v>
      </c>
      <c r="AO68" s="191"/>
      <c r="AP68" s="192"/>
      <c r="AQ68" s="193"/>
      <c r="AR68" s="186"/>
      <c r="AS68" s="187"/>
      <c r="AT68" s="188"/>
      <c r="AU68" s="187"/>
      <c r="AV68" s="187"/>
      <c r="AW68" s="177"/>
      <c r="AX68" s="177"/>
      <c r="AY68" s="177"/>
      <c r="AZ68" s="177"/>
      <c r="BA68" s="187"/>
      <c r="BB68" s="180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</row>
    <row r="69" spans="1:70" s="190" customFormat="1">
      <c r="A69" s="176">
        <v>67</v>
      </c>
      <c r="F69" s="170">
        <v>43118.688831018517</v>
      </c>
      <c r="G69" s="171">
        <v>43118.691458333335</v>
      </c>
      <c r="H69" s="172">
        <f t="shared" ref="H69:H71" si="11">G69-F69</f>
        <v>2.6273148178006522E-3</v>
      </c>
      <c r="I69" s="173">
        <v>31.56</v>
      </c>
      <c r="J69" s="174"/>
      <c r="K69" s="175" t="s">
        <v>56</v>
      </c>
      <c r="L69" s="175" t="s">
        <v>57</v>
      </c>
      <c r="M69" s="175">
        <v>-369</v>
      </c>
      <c r="N69" s="176">
        <v>1</v>
      </c>
      <c r="O69" s="176">
        <v>200</v>
      </c>
      <c r="P69" s="175">
        <v>347</v>
      </c>
      <c r="Q69" s="175" t="s">
        <v>58</v>
      </c>
      <c r="R69" s="175" t="s">
        <v>146</v>
      </c>
      <c r="S69" s="177"/>
      <c r="T69" s="177"/>
      <c r="U69" s="175">
        <v>0</v>
      </c>
      <c r="V69" s="178">
        <v>0</v>
      </c>
      <c r="W69" s="179"/>
      <c r="X69" s="177"/>
      <c r="Y69" s="177"/>
      <c r="Z69" s="177"/>
      <c r="AA69" s="177"/>
      <c r="AB69" s="180"/>
      <c r="AC69" s="174">
        <v>160.1</v>
      </c>
      <c r="AD69" s="177">
        <v>-110</v>
      </c>
      <c r="AE69" s="177">
        <v>4.1399999999999997</v>
      </c>
      <c r="AF69" s="177">
        <v>-0.56999999999999995</v>
      </c>
      <c r="AG69" s="177">
        <v>109.8</v>
      </c>
      <c r="AH69" s="177">
        <v>-110</v>
      </c>
      <c r="AI69" s="177">
        <v>3.62</v>
      </c>
      <c r="AJ69" s="174">
        <v>-0.43</v>
      </c>
      <c r="AK69" s="181" t="s">
        <v>143</v>
      </c>
      <c r="AL69" s="182" t="s">
        <v>147</v>
      </c>
      <c r="AM69" s="183"/>
      <c r="AN69" s="208"/>
      <c r="AO69" s="191"/>
      <c r="AP69" s="192"/>
      <c r="AQ69" s="193"/>
      <c r="AR69" s="186"/>
      <c r="AS69" s="187"/>
      <c r="AT69" s="188"/>
      <c r="AU69" s="187"/>
      <c r="AV69" s="187"/>
      <c r="AW69" s="177"/>
      <c r="AX69" s="177"/>
      <c r="AY69" s="177"/>
      <c r="AZ69" s="177"/>
      <c r="BA69" s="187"/>
      <c r="BB69" s="180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</row>
    <row r="70" spans="1:70" s="190" customFormat="1">
      <c r="A70" s="176">
        <v>68</v>
      </c>
      <c r="F70" s="170">
        <v>43118.691932870373</v>
      </c>
      <c r="G70" s="171">
        <v>43118.695</v>
      </c>
      <c r="H70" s="172">
        <f t="shared" si="11"/>
        <v>3.0671296262880787E-3</v>
      </c>
      <c r="I70" s="173">
        <v>31.56</v>
      </c>
      <c r="J70" s="174"/>
      <c r="K70" s="175" t="s">
        <v>56</v>
      </c>
      <c r="L70" s="175" t="s">
        <v>57</v>
      </c>
      <c r="M70" s="175">
        <v>-369</v>
      </c>
      <c r="N70" s="176">
        <v>1</v>
      </c>
      <c r="O70" s="176">
        <v>200</v>
      </c>
      <c r="P70" s="175">
        <v>347</v>
      </c>
      <c r="Q70" s="175" t="s">
        <v>58</v>
      </c>
      <c r="R70" s="175" t="s">
        <v>146</v>
      </c>
      <c r="S70" s="177"/>
      <c r="T70" s="177"/>
      <c r="U70" s="175">
        <v>0</v>
      </c>
      <c r="V70" s="178">
        <v>0</v>
      </c>
      <c r="W70" s="179"/>
      <c r="X70" s="177"/>
      <c r="Y70" s="177"/>
      <c r="Z70" s="177"/>
      <c r="AA70" s="177"/>
      <c r="AB70" s="180"/>
      <c r="AC70" s="174">
        <v>160.1</v>
      </c>
      <c r="AD70" s="177">
        <v>-110</v>
      </c>
      <c r="AE70" s="177">
        <v>4.1399999999999997</v>
      </c>
      <c r="AF70" s="177">
        <v>-0.56999999999999995</v>
      </c>
      <c r="AG70" s="177">
        <v>109.8</v>
      </c>
      <c r="AH70" s="177">
        <v>-110</v>
      </c>
      <c r="AI70" s="177">
        <v>3.62</v>
      </c>
      <c r="AJ70" s="174">
        <v>-0.43</v>
      </c>
      <c r="AK70" s="181" t="s">
        <v>143</v>
      </c>
      <c r="AL70" s="182" t="s">
        <v>148</v>
      </c>
      <c r="AM70" s="183"/>
      <c r="AN70" s="208"/>
      <c r="AO70" s="191"/>
      <c r="AP70" s="192"/>
      <c r="AQ70" s="193"/>
      <c r="AR70" s="186"/>
      <c r="AS70" s="187"/>
      <c r="AT70" s="188"/>
      <c r="AU70" s="187"/>
      <c r="AV70" s="187"/>
      <c r="AW70" s="177"/>
      <c r="AX70" s="177"/>
      <c r="AY70" s="177"/>
      <c r="AZ70" s="177"/>
      <c r="BA70" s="187"/>
      <c r="BB70" s="180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</row>
    <row r="71" spans="1:70" s="190" customFormat="1">
      <c r="A71" s="176">
        <v>69</v>
      </c>
      <c r="F71" s="170">
        <v>43118.694907407407</v>
      </c>
      <c r="G71" s="171">
        <v>43118.697534722225</v>
      </c>
      <c r="H71" s="172">
        <f t="shared" si="11"/>
        <v>2.6273148178006522E-3</v>
      </c>
      <c r="I71" s="173">
        <v>31.56</v>
      </c>
      <c r="J71" s="174"/>
      <c r="K71" s="175" t="s">
        <v>56</v>
      </c>
      <c r="L71" s="175" t="s">
        <v>57</v>
      </c>
      <c r="M71" s="175">
        <v>-369</v>
      </c>
      <c r="N71" s="176">
        <v>1</v>
      </c>
      <c r="O71" s="176">
        <v>200</v>
      </c>
      <c r="P71" s="175">
        <v>347</v>
      </c>
      <c r="Q71" s="175" t="s">
        <v>58</v>
      </c>
      <c r="R71" s="175" t="s">
        <v>146</v>
      </c>
      <c r="S71" s="177"/>
      <c r="T71" s="177"/>
      <c r="U71" s="175">
        <v>0</v>
      </c>
      <c r="V71" s="178">
        <v>0</v>
      </c>
      <c r="W71" s="179"/>
      <c r="X71" s="177"/>
      <c r="Y71" s="177"/>
      <c r="Z71" s="177"/>
      <c r="AA71" s="177"/>
      <c r="AB71" s="180"/>
      <c r="AC71" s="174">
        <v>160.1</v>
      </c>
      <c r="AD71" s="177">
        <v>-110</v>
      </c>
      <c r="AE71" s="177">
        <v>4.1399999999999997</v>
      </c>
      <c r="AF71" s="177">
        <v>-0.56999999999999995</v>
      </c>
      <c r="AG71" s="177">
        <v>109.8</v>
      </c>
      <c r="AH71" s="177">
        <v>-110</v>
      </c>
      <c r="AI71" s="177">
        <v>3.62</v>
      </c>
      <c r="AJ71" s="174">
        <v>-0.43</v>
      </c>
      <c r="AK71" s="181" t="s">
        <v>143</v>
      </c>
      <c r="AL71" s="182" t="s">
        <v>149</v>
      </c>
      <c r="AM71" s="183"/>
      <c r="AN71" s="208"/>
      <c r="AO71" s="191"/>
      <c r="AP71" s="192"/>
      <c r="AQ71" s="193"/>
      <c r="AR71" s="186"/>
      <c r="AS71" s="187"/>
      <c r="AT71" s="188"/>
      <c r="AU71" s="187"/>
      <c r="AV71" s="187"/>
      <c r="AW71" s="177"/>
      <c r="AX71" s="177"/>
      <c r="AY71" s="177"/>
      <c r="AZ71" s="177"/>
      <c r="BA71" s="187"/>
      <c r="BB71" s="180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</row>
    <row r="72" spans="1:70" s="190" customFormat="1">
      <c r="A72" s="176">
        <v>70</v>
      </c>
      <c r="F72" s="170">
        <v>43118.709826388891</v>
      </c>
      <c r="G72" s="171">
        <v>43118.710289351853</v>
      </c>
      <c r="H72" s="172">
        <f t="shared" ref="H72" si="12">G72-F72</f>
        <v>4.6296296204673126E-4</v>
      </c>
      <c r="I72" s="173">
        <v>31.55</v>
      </c>
      <c r="J72" s="174"/>
      <c r="K72" s="175" t="s">
        <v>56</v>
      </c>
      <c r="L72" s="175" t="s">
        <v>57</v>
      </c>
      <c r="M72" s="175">
        <v>-369</v>
      </c>
      <c r="N72" s="176">
        <v>1</v>
      </c>
      <c r="O72" s="176">
        <v>200</v>
      </c>
      <c r="P72" s="175">
        <v>410</v>
      </c>
      <c r="Q72" s="175" t="s">
        <v>150</v>
      </c>
      <c r="R72" s="175" t="s">
        <v>179</v>
      </c>
      <c r="S72" s="177"/>
      <c r="T72" s="177"/>
      <c r="U72" s="175">
        <v>0</v>
      </c>
      <c r="V72" s="178">
        <v>0</v>
      </c>
      <c r="W72" s="179"/>
      <c r="X72" s="177"/>
      <c r="Y72" s="177"/>
      <c r="Z72" s="177"/>
      <c r="AA72" s="177"/>
      <c r="AB72" s="180"/>
      <c r="AC72" s="174">
        <v>160.19999999999999</v>
      </c>
      <c r="AD72" s="177">
        <v>-110</v>
      </c>
      <c r="AE72" s="177">
        <v>4.1399999999999997</v>
      </c>
      <c r="AF72" s="177">
        <v>-0.56999999999999995</v>
      </c>
      <c r="AG72" s="177">
        <v>109.8</v>
      </c>
      <c r="AH72" s="177">
        <v>-110</v>
      </c>
      <c r="AI72" s="177">
        <v>2.64</v>
      </c>
      <c r="AJ72" s="174">
        <v>0.64</v>
      </c>
      <c r="AK72" s="181" t="s">
        <v>142</v>
      </c>
      <c r="AL72" s="182" t="s">
        <v>152</v>
      </c>
      <c r="AM72" s="183"/>
      <c r="AN72" s="208"/>
      <c r="AO72" s="191"/>
      <c r="AP72" s="192"/>
      <c r="AQ72" s="193"/>
      <c r="AR72" s="186"/>
      <c r="AS72" s="187"/>
      <c r="AT72" s="188"/>
      <c r="AU72" s="187"/>
      <c r="AV72" s="187"/>
      <c r="AW72" s="177"/>
      <c r="AX72" s="177"/>
      <c r="AY72" s="177"/>
      <c r="AZ72" s="177"/>
      <c r="BA72" s="187"/>
      <c r="BB72" s="180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</row>
    <row r="73" spans="1:70" s="190" customFormat="1">
      <c r="A73" s="176">
        <v>71</v>
      </c>
      <c r="F73" s="170">
        <v>43118.710543981484</v>
      </c>
      <c r="G73" s="171">
        <v>43118.7109837963</v>
      </c>
      <c r="H73" s="172">
        <f t="shared" ref="H73:H77" si="13">G73-F73</f>
        <v>4.398148157633841E-4</v>
      </c>
      <c r="I73" s="173">
        <v>31.55</v>
      </c>
      <c r="J73" s="174"/>
      <c r="K73" s="175" t="s">
        <v>56</v>
      </c>
      <c r="L73" s="175" t="s">
        <v>57</v>
      </c>
      <c r="M73" s="175">
        <v>-369</v>
      </c>
      <c r="N73" s="176">
        <v>1</v>
      </c>
      <c r="O73" s="176">
        <v>200</v>
      </c>
      <c r="P73" s="175">
        <v>415</v>
      </c>
      <c r="Q73" s="175" t="s">
        <v>150</v>
      </c>
      <c r="R73" s="175" t="s">
        <v>179</v>
      </c>
      <c r="S73" s="177"/>
      <c r="T73" s="177"/>
      <c r="U73" s="175">
        <v>0</v>
      </c>
      <c r="V73" s="178">
        <v>0</v>
      </c>
      <c r="W73" s="179"/>
      <c r="X73" s="177"/>
      <c r="Y73" s="177"/>
      <c r="Z73" s="177"/>
      <c r="AA73" s="177"/>
      <c r="AB73" s="180"/>
      <c r="AC73" s="174">
        <v>160.19999999999999</v>
      </c>
      <c r="AD73" s="177">
        <v>-110</v>
      </c>
      <c r="AE73" s="177">
        <v>4.1399999999999997</v>
      </c>
      <c r="AF73" s="177">
        <v>-0.56999999999999995</v>
      </c>
      <c r="AG73" s="177">
        <v>109.8</v>
      </c>
      <c r="AH73" s="177">
        <v>-110</v>
      </c>
      <c r="AI73" s="177">
        <v>2.64</v>
      </c>
      <c r="AJ73" s="174">
        <v>0.64</v>
      </c>
      <c r="AK73" s="181" t="s">
        <v>142</v>
      </c>
      <c r="AL73" s="182" t="s">
        <v>153</v>
      </c>
      <c r="AM73" s="183"/>
      <c r="AN73" s="182"/>
      <c r="AO73" s="191"/>
      <c r="AP73" s="192"/>
      <c r="AQ73" s="193"/>
      <c r="AR73" s="186"/>
      <c r="AS73" s="187"/>
      <c r="AT73" s="188"/>
      <c r="AU73" s="187"/>
      <c r="AV73" s="187"/>
      <c r="AW73" s="177"/>
      <c r="AX73" s="177"/>
      <c r="AY73" s="177"/>
      <c r="AZ73" s="177"/>
      <c r="BA73" s="187"/>
      <c r="BB73" s="180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</row>
    <row r="74" spans="1:70" s="190" customFormat="1">
      <c r="A74" s="176">
        <v>72</v>
      </c>
      <c r="F74" s="170">
        <v>43118.711574074077</v>
      </c>
      <c r="G74" s="171">
        <v>43118.711805555555</v>
      </c>
      <c r="H74" s="172">
        <f t="shared" si="13"/>
        <v>2.3148147738538682E-4</v>
      </c>
      <c r="I74" s="173">
        <v>31.55</v>
      </c>
      <c r="J74" s="174"/>
      <c r="K74" s="175" t="s">
        <v>56</v>
      </c>
      <c r="L74" s="175" t="s">
        <v>57</v>
      </c>
      <c r="M74" s="175">
        <v>-369</v>
      </c>
      <c r="N74" s="176">
        <v>1</v>
      </c>
      <c r="O74" s="176">
        <v>200</v>
      </c>
      <c r="P74" s="175">
        <v>420</v>
      </c>
      <c r="Q74" s="175" t="s">
        <v>150</v>
      </c>
      <c r="R74" s="175" t="s">
        <v>179</v>
      </c>
      <c r="S74" s="177"/>
      <c r="T74" s="177"/>
      <c r="U74" s="175">
        <v>0</v>
      </c>
      <c r="V74" s="178">
        <v>0</v>
      </c>
      <c r="W74" s="179"/>
      <c r="X74" s="177"/>
      <c r="Y74" s="177"/>
      <c r="Z74" s="177"/>
      <c r="AA74" s="177"/>
      <c r="AB74" s="180"/>
      <c r="AC74" s="174">
        <v>160.19999999999999</v>
      </c>
      <c r="AD74" s="177">
        <v>-110</v>
      </c>
      <c r="AE74" s="177">
        <v>4.1399999999999997</v>
      </c>
      <c r="AF74" s="177">
        <v>-0.56999999999999995</v>
      </c>
      <c r="AG74" s="177">
        <v>109.8</v>
      </c>
      <c r="AH74" s="177">
        <v>-110</v>
      </c>
      <c r="AI74" s="177">
        <v>2.64</v>
      </c>
      <c r="AJ74" s="174">
        <v>0.64</v>
      </c>
      <c r="AK74" s="181" t="s">
        <v>142</v>
      </c>
      <c r="AL74" s="182" t="s">
        <v>154</v>
      </c>
      <c r="AM74" s="183"/>
      <c r="AN74" s="182"/>
      <c r="AO74" s="191"/>
      <c r="AP74" s="192"/>
      <c r="AQ74" s="193"/>
      <c r="AR74" s="186"/>
      <c r="AS74" s="187"/>
      <c r="AT74" s="188"/>
      <c r="AU74" s="187"/>
      <c r="AV74" s="187"/>
      <c r="AW74" s="177"/>
      <c r="AX74" s="177"/>
      <c r="AY74" s="177"/>
      <c r="AZ74" s="177"/>
      <c r="BA74" s="187"/>
      <c r="BB74" s="180"/>
      <c r="BC74" s="189"/>
      <c r="BD74" s="189"/>
      <c r="BE74" s="189"/>
      <c r="BF74" s="189"/>
      <c r="BG74" s="189"/>
      <c r="BH74" s="189"/>
      <c r="BI74" s="189"/>
      <c r="BJ74" s="189"/>
      <c r="BK74" s="189"/>
      <c r="BL74" s="189"/>
      <c r="BM74" s="189"/>
      <c r="BN74" s="189"/>
      <c r="BO74" s="189"/>
      <c r="BP74" s="189"/>
      <c r="BQ74" s="189"/>
      <c r="BR74" s="189"/>
    </row>
    <row r="75" spans="1:70" s="190" customFormat="1">
      <c r="A75" s="176">
        <v>73</v>
      </c>
      <c r="F75" s="170">
        <v>43118.712002314816</v>
      </c>
      <c r="G75" s="171">
        <v>43118.712430555555</v>
      </c>
      <c r="H75" s="172">
        <f t="shared" si="13"/>
        <v>4.2824073898373172E-4</v>
      </c>
      <c r="I75" s="173">
        <v>31.55</v>
      </c>
      <c r="J75" s="174"/>
      <c r="K75" s="175" t="s">
        <v>56</v>
      </c>
      <c r="L75" s="175" t="s">
        <v>57</v>
      </c>
      <c r="M75" s="175">
        <v>-369</v>
      </c>
      <c r="N75" s="176">
        <v>1</v>
      </c>
      <c r="O75" s="176">
        <v>200</v>
      </c>
      <c r="P75" s="175">
        <v>425</v>
      </c>
      <c r="Q75" s="175" t="s">
        <v>150</v>
      </c>
      <c r="R75" s="175" t="s">
        <v>179</v>
      </c>
      <c r="S75" s="177"/>
      <c r="T75" s="177"/>
      <c r="U75" s="175">
        <v>0</v>
      </c>
      <c r="V75" s="178">
        <v>0</v>
      </c>
      <c r="W75" s="179"/>
      <c r="X75" s="177"/>
      <c r="Y75" s="177"/>
      <c r="Z75" s="177"/>
      <c r="AA75" s="177"/>
      <c r="AB75" s="180"/>
      <c r="AC75" s="174">
        <v>160.19999999999999</v>
      </c>
      <c r="AD75" s="177">
        <v>-110</v>
      </c>
      <c r="AE75" s="177">
        <v>4.1399999999999997</v>
      </c>
      <c r="AF75" s="177">
        <v>-0.56999999999999995</v>
      </c>
      <c r="AG75" s="177">
        <v>109.8</v>
      </c>
      <c r="AH75" s="177">
        <v>-110</v>
      </c>
      <c r="AI75" s="177">
        <v>2.64</v>
      </c>
      <c r="AJ75" s="174">
        <v>0.64</v>
      </c>
      <c r="AK75" s="181" t="s">
        <v>142</v>
      </c>
      <c r="AL75" s="182" t="s">
        <v>155</v>
      </c>
      <c r="AM75" s="183"/>
      <c r="AN75" s="182"/>
      <c r="AO75" s="191"/>
      <c r="AP75" s="192"/>
      <c r="AQ75" s="193"/>
      <c r="AR75" s="186"/>
      <c r="AS75" s="187"/>
      <c r="AT75" s="188"/>
      <c r="AU75" s="187"/>
      <c r="AV75" s="187"/>
      <c r="AW75" s="177"/>
      <c r="AX75" s="177"/>
      <c r="AY75" s="177"/>
      <c r="AZ75" s="177"/>
      <c r="BA75" s="187"/>
      <c r="BB75" s="180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89"/>
      <c r="BN75" s="189"/>
      <c r="BO75" s="189"/>
      <c r="BP75" s="189"/>
      <c r="BQ75" s="189"/>
      <c r="BR75" s="189"/>
    </row>
    <row r="76" spans="1:70" s="190" customFormat="1">
      <c r="A76" s="176">
        <v>74</v>
      </c>
      <c r="F76" s="170">
        <v>43118.712638888886</v>
      </c>
      <c r="G76" s="171">
        <v>43118.713067129633</v>
      </c>
      <c r="H76" s="172">
        <f t="shared" si="13"/>
        <v>4.2824074625968933E-4</v>
      </c>
      <c r="I76" s="173">
        <v>31.55</v>
      </c>
      <c r="J76" s="174"/>
      <c r="K76" s="175" t="s">
        <v>56</v>
      </c>
      <c r="L76" s="175" t="s">
        <v>57</v>
      </c>
      <c r="M76" s="175">
        <v>-369</v>
      </c>
      <c r="N76" s="176">
        <v>1</v>
      </c>
      <c r="O76" s="176">
        <v>200</v>
      </c>
      <c r="P76" s="175">
        <v>430</v>
      </c>
      <c r="Q76" s="175" t="s">
        <v>150</v>
      </c>
      <c r="R76" s="175" t="s">
        <v>179</v>
      </c>
      <c r="S76" s="177"/>
      <c r="T76" s="177"/>
      <c r="U76" s="175">
        <v>0</v>
      </c>
      <c r="V76" s="178">
        <v>0</v>
      </c>
      <c r="W76" s="179"/>
      <c r="X76" s="177"/>
      <c r="Y76" s="177"/>
      <c r="Z76" s="177"/>
      <c r="AA76" s="177"/>
      <c r="AB76" s="180"/>
      <c r="AC76" s="174">
        <v>160.19999999999999</v>
      </c>
      <c r="AD76" s="177">
        <v>-110</v>
      </c>
      <c r="AE76" s="177">
        <v>4.1399999999999997</v>
      </c>
      <c r="AF76" s="177">
        <v>-0.56999999999999995</v>
      </c>
      <c r="AG76" s="177">
        <v>109.8</v>
      </c>
      <c r="AH76" s="177">
        <v>-110</v>
      </c>
      <c r="AI76" s="177">
        <v>2.64</v>
      </c>
      <c r="AJ76" s="174">
        <v>0.64</v>
      </c>
      <c r="AK76" s="181" t="s">
        <v>142</v>
      </c>
      <c r="AL76" s="182" t="s">
        <v>156</v>
      </c>
      <c r="AM76" s="183"/>
      <c r="AN76" s="182"/>
      <c r="AO76" s="191"/>
      <c r="AP76" s="192"/>
      <c r="AQ76" s="193"/>
      <c r="AR76" s="186"/>
      <c r="AS76" s="187"/>
      <c r="AT76" s="188"/>
      <c r="AU76" s="187"/>
      <c r="AV76" s="187"/>
      <c r="AW76" s="177"/>
      <c r="AX76" s="177"/>
      <c r="AY76" s="177"/>
      <c r="AZ76" s="177"/>
      <c r="BA76" s="187"/>
      <c r="BB76" s="180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</row>
    <row r="77" spans="1:70" s="190" customFormat="1">
      <c r="A77" s="176">
        <v>75</v>
      </c>
      <c r="F77" s="170">
        <v>43118.713310185187</v>
      </c>
      <c r="G77" s="171">
        <v>43118.714687500003</v>
      </c>
      <c r="H77" s="172">
        <f t="shared" si="13"/>
        <v>1.377314816636499E-3</v>
      </c>
      <c r="I77" s="173">
        <v>31.55</v>
      </c>
      <c r="J77" s="174"/>
      <c r="K77" s="175" t="s">
        <v>56</v>
      </c>
      <c r="L77" s="175" t="s">
        <v>57</v>
      </c>
      <c r="M77" s="175">
        <v>-369</v>
      </c>
      <c r="N77" s="176">
        <v>1</v>
      </c>
      <c r="O77" s="176">
        <v>200</v>
      </c>
      <c r="P77" s="175" t="s">
        <v>151</v>
      </c>
      <c r="Q77" s="175" t="s">
        <v>150</v>
      </c>
      <c r="R77" s="175" t="s">
        <v>179</v>
      </c>
      <c r="S77" s="177"/>
      <c r="T77" s="177"/>
      <c r="U77" s="175">
        <v>0</v>
      </c>
      <c r="V77" s="178">
        <v>0</v>
      </c>
      <c r="W77" s="179"/>
      <c r="X77" s="177"/>
      <c r="Y77" s="177"/>
      <c r="Z77" s="177"/>
      <c r="AA77" s="177"/>
      <c r="AB77" s="180"/>
      <c r="AC77" s="174">
        <v>160.19999999999999</v>
      </c>
      <c r="AD77" s="177">
        <v>-110</v>
      </c>
      <c r="AE77" s="177">
        <v>4.1399999999999997</v>
      </c>
      <c r="AF77" s="177">
        <v>-0.56999999999999995</v>
      </c>
      <c r="AG77" s="177">
        <v>109.8</v>
      </c>
      <c r="AH77" s="177">
        <v>-110</v>
      </c>
      <c r="AI77" s="177">
        <v>2.64</v>
      </c>
      <c r="AJ77" s="174">
        <v>0.64</v>
      </c>
      <c r="AK77" s="181" t="s">
        <v>142</v>
      </c>
      <c r="AL77" s="182" t="s">
        <v>157</v>
      </c>
      <c r="AM77" s="183"/>
      <c r="AN77" s="182"/>
      <c r="AO77" s="209"/>
      <c r="AP77" s="209"/>
      <c r="AQ77" s="210"/>
      <c r="AR77" s="211"/>
      <c r="AS77" s="212"/>
      <c r="AT77" s="213"/>
      <c r="AU77" s="187"/>
      <c r="AV77" s="187"/>
      <c r="AW77" s="177"/>
      <c r="AX77" s="177"/>
      <c r="AY77" s="177"/>
      <c r="AZ77" s="177"/>
      <c r="BA77" s="187"/>
      <c r="BB77" s="180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</row>
    <row r="78" spans="1:70" s="190" customFormat="1">
      <c r="A78" s="176">
        <v>76</v>
      </c>
      <c r="F78" s="170">
        <v>43118.724756944444</v>
      </c>
      <c r="G78" s="171">
        <v>43118.726203703707</v>
      </c>
      <c r="H78" s="172">
        <f t="shared" ref="H78" si="14">G78-F78</f>
        <v>1.4467592627624981E-3</v>
      </c>
      <c r="I78" s="173">
        <v>31.58</v>
      </c>
      <c r="J78" s="174"/>
      <c r="K78" s="175" t="s">
        <v>56</v>
      </c>
      <c r="L78" s="175" t="s">
        <v>57</v>
      </c>
      <c r="M78" s="175">
        <v>-369</v>
      </c>
      <c r="N78" s="176">
        <v>1</v>
      </c>
      <c r="O78" s="176">
        <v>200</v>
      </c>
      <c r="P78" s="175">
        <v>420</v>
      </c>
      <c r="Q78" s="175" t="s">
        <v>150</v>
      </c>
      <c r="R78" s="175" t="s">
        <v>158</v>
      </c>
      <c r="S78" s="177"/>
      <c r="T78" s="177"/>
      <c r="U78" s="175">
        <v>0</v>
      </c>
      <c r="V78" s="178">
        <v>-1900</v>
      </c>
      <c r="W78" s="179">
        <v>10</v>
      </c>
      <c r="X78" s="177">
        <v>32645</v>
      </c>
      <c r="Y78" s="177">
        <v>581247</v>
      </c>
      <c r="Z78" s="177">
        <v>7826268</v>
      </c>
      <c r="AA78" s="177">
        <v>735339</v>
      </c>
      <c r="AB78" s="180">
        <v>7111865</v>
      </c>
      <c r="AC78" s="174">
        <v>160.19999999999999</v>
      </c>
      <c r="AD78" s="177">
        <v>-110</v>
      </c>
      <c r="AE78" s="177">
        <v>4.1399999999999997</v>
      </c>
      <c r="AF78" s="177">
        <v>-0.56999999999999995</v>
      </c>
      <c r="AG78" s="177">
        <v>109.8</v>
      </c>
      <c r="AH78" s="177">
        <v>-110</v>
      </c>
      <c r="AI78" s="177">
        <v>3.61</v>
      </c>
      <c r="AJ78" s="174">
        <v>-0.48</v>
      </c>
      <c r="AK78" s="181" t="s">
        <v>142</v>
      </c>
      <c r="AL78" s="182" t="s">
        <v>436</v>
      </c>
      <c r="AM78" s="183"/>
      <c r="AN78" s="182"/>
      <c r="AO78" s="209"/>
      <c r="AP78" s="209"/>
      <c r="AQ78" s="210"/>
      <c r="AR78" s="211"/>
      <c r="AS78" s="212"/>
      <c r="AT78" s="213"/>
      <c r="AU78" s="187"/>
      <c r="AV78" s="187"/>
      <c r="AW78" s="177"/>
      <c r="AX78" s="177"/>
      <c r="AY78" s="177"/>
      <c r="AZ78" s="177"/>
      <c r="BA78" s="187"/>
      <c r="BB78" s="180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</row>
    <row r="79" spans="1:70" s="190" customFormat="1">
      <c r="A79" s="176">
        <v>77</v>
      </c>
      <c r="F79" s="170">
        <v>43118.72797453704</v>
      </c>
      <c r="G79" s="171">
        <v>43118.729861111111</v>
      </c>
      <c r="H79" s="172">
        <f t="shared" ref="H79:H88" si="15">G79-F79</f>
        <v>1.8865740712499246E-3</v>
      </c>
      <c r="I79" s="173">
        <v>31.58</v>
      </c>
      <c r="J79" s="174"/>
      <c r="K79" s="175" t="s">
        <v>56</v>
      </c>
      <c r="L79" s="175" t="s">
        <v>57</v>
      </c>
      <c r="M79" s="175">
        <v>-369</v>
      </c>
      <c r="N79" s="176">
        <v>1</v>
      </c>
      <c r="O79" s="176">
        <v>200</v>
      </c>
      <c r="P79" s="175">
        <v>420</v>
      </c>
      <c r="Q79" s="175" t="s">
        <v>150</v>
      </c>
      <c r="R79" s="175" t="s">
        <v>179</v>
      </c>
      <c r="S79" s="177"/>
      <c r="T79" s="177"/>
      <c r="U79" s="175">
        <v>0</v>
      </c>
      <c r="V79" s="178">
        <v>-1900</v>
      </c>
      <c r="W79" s="179"/>
      <c r="X79" s="177"/>
      <c r="Y79" s="177"/>
      <c r="Z79" s="177"/>
      <c r="AA79" s="177"/>
      <c r="AB79" s="180"/>
      <c r="AC79" s="174">
        <v>160.19999999999999</v>
      </c>
      <c r="AD79" s="177">
        <v>-110</v>
      </c>
      <c r="AE79" s="177">
        <v>4.1399999999999997</v>
      </c>
      <c r="AF79" s="177">
        <v>-0.56999999999999995</v>
      </c>
      <c r="AG79" s="177">
        <v>109.8</v>
      </c>
      <c r="AH79" s="177">
        <v>-110</v>
      </c>
      <c r="AI79" s="177">
        <v>3.61</v>
      </c>
      <c r="AJ79" s="174">
        <v>-0.48</v>
      </c>
      <c r="AK79" s="181" t="s">
        <v>142</v>
      </c>
      <c r="AL79" s="182" t="s">
        <v>159</v>
      </c>
      <c r="AM79" s="183"/>
      <c r="AN79" s="182"/>
      <c r="AO79" s="209"/>
      <c r="AP79" s="209"/>
      <c r="AQ79" s="210"/>
      <c r="AR79" s="211"/>
      <c r="AS79" s="212"/>
      <c r="AT79" s="213"/>
      <c r="AU79" s="187"/>
      <c r="AV79" s="187"/>
      <c r="AW79" s="177"/>
      <c r="AX79" s="177"/>
      <c r="AY79" s="177"/>
      <c r="AZ79" s="177"/>
      <c r="BA79" s="187"/>
      <c r="BB79" s="180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</row>
    <row r="80" spans="1:70" s="190" customFormat="1">
      <c r="A80" s="176">
        <v>78</v>
      </c>
      <c r="F80" s="170">
        <v>43118.730243055557</v>
      </c>
      <c r="G80" s="171">
        <v>43118.732245370367</v>
      </c>
      <c r="H80" s="172">
        <f t="shared" si="15"/>
        <v>2.002314809942618E-3</v>
      </c>
      <c r="I80" s="173">
        <v>31.58</v>
      </c>
      <c r="J80" s="174"/>
      <c r="K80" s="175" t="s">
        <v>56</v>
      </c>
      <c r="L80" s="175" t="s">
        <v>57</v>
      </c>
      <c r="M80" s="175">
        <v>-369</v>
      </c>
      <c r="N80" s="176">
        <v>1</v>
      </c>
      <c r="O80" s="176">
        <v>200</v>
      </c>
      <c r="P80" s="175">
        <v>420</v>
      </c>
      <c r="Q80" s="175" t="s">
        <v>150</v>
      </c>
      <c r="R80" s="175" t="s">
        <v>179</v>
      </c>
      <c r="S80" s="177"/>
      <c r="T80" s="177"/>
      <c r="U80" s="175">
        <v>0</v>
      </c>
      <c r="V80" s="178">
        <v>-1500</v>
      </c>
      <c r="W80" s="179"/>
      <c r="X80" s="177"/>
      <c r="Y80" s="177"/>
      <c r="Z80" s="177"/>
      <c r="AA80" s="177"/>
      <c r="AB80" s="180"/>
      <c r="AC80" s="174">
        <v>160.19999999999999</v>
      </c>
      <c r="AD80" s="177">
        <v>-110</v>
      </c>
      <c r="AE80" s="177">
        <v>4.1399999999999997</v>
      </c>
      <c r="AF80" s="177">
        <v>-0.56999999999999995</v>
      </c>
      <c r="AG80" s="177">
        <v>109.8</v>
      </c>
      <c r="AH80" s="177">
        <v>-110</v>
      </c>
      <c r="AI80" s="177">
        <v>3.61</v>
      </c>
      <c r="AJ80" s="174">
        <v>-0.48</v>
      </c>
      <c r="AK80" s="181" t="s">
        <v>142</v>
      </c>
      <c r="AL80" s="182" t="s">
        <v>160</v>
      </c>
      <c r="AM80" s="183"/>
      <c r="AN80" s="182"/>
      <c r="AO80" s="191"/>
      <c r="AP80" s="192"/>
      <c r="AQ80" s="193"/>
      <c r="AR80" s="186"/>
      <c r="AS80" s="187"/>
      <c r="AT80" s="188"/>
      <c r="AU80" s="187"/>
      <c r="AV80" s="187"/>
      <c r="AW80" s="177"/>
      <c r="AX80" s="177"/>
      <c r="AY80" s="177"/>
      <c r="AZ80" s="177"/>
      <c r="BA80" s="187"/>
      <c r="BB80" s="180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</row>
    <row r="81" spans="1:70" s="190" customFormat="1">
      <c r="A81" s="176">
        <v>79</v>
      </c>
      <c r="F81" s="170">
        <v>43118.732465277775</v>
      </c>
      <c r="G81" s="171">
        <v>43118.734467592592</v>
      </c>
      <c r="H81" s="172">
        <f t="shared" si="15"/>
        <v>2.0023148172185756E-3</v>
      </c>
      <c r="I81" s="173">
        <v>31.58</v>
      </c>
      <c r="J81" s="174"/>
      <c r="K81" s="175" t="s">
        <v>56</v>
      </c>
      <c r="L81" s="175" t="s">
        <v>57</v>
      </c>
      <c r="M81" s="175">
        <v>-369</v>
      </c>
      <c r="N81" s="176">
        <v>1</v>
      </c>
      <c r="O81" s="176">
        <v>200</v>
      </c>
      <c r="P81" s="175">
        <v>420</v>
      </c>
      <c r="Q81" s="175" t="s">
        <v>150</v>
      </c>
      <c r="R81" s="175" t="s">
        <v>179</v>
      </c>
      <c r="S81" s="177"/>
      <c r="T81" s="177"/>
      <c r="U81" s="175">
        <v>0</v>
      </c>
      <c r="V81" s="178">
        <v>-1200</v>
      </c>
      <c r="W81" s="179"/>
      <c r="X81" s="177"/>
      <c r="Y81" s="177"/>
      <c r="Z81" s="177"/>
      <c r="AA81" s="177"/>
      <c r="AB81" s="180"/>
      <c r="AC81" s="174">
        <v>160.19999999999999</v>
      </c>
      <c r="AD81" s="177">
        <v>-110</v>
      </c>
      <c r="AE81" s="177">
        <v>4.1399999999999997</v>
      </c>
      <c r="AF81" s="177">
        <v>-0.56999999999999995</v>
      </c>
      <c r="AG81" s="177">
        <v>109.8</v>
      </c>
      <c r="AH81" s="177">
        <v>-110</v>
      </c>
      <c r="AI81" s="177">
        <v>3.61</v>
      </c>
      <c r="AJ81" s="174">
        <v>-0.48</v>
      </c>
      <c r="AK81" s="181" t="s">
        <v>142</v>
      </c>
      <c r="AL81" s="182" t="s">
        <v>161</v>
      </c>
      <c r="AM81" s="183"/>
      <c r="AN81" s="182"/>
      <c r="AO81" s="191"/>
      <c r="AP81" s="192"/>
      <c r="AQ81" s="193"/>
      <c r="AR81" s="186"/>
      <c r="AS81" s="187"/>
      <c r="AT81" s="188"/>
      <c r="AU81" s="187"/>
      <c r="AV81" s="187"/>
      <c r="AW81" s="177"/>
      <c r="AX81" s="177"/>
      <c r="AY81" s="177"/>
      <c r="AZ81" s="177"/>
      <c r="BA81" s="187"/>
      <c r="BB81" s="180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</row>
    <row r="82" spans="1:70" s="190" customFormat="1">
      <c r="A82" s="176">
        <v>80</v>
      </c>
      <c r="F82" s="170">
        <v>43118.7346412037</v>
      </c>
      <c r="G82" s="171">
        <v>43118.736759259256</v>
      </c>
      <c r="H82" s="172">
        <f t="shared" si="15"/>
        <v>2.118055555911269E-3</v>
      </c>
      <c r="I82" s="173">
        <v>31.58</v>
      </c>
      <c r="J82" s="174"/>
      <c r="K82" s="175" t="s">
        <v>56</v>
      </c>
      <c r="L82" s="175" t="s">
        <v>57</v>
      </c>
      <c r="M82" s="175">
        <v>-369</v>
      </c>
      <c r="N82" s="176">
        <v>1</v>
      </c>
      <c r="O82" s="176">
        <v>200</v>
      </c>
      <c r="P82" s="175">
        <v>420</v>
      </c>
      <c r="Q82" s="175" t="s">
        <v>150</v>
      </c>
      <c r="R82" s="175" t="s">
        <v>179</v>
      </c>
      <c r="S82" s="177"/>
      <c r="T82" s="177"/>
      <c r="U82" s="175">
        <v>0</v>
      </c>
      <c r="V82" s="178">
        <v>-900</v>
      </c>
      <c r="W82" s="179"/>
      <c r="X82" s="177"/>
      <c r="Y82" s="177"/>
      <c r="Z82" s="177"/>
      <c r="AA82" s="177"/>
      <c r="AB82" s="180"/>
      <c r="AC82" s="174">
        <v>160.19999999999999</v>
      </c>
      <c r="AD82" s="177">
        <v>-110</v>
      </c>
      <c r="AE82" s="177">
        <v>4.1399999999999997</v>
      </c>
      <c r="AF82" s="177">
        <v>-0.56999999999999995</v>
      </c>
      <c r="AG82" s="177">
        <v>109.8</v>
      </c>
      <c r="AH82" s="177">
        <v>-110</v>
      </c>
      <c r="AI82" s="177">
        <v>3.61</v>
      </c>
      <c r="AJ82" s="174">
        <v>-0.48</v>
      </c>
      <c r="AK82" s="181" t="s">
        <v>142</v>
      </c>
      <c r="AL82" s="182" t="s">
        <v>162</v>
      </c>
      <c r="AM82" s="183"/>
      <c r="AN82" s="182"/>
      <c r="AO82" s="191"/>
      <c r="AP82" s="192"/>
      <c r="AQ82" s="193"/>
      <c r="AR82" s="186"/>
      <c r="AS82" s="187"/>
      <c r="AT82" s="188"/>
      <c r="AU82" s="187"/>
      <c r="AV82" s="187"/>
      <c r="AW82" s="177"/>
      <c r="AX82" s="177"/>
      <c r="AY82" s="177"/>
      <c r="AZ82" s="177"/>
      <c r="BA82" s="187"/>
      <c r="BB82" s="180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</row>
    <row r="83" spans="1:70" s="190" customFormat="1">
      <c r="A83" s="176">
        <v>81</v>
      </c>
      <c r="F83" s="170">
        <v>43118.736921296295</v>
      </c>
      <c r="G83" s="171">
        <v>43118.738865740743</v>
      </c>
      <c r="H83" s="172">
        <f t="shared" si="15"/>
        <v>1.9444444478722289E-3</v>
      </c>
      <c r="I83" s="173">
        <v>31.58</v>
      </c>
      <c r="J83" s="174"/>
      <c r="K83" s="175" t="s">
        <v>56</v>
      </c>
      <c r="L83" s="175" t="s">
        <v>57</v>
      </c>
      <c r="M83" s="175">
        <v>-369</v>
      </c>
      <c r="N83" s="176">
        <v>1</v>
      </c>
      <c r="O83" s="176">
        <v>200</v>
      </c>
      <c r="P83" s="175">
        <v>420</v>
      </c>
      <c r="Q83" s="175" t="s">
        <v>150</v>
      </c>
      <c r="R83" s="175" t="s">
        <v>179</v>
      </c>
      <c r="S83" s="177"/>
      <c r="T83" s="177"/>
      <c r="U83" s="175">
        <v>0</v>
      </c>
      <c r="V83" s="178">
        <v>-600</v>
      </c>
      <c r="W83" s="179"/>
      <c r="X83" s="177"/>
      <c r="Y83" s="177"/>
      <c r="Z83" s="177"/>
      <c r="AA83" s="177"/>
      <c r="AB83" s="180"/>
      <c r="AC83" s="174">
        <v>160.19999999999999</v>
      </c>
      <c r="AD83" s="177">
        <v>-110</v>
      </c>
      <c r="AE83" s="177">
        <v>4.1399999999999997</v>
      </c>
      <c r="AF83" s="177">
        <v>-0.56999999999999995</v>
      </c>
      <c r="AG83" s="177">
        <v>109.8</v>
      </c>
      <c r="AH83" s="177">
        <v>-110</v>
      </c>
      <c r="AI83" s="177">
        <v>3.61</v>
      </c>
      <c r="AJ83" s="174">
        <v>-0.48</v>
      </c>
      <c r="AK83" s="181" t="s">
        <v>142</v>
      </c>
      <c r="AL83" s="182" t="s">
        <v>163</v>
      </c>
      <c r="AM83" s="183"/>
      <c r="AN83" s="182"/>
      <c r="AO83" s="191"/>
      <c r="AP83" s="192"/>
      <c r="AQ83" s="193"/>
      <c r="AR83" s="186"/>
      <c r="AS83" s="187"/>
      <c r="AT83" s="188"/>
      <c r="AU83" s="187"/>
      <c r="AV83" s="187"/>
      <c r="AW83" s="177"/>
      <c r="AX83" s="177"/>
      <c r="AY83" s="177"/>
      <c r="AZ83" s="177"/>
      <c r="BA83" s="187"/>
      <c r="BB83" s="180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</row>
    <row r="84" spans="1:70" s="190" customFormat="1">
      <c r="A84" s="176">
        <v>82</v>
      </c>
      <c r="F84" s="170">
        <v>43118.739039351851</v>
      </c>
      <c r="G84" s="171">
        <v>43118.741168981483</v>
      </c>
      <c r="H84" s="172">
        <f t="shared" si="15"/>
        <v>2.1296296326909214E-3</v>
      </c>
      <c r="I84" s="173">
        <v>31.58</v>
      </c>
      <c r="J84" s="174"/>
      <c r="K84" s="175" t="s">
        <v>56</v>
      </c>
      <c r="L84" s="175" t="s">
        <v>57</v>
      </c>
      <c r="M84" s="175">
        <v>-369</v>
      </c>
      <c r="N84" s="176">
        <v>1</v>
      </c>
      <c r="O84" s="176">
        <v>200</v>
      </c>
      <c r="P84" s="175">
        <v>420</v>
      </c>
      <c r="Q84" s="175" t="s">
        <v>150</v>
      </c>
      <c r="R84" s="175" t="s">
        <v>179</v>
      </c>
      <c r="S84" s="177"/>
      <c r="T84" s="177"/>
      <c r="U84" s="175">
        <v>0</v>
      </c>
      <c r="V84" s="178">
        <v>-300</v>
      </c>
      <c r="W84" s="179"/>
      <c r="X84" s="177"/>
      <c r="Y84" s="177"/>
      <c r="Z84" s="177"/>
      <c r="AA84" s="177"/>
      <c r="AB84" s="180"/>
      <c r="AC84" s="174">
        <v>160.19999999999999</v>
      </c>
      <c r="AD84" s="177">
        <v>-110</v>
      </c>
      <c r="AE84" s="177">
        <v>4.1399999999999997</v>
      </c>
      <c r="AF84" s="177">
        <v>-0.56999999999999995</v>
      </c>
      <c r="AG84" s="177">
        <v>109.8</v>
      </c>
      <c r="AH84" s="177">
        <v>-110</v>
      </c>
      <c r="AI84" s="177">
        <v>3.61</v>
      </c>
      <c r="AJ84" s="174">
        <v>-0.48</v>
      </c>
      <c r="AK84" s="181" t="s">
        <v>142</v>
      </c>
      <c r="AL84" s="182" t="s">
        <v>164</v>
      </c>
      <c r="AM84" s="183"/>
      <c r="AN84" s="182"/>
      <c r="AO84" s="191"/>
      <c r="AP84" s="192"/>
      <c r="AQ84" s="193"/>
      <c r="AR84" s="186"/>
      <c r="AS84" s="187"/>
      <c r="AT84" s="188"/>
      <c r="AU84" s="187"/>
      <c r="AV84" s="187"/>
      <c r="AW84" s="177"/>
      <c r="AX84" s="177"/>
      <c r="AY84" s="177"/>
      <c r="AZ84" s="177"/>
      <c r="BA84" s="187"/>
      <c r="BB84" s="180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</row>
    <row r="85" spans="1:70" s="190" customFormat="1">
      <c r="A85" s="176">
        <v>83</v>
      </c>
      <c r="F85" s="170">
        <v>43118.741377314815</v>
      </c>
      <c r="G85" s="171">
        <v>43118.747754629629</v>
      </c>
      <c r="H85" s="172">
        <f t="shared" si="15"/>
        <v>6.3773148140171543E-3</v>
      </c>
      <c r="I85" s="173">
        <v>31.58</v>
      </c>
      <c r="J85" s="174"/>
      <c r="K85" s="175" t="s">
        <v>56</v>
      </c>
      <c r="L85" s="175" t="s">
        <v>57</v>
      </c>
      <c r="M85" s="175">
        <v>-369</v>
      </c>
      <c r="N85" s="176">
        <v>1</v>
      </c>
      <c r="O85" s="176">
        <v>200</v>
      </c>
      <c r="P85" s="175">
        <v>420</v>
      </c>
      <c r="Q85" s="175" t="s">
        <v>150</v>
      </c>
      <c r="R85" s="175" t="s">
        <v>179</v>
      </c>
      <c r="S85" s="177"/>
      <c r="T85" s="177"/>
      <c r="U85" s="175">
        <v>0</v>
      </c>
      <c r="V85" s="178">
        <v>0</v>
      </c>
      <c r="W85" s="179"/>
      <c r="X85" s="177"/>
      <c r="Y85" s="177"/>
      <c r="Z85" s="177"/>
      <c r="AA85" s="177"/>
      <c r="AB85" s="180"/>
      <c r="AC85" s="174">
        <v>160.19999999999999</v>
      </c>
      <c r="AD85" s="177">
        <v>-110</v>
      </c>
      <c r="AE85" s="177">
        <v>4.1399999999999997</v>
      </c>
      <c r="AF85" s="177">
        <v>-0.56999999999999995</v>
      </c>
      <c r="AG85" s="177">
        <v>109.8</v>
      </c>
      <c r="AH85" s="177">
        <v>-110</v>
      </c>
      <c r="AI85" s="177">
        <v>3.61</v>
      </c>
      <c r="AJ85" s="174">
        <v>-0.48</v>
      </c>
      <c r="AK85" s="181" t="s">
        <v>142</v>
      </c>
      <c r="AL85" s="182" t="s">
        <v>165</v>
      </c>
      <c r="AM85" s="183"/>
      <c r="AN85" s="182"/>
      <c r="AO85" s="191"/>
      <c r="AP85" s="192"/>
      <c r="AQ85" s="193"/>
      <c r="AR85" s="186"/>
      <c r="AS85" s="187"/>
      <c r="AT85" s="188"/>
      <c r="AU85" s="187"/>
      <c r="AV85" s="187"/>
      <c r="AW85" s="177"/>
      <c r="AX85" s="177"/>
      <c r="AY85" s="177"/>
      <c r="AZ85" s="177"/>
      <c r="BA85" s="187"/>
      <c r="BB85" s="180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</row>
    <row r="86" spans="1:70" s="190" customFormat="1">
      <c r="A86" s="176">
        <v>84</v>
      </c>
      <c r="F86" s="170">
        <v>43118.748136574075</v>
      </c>
      <c r="G86" s="171">
        <v>43118.750752314816</v>
      </c>
      <c r="H86" s="172">
        <f t="shared" si="15"/>
        <v>2.6157407410209998E-3</v>
      </c>
      <c r="I86" s="173">
        <v>31.58</v>
      </c>
      <c r="J86" s="174"/>
      <c r="K86" s="175" t="s">
        <v>56</v>
      </c>
      <c r="L86" s="175" t="s">
        <v>57</v>
      </c>
      <c r="M86" s="175">
        <v>-369</v>
      </c>
      <c r="N86" s="176">
        <v>1</v>
      </c>
      <c r="O86" s="176">
        <v>200</v>
      </c>
      <c r="P86" s="175">
        <v>420</v>
      </c>
      <c r="Q86" s="175" t="s">
        <v>150</v>
      </c>
      <c r="R86" s="175" t="s">
        <v>179</v>
      </c>
      <c r="S86" s="177"/>
      <c r="T86" s="177"/>
      <c r="U86" s="175">
        <v>0</v>
      </c>
      <c r="V86" s="178">
        <v>350</v>
      </c>
      <c r="W86" s="179"/>
      <c r="X86" s="177"/>
      <c r="Y86" s="177"/>
      <c r="Z86" s="177"/>
      <c r="AA86" s="177"/>
      <c r="AB86" s="180"/>
      <c r="AC86" s="174">
        <v>160.19999999999999</v>
      </c>
      <c r="AD86" s="177">
        <v>-110</v>
      </c>
      <c r="AE86" s="177">
        <v>4.1399999999999997</v>
      </c>
      <c r="AF86" s="177">
        <v>-0.56999999999999995</v>
      </c>
      <c r="AG86" s="177">
        <v>109.8</v>
      </c>
      <c r="AH86" s="177">
        <v>-110</v>
      </c>
      <c r="AI86" s="177">
        <v>3.61</v>
      </c>
      <c r="AJ86" s="174">
        <v>-0.48</v>
      </c>
      <c r="AK86" s="181" t="s">
        <v>142</v>
      </c>
      <c r="AL86" s="182" t="s">
        <v>166</v>
      </c>
      <c r="AM86" s="183"/>
      <c r="AN86" s="182"/>
      <c r="AO86" s="191"/>
      <c r="AP86" s="192"/>
      <c r="AQ86" s="193"/>
      <c r="AR86" s="186"/>
      <c r="AS86" s="187"/>
      <c r="AT86" s="188"/>
      <c r="AU86" s="187"/>
      <c r="AV86" s="187"/>
      <c r="AW86" s="177"/>
      <c r="AX86" s="177"/>
      <c r="AY86" s="177"/>
      <c r="AZ86" s="177"/>
      <c r="BA86" s="187"/>
      <c r="BB86" s="180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</row>
    <row r="87" spans="1:70" s="190" customFormat="1">
      <c r="A87" s="176">
        <v>85</v>
      </c>
      <c r="F87" s="170">
        <v>43118.750937500001</v>
      </c>
      <c r="G87" s="171">
        <v>43118.752997685187</v>
      </c>
      <c r="H87" s="172">
        <f t="shared" si="15"/>
        <v>2.0601851865649223E-3</v>
      </c>
      <c r="I87" s="173">
        <v>31.58</v>
      </c>
      <c r="J87" s="174"/>
      <c r="K87" s="175" t="s">
        <v>56</v>
      </c>
      <c r="L87" s="175" t="s">
        <v>57</v>
      </c>
      <c r="M87" s="175">
        <v>-369</v>
      </c>
      <c r="N87" s="176">
        <v>1</v>
      </c>
      <c r="O87" s="176">
        <v>200</v>
      </c>
      <c r="P87" s="175">
        <v>420</v>
      </c>
      <c r="Q87" s="175" t="s">
        <v>150</v>
      </c>
      <c r="R87" s="175" t="s">
        <v>179</v>
      </c>
      <c r="S87" s="177"/>
      <c r="T87" s="177"/>
      <c r="U87" s="175">
        <v>0</v>
      </c>
      <c r="V87" s="178">
        <v>700</v>
      </c>
      <c r="W87" s="179"/>
      <c r="X87" s="177"/>
      <c r="Y87" s="177"/>
      <c r="Z87" s="177"/>
      <c r="AA87" s="177"/>
      <c r="AB87" s="180"/>
      <c r="AC87" s="174">
        <v>160.19999999999999</v>
      </c>
      <c r="AD87" s="177">
        <v>-110</v>
      </c>
      <c r="AE87" s="177">
        <v>4.1399999999999997</v>
      </c>
      <c r="AF87" s="177">
        <v>-0.56999999999999995</v>
      </c>
      <c r="AG87" s="177">
        <v>109.8</v>
      </c>
      <c r="AH87" s="177">
        <v>-110</v>
      </c>
      <c r="AI87" s="177">
        <v>3.61</v>
      </c>
      <c r="AJ87" s="174">
        <v>-0.48</v>
      </c>
      <c r="AK87" s="181" t="s">
        <v>142</v>
      </c>
      <c r="AL87" s="182" t="s">
        <v>167</v>
      </c>
      <c r="AM87" s="183"/>
      <c r="AN87" s="182"/>
      <c r="AO87" s="191"/>
      <c r="AP87" s="192"/>
      <c r="AQ87" s="193"/>
      <c r="AR87" s="186"/>
      <c r="AS87" s="187"/>
      <c r="AT87" s="188"/>
      <c r="AU87" s="187"/>
      <c r="AV87" s="187"/>
      <c r="AW87" s="177"/>
      <c r="AX87" s="177"/>
      <c r="AY87" s="177"/>
      <c r="AZ87" s="177"/>
      <c r="BA87" s="187"/>
      <c r="BB87" s="180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189"/>
    </row>
    <row r="88" spans="1:70" s="190" customFormat="1">
      <c r="A88" s="176">
        <v>86</v>
      </c>
      <c r="F88" s="170">
        <v>43118.753229166665</v>
      </c>
      <c r="G88" s="171">
        <v>43118.755231481482</v>
      </c>
      <c r="H88" s="172">
        <f t="shared" si="15"/>
        <v>2.0023148172185756E-3</v>
      </c>
      <c r="I88" s="173">
        <v>31.58</v>
      </c>
      <c r="J88" s="174"/>
      <c r="K88" s="175" t="s">
        <v>56</v>
      </c>
      <c r="L88" s="175" t="s">
        <v>57</v>
      </c>
      <c r="M88" s="175">
        <v>-369</v>
      </c>
      <c r="N88" s="176">
        <v>1</v>
      </c>
      <c r="O88" s="176">
        <v>200</v>
      </c>
      <c r="P88" s="175">
        <v>420</v>
      </c>
      <c r="Q88" s="175" t="s">
        <v>150</v>
      </c>
      <c r="R88" s="175" t="s">
        <v>179</v>
      </c>
      <c r="S88" s="177"/>
      <c r="T88" s="177"/>
      <c r="U88" s="175">
        <v>0</v>
      </c>
      <c r="V88" s="178">
        <v>2100</v>
      </c>
      <c r="W88" s="179"/>
      <c r="X88" s="177"/>
      <c r="Y88" s="177"/>
      <c r="Z88" s="177"/>
      <c r="AA88" s="177"/>
      <c r="AB88" s="180"/>
      <c r="AC88" s="174">
        <v>160.19999999999999</v>
      </c>
      <c r="AD88" s="177">
        <v>-110</v>
      </c>
      <c r="AE88" s="177">
        <v>4.1399999999999997</v>
      </c>
      <c r="AF88" s="177">
        <v>-0.56999999999999995</v>
      </c>
      <c r="AG88" s="177">
        <v>109.8</v>
      </c>
      <c r="AH88" s="177">
        <v>-110</v>
      </c>
      <c r="AI88" s="177">
        <v>3.61</v>
      </c>
      <c r="AJ88" s="174">
        <v>-0.48</v>
      </c>
      <c r="AK88" s="181" t="s">
        <v>142</v>
      </c>
      <c r="AL88" s="182" t="s">
        <v>168</v>
      </c>
      <c r="AM88" s="183"/>
      <c r="AN88" s="182"/>
      <c r="AO88" s="209"/>
      <c r="AP88" s="209"/>
      <c r="AQ88" s="210"/>
      <c r="AR88" s="211"/>
      <c r="AS88" s="212"/>
      <c r="AT88" s="213"/>
      <c r="AU88" s="187"/>
      <c r="AV88" s="187"/>
      <c r="AW88" s="177"/>
      <c r="AX88" s="177"/>
      <c r="AY88" s="177"/>
      <c r="AZ88" s="177"/>
      <c r="BA88" s="187"/>
      <c r="BB88" s="180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  <c r="BR88" s="189"/>
    </row>
    <row r="89" spans="1:70" s="190" customFormat="1">
      <c r="A89" s="176">
        <v>87</v>
      </c>
      <c r="F89" s="170">
        <v>43118.756689814814</v>
      </c>
      <c r="G89" s="171">
        <v>43118.759050925924</v>
      </c>
      <c r="H89" s="172">
        <f t="shared" ref="H89" si="16">G89-F89</f>
        <v>2.3611111100763083E-3</v>
      </c>
      <c r="I89" s="173">
        <v>31.53</v>
      </c>
      <c r="J89" s="174"/>
      <c r="K89" s="175" t="s">
        <v>56</v>
      </c>
      <c r="L89" s="175" t="s">
        <v>57</v>
      </c>
      <c r="M89" s="175">
        <v>-369</v>
      </c>
      <c r="N89" s="176">
        <v>1</v>
      </c>
      <c r="O89" s="176">
        <v>200</v>
      </c>
      <c r="P89" s="175">
        <v>345</v>
      </c>
      <c r="Q89" s="175" t="s">
        <v>113</v>
      </c>
      <c r="R89" s="175" t="s">
        <v>179</v>
      </c>
      <c r="S89" s="177"/>
      <c r="T89" s="177"/>
      <c r="U89" s="175">
        <v>983</v>
      </c>
      <c r="V89" s="178">
        <v>1600</v>
      </c>
      <c r="W89" s="179">
        <v>10</v>
      </c>
      <c r="X89" s="177">
        <v>33069</v>
      </c>
      <c r="Y89" s="177">
        <v>580807</v>
      </c>
      <c r="Z89" s="177">
        <v>5674688</v>
      </c>
      <c r="AA89" s="177">
        <v>1451930</v>
      </c>
      <c r="AB89" s="180">
        <v>4257057</v>
      </c>
      <c r="AC89" s="174">
        <v>160.19999999999999</v>
      </c>
      <c r="AD89" s="177">
        <v>-110</v>
      </c>
      <c r="AE89" s="177">
        <v>4.1399999999999997</v>
      </c>
      <c r="AF89" s="177">
        <v>-0.56999999999999995</v>
      </c>
      <c r="AG89" s="177">
        <v>109.8</v>
      </c>
      <c r="AH89" s="177">
        <v>-110</v>
      </c>
      <c r="AI89" s="177">
        <v>3.61</v>
      </c>
      <c r="AJ89" s="174">
        <v>-0.47</v>
      </c>
      <c r="AK89" s="181" t="s">
        <v>142</v>
      </c>
      <c r="AL89" s="182" t="s">
        <v>169</v>
      </c>
      <c r="AM89" s="183"/>
      <c r="AN89" s="182"/>
      <c r="AO89" s="209"/>
      <c r="AP89" s="209"/>
      <c r="AQ89" s="210"/>
      <c r="AR89" s="211"/>
      <c r="AS89" s="212"/>
      <c r="AT89" s="213"/>
      <c r="AU89" s="187"/>
      <c r="AV89" s="187"/>
      <c r="AW89" s="177"/>
      <c r="AX89" s="177"/>
      <c r="AY89" s="177"/>
      <c r="AZ89" s="177"/>
      <c r="BA89" s="187"/>
      <c r="BB89" s="180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89"/>
      <c r="BO89" s="189"/>
      <c r="BP89" s="189"/>
      <c r="BQ89" s="189"/>
      <c r="BR89" s="189"/>
    </row>
    <row r="90" spans="1:70" s="190" customFormat="1">
      <c r="A90" s="176">
        <v>88</v>
      </c>
      <c r="F90" s="170">
        <v>43118.759236111109</v>
      </c>
      <c r="G90" s="171">
        <v>43118.76290509259</v>
      </c>
      <c r="H90" s="172">
        <f t="shared" ref="H90" si="17">G90-F90</f>
        <v>3.6689814805868082E-3</v>
      </c>
      <c r="I90" s="173">
        <v>31.53</v>
      </c>
      <c r="J90" s="174"/>
      <c r="K90" s="175" t="s">
        <v>56</v>
      </c>
      <c r="L90" s="175" t="s">
        <v>57</v>
      </c>
      <c r="M90" s="175">
        <v>-369</v>
      </c>
      <c r="N90" s="176">
        <v>1</v>
      </c>
      <c r="O90" s="176">
        <v>200</v>
      </c>
      <c r="P90" s="175">
        <v>347</v>
      </c>
      <c r="Q90" s="175" t="s">
        <v>113</v>
      </c>
      <c r="R90" s="175" t="s">
        <v>179</v>
      </c>
      <c r="S90" s="177"/>
      <c r="T90" s="177"/>
      <c r="U90" s="175">
        <v>983</v>
      </c>
      <c r="V90" s="178">
        <v>1600</v>
      </c>
      <c r="W90" s="179">
        <v>10</v>
      </c>
      <c r="X90" s="177">
        <v>33106</v>
      </c>
      <c r="Y90" s="177">
        <v>579548</v>
      </c>
      <c r="Z90" s="177">
        <v>5019109</v>
      </c>
      <c r="AA90" s="177">
        <v>1529355</v>
      </c>
      <c r="AB90" s="180">
        <v>3515039</v>
      </c>
      <c r="AC90" s="174">
        <v>160.19999999999999</v>
      </c>
      <c r="AD90" s="177">
        <v>-110</v>
      </c>
      <c r="AE90" s="177">
        <v>4.1399999999999997</v>
      </c>
      <c r="AF90" s="177">
        <v>-0.56999999999999995</v>
      </c>
      <c r="AG90" s="177">
        <v>109.8</v>
      </c>
      <c r="AH90" s="177">
        <v>-110</v>
      </c>
      <c r="AI90" s="177">
        <v>3.61</v>
      </c>
      <c r="AJ90" s="174">
        <v>-0.47</v>
      </c>
      <c r="AK90" s="181" t="s">
        <v>142</v>
      </c>
      <c r="AL90" s="182" t="s">
        <v>170</v>
      </c>
      <c r="AM90" s="183"/>
      <c r="AN90" s="182"/>
      <c r="AO90" s="191"/>
      <c r="AP90" s="192"/>
      <c r="AQ90" s="193"/>
      <c r="AR90" s="186"/>
      <c r="AS90" s="187"/>
      <c r="AT90" s="188"/>
      <c r="AU90" s="187"/>
      <c r="AV90" s="187"/>
      <c r="AW90" s="177"/>
      <c r="AX90" s="177"/>
      <c r="AY90" s="177"/>
      <c r="AZ90" s="177"/>
      <c r="BA90" s="187"/>
      <c r="BB90" s="180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189"/>
    </row>
    <row r="91" spans="1:70" s="190" customFormat="1">
      <c r="A91" s="176">
        <v>89</v>
      </c>
      <c r="F91" s="170">
        <v>43118.76290509259</v>
      </c>
      <c r="G91" s="171">
        <v>43118.769143518519</v>
      </c>
      <c r="H91" s="172">
        <f t="shared" ref="H91" si="18">G91-F91</f>
        <v>6.2384259290411137E-3</v>
      </c>
      <c r="I91" s="173">
        <v>31.53</v>
      </c>
      <c r="J91" s="174"/>
      <c r="K91" s="175" t="s">
        <v>56</v>
      </c>
      <c r="L91" s="175" t="s">
        <v>57</v>
      </c>
      <c r="M91" s="175">
        <v>-369</v>
      </c>
      <c r="N91" s="176">
        <v>1</v>
      </c>
      <c r="O91" s="176">
        <v>200</v>
      </c>
      <c r="P91" s="175">
        <v>347</v>
      </c>
      <c r="Q91" s="175" t="s">
        <v>113</v>
      </c>
      <c r="R91" s="175" t="s">
        <v>171</v>
      </c>
      <c r="S91" s="177"/>
      <c r="T91" s="177"/>
      <c r="U91" s="175">
        <v>983</v>
      </c>
      <c r="V91" s="178">
        <v>1600</v>
      </c>
      <c r="W91" s="179">
        <v>10</v>
      </c>
      <c r="X91" s="177">
        <v>32766</v>
      </c>
      <c r="Y91" s="177">
        <v>580142</v>
      </c>
      <c r="Z91" s="177">
        <v>5024183</v>
      </c>
      <c r="AA91" s="177">
        <v>1527336</v>
      </c>
      <c r="AB91" s="180">
        <v>3522469</v>
      </c>
      <c r="AC91" s="174">
        <v>160.19999999999999</v>
      </c>
      <c r="AD91" s="177">
        <v>-110</v>
      </c>
      <c r="AE91" s="177">
        <v>4.1399999999999997</v>
      </c>
      <c r="AF91" s="177">
        <v>-0.56999999999999995</v>
      </c>
      <c r="AG91" s="177">
        <v>109.8</v>
      </c>
      <c r="AH91" s="177">
        <v>-110</v>
      </c>
      <c r="AI91" s="177">
        <v>3.61</v>
      </c>
      <c r="AJ91" s="174">
        <v>-0.47</v>
      </c>
      <c r="AK91" s="181" t="s">
        <v>142</v>
      </c>
      <c r="AL91" s="182" t="s">
        <v>172</v>
      </c>
      <c r="AM91" s="183"/>
      <c r="AN91" s="182"/>
      <c r="AO91" s="191"/>
      <c r="AP91" s="192"/>
      <c r="AQ91" s="193"/>
      <c r="AR91" s="186"/>
      <c r="AS91" s="187"/>
      <c r="AT91" s="188"/>
      <c r="AU91" s="187"/>
      <c r="AV91" s="187"/>
      <c r="AW91" s="177"/>
      <c r="AX91" s="177"/>
      <c r="AY91" s="177"/>
      <c r="AZ91" s="177"/>
      <c r="BA91" s="187"/>
      <c r="BB91" s="180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</row>
    <row r="92" spans="1:70" s="190" customFormat="1">
      <c r="A92" s="176">
        <v>90</v>
      </c>
      <c r="F92" s="170">
        <v>43118.769305555557</v>
      </c>
      <c r="G92" s="171">
        <v>43118.770925925928</v>
      </c>
      <c r="H92" s="172">
        <f t="shared" ref="H92" si="19">G92-F92</f>
        <v>1.6203703708015382E-3</v>
      </c>
      <c r="I92" s="173">
        <v>31.53</v>
      </c>
      <c r="J92" s="174"/>
      <c r="K92" s="175" t="s">
        <v>56</v>
      </c>
      <c r="L92" s="175" t="s">
        <v>57</v>
      </c>
      <c r="M92" s="175">
        <v>-369</v>
      </c>
      <c r="N92" s="176">
        <v>1</v>
      </c>
      <c r="O92" s="176">
        <v>200</v>
      </c>
      <c r="P92" s="175">
        <v>347</v>
      </c>
      <c r="Q92" s="175" t="s">
        <v>113</v>
      </c>
      <c r="R92" s="175" t="s">
        <v>171</v>
      </c>
      <c r="S92" s="177"/>
      <c r="T92" s="177"/>
      <c r="U92" s="175">
        <v>983</v>
      </c>
      <c r="V92" s="178">
        <v>1500</v>
      </c>
      <c r="W92" s="179">
        <v>10</v>
      </c>
      <c r="X92" s="177">
        <v>33081</v>
      </c>
      <c r="Y92" s="177">
        <v>581227</v>
      </c>
      <c r="Z92" s="177">
        <v>5044825</v>
      </c>
      <c r="AA92" s="177">
        <v>1534453</v>
      </c>
      <c r="AB92" s="180">
        <v>3535867</v>
      </c>
      <c r="AC92" s="174">
        <v>160.19999999999999</v>
      </c>
      <c r="AD92" s="177">
        <v>-110</v>
      </c>
      <c r="AE92" s="177">
        <v>4.1399999999999997</v>
      </c>
      <c r="AF92" s="177">
        <v>-0.56999999999999995</v>
      </c>
      <c r="AG92" s="177">
        <v>109.8</v>
      </c>
      <c r="AH92" s="177">
        <v>-110</v>
      </c>
      <c r="AI92" s="177">
        <v>3.61</v>
      </c>
      <c r="AJ92" s="174">
        <v>-0.47</v>
      </c>
      <c r="AK92" s="181" t="s">
        <v>142</v>
      </c>
      <c r="AL92" s="182" t="s">
        <v>173</v>
      </c>
      <c r="AM92" s="183"/>
      <c r="AN92" s="182"/>
      <c r="AO92" s="191"/>
      <c r="AP92" s="192"/>
      <c r="AQ92" s="193"/>
      <c r="AR92" s="186"/>
      <c r="AS92" s="187"/>
      <c r="AT92" s="188"/>
      <c r="AU92" s="187"/>
      <c r="AV92" s="187"/>
      <c r="AW92" s="177"/>
      <c r="AX92" s="177"/>
      <c r="AY92" s="177"/>
      <c r="AZ92" s="177"/>
      <c r="BA92" s="187"/>
      <c r="BB92" s="180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</row>
    <row r="93" spans="1:70" s="190" customFormat="1">
      <c r="A93" s="176">
        <v>91</v>
      </c>
      <c r="F93" s="170">
        <v>43118.771134259259</v>
      </c>
      <c r="G93" s="171">
        <v>43118.783009259256</v>
      </c>
      <c r="H93" s="172">
        <f t="shared" ref="H93" si="20">G93-F93</f>
        <v>1.187499999650754E-2</v>
      </c>
      <c r="I93" s="173">
        <v>31.53</v>
      </c>
      <c r="J93" s="174"/>
      <c r="K93" s="175" t="s">
        <v>56</v>
      </c>
      <c r="L93" s="175" t="s">
        <v>57</v>
      </c>
      <c r="M93" s="175">
        <v>-369</v>
      </c>
      <c r="N93" s="176">
        <v>1</v>
      </c>
      <c r="O93" s="176">
        <v>200</v>
      </c>
      <c r="P93" s="175">
        <v>347</v>
      </c>
      <c r="Q93" s="175" t="s">
        <v>113</v>
      </c>
      <c r="R93" s="175" t="s">
        <v>171</v>
      </c>
      <c r="S93" s="177"/>
      <c r="T93" s="177"/>
      <c r="U93" s="175">
        <v>983</v>
      </c>
      <c r="V93" s="178">
        <v>1400</v>
      </c>
      <c r="W93" s="179">
        <v>10</v>
      </c>
      <c r="X93" s="177">
        <v>32851</v>
      </c>
      <c r="Y93" s="177">
        <v>580428</v>
      </c>
      <c r="Z93" s="177">
        <v>5028748</v>
      </c>
      <c r="AA93" s="177">
        <v>1534828</v>
      </c>
      <c r="AB93" s="180">
        <v>3519345</v>
      </c>
      <c r="AC93" s="174">
        <v>160.19999999999999</v>
      </c>
      <c r="AD93" s="177">
        <v>-110</v>
      </c>
      <c r="AE93" s="177">
        <v>4.1399999999999997</v>
      </c>
      <c r="AF93" s="177">
        <v>-0.56999999999999995</v>
      </c>
      <c r="AG93" s="177">
        <v>109.8</v>
      </c>
      <c r="AH93" s="177">
        <v>-110</v>
      </c>
      <c r="AI93" s="177">
        <v>3.61</v>
      </c>
      <c r="AJ93" s="174">
        <v>-0.47</v>
      </c>
      <c r="AK93" s="181" t="s">
        <v>142</v>
      </c>
      <c r="AL93" s="182" t="s">
        <v>174</v>
      </c>
      <c r="AM93" s="183"/>
      <c r="AN93" s="182"/>
      <c r="AO93" s="191"/>
      <c r="AP93" s="192"/>
      <c r="AQ93" s="193"/>
      <c r="AR93" s="186"/>
      <c r="AS93" s="187"/>
      <c r="AT93" s="188"/>
      <c r="AU93" s="187"/>
      <c r="AV93" s="187"/>
      <c r="AW93" s="177"/>
      <c r="AX93" s="177"/>
      <c r="AY93" s="177"/>
      <c r="AZ93" s="177"/>
      <c r="BA93" s="187"/>
      <c r="BB93" s="180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89"/>
      <c r="BO93" s="189"/>
      <c r="BP93" s="189"/>
      <c r="BQ93" s="189"/>
      <c r="BR93" s="189"/>
    </row>
    <row r="94" spans="1:70">
      <c r="A94" s="108">
        <v>92</v>
      </c>
      <c r="F94" s="28">
        <v>43118.783541666664</v>
      </c>
      <c r="G94" s="45">
        <v>43118.789479166669</v>
      </c>
      <c r="H94" s="53">
        <f>G94-F94-'user time'!E63</f>
        <v>5.520833338863107E-3</v>
      </c>
      <c r="I94" s="86">
        <v>31.53</v>
      </c>
      <c r="J94" s="109"/>
      <c r="K94" s="88" t="s">
        <v>56</v>
      </c>
      <c r="L94" s="88" t="s">
        <v>57</v>
      </c>
      <c r="M94" s="88">
        <v>-369</v>
      </c>
      <c r="N94" s="108">
        <v>1</v>
      </c>
      <c r="O94" s="108">
        <v>200</v>
      </c>
      <c r="P94" s="88">
        <v>347</v>
      </c>
      <c r="Q94" s="88" t="s">
        <v>113</v>
      </c>
      <c r="R94" s="88" t="s">
        <v>203</v>
      </c>
      <c r="U94" s="88">
        <v>983</v>
      </c>
      <c r="V94" s="90">
        <v>1500</v>
      </c>
      <c r="W94" s="111">
        <f>W93</f>
        <v>10</v>
      </c>
      <c r="AA94" s="110">
        <f>AA93</f>
        <v>1534828</v>
      </c>
      <c r="AB94" s="112">
        <f>AB93</f>
        <v>3519345</v>
      </c>
      <c r="AC94" s="109">
        <v>160.19999999999999</v>
      </c>
      <c r="AD94" s="110">
        <v>-110</v>
      </c>
      <c r="AE94" s="110">
        <v>4.1399999999999997</v>
      </c>
      <c r="AF94" s="110">
        <v>-0.56999999999999995</v>
      </c>
      <c r="AG94" s="110">
        <v>109.8</v>
      </c>
      <c r="AH94" s="110">
        <v>-110</v>
      </c>
      <c r="AI94" s="110">
        <v>3.61</v>
      </c>
      <c r="AJ94" s="109">
        <v>-0.47</v>
      </c>
      <c r="AK94" s="113" t="s">
        <v>142</v>
      </c>
      <c r="AL94" s="107" t="s">
        <v>175</v>
      </c>
      <c r="AN94" s="107">
        <f>AN95</f>
        <v>0.91200000000000003</v>
      </c>
      <c r="AO94" s="48">
        <f>(HOUR(H94)*60*60+MINUTE(H94)*60+SECOND(H94))/5.52*AA94/W94*AN94</f>
        <v>12095779.27304348</v>
      </c>
      <c r="AP94" s="156">
        <f t="shared" ref="AP94" si="21">AO94*0.7</f>
        <v>8467045.4911304358</v>
      </c>
      <c r="AQ94" s="161">
        <f>AP94</f>
        <v>8467045.4911304358</v>
      </c>
      <c r="AR94" s="163">
        <f>H94</f>
        <v>5.520833338863107E-3</v>
      </c>
      <c r="AS94" s="49">
        <f>I94*(HOUR(H94)*60+MINUTE(H94))/60/(7*24)</f>
        <v>2.1895833333333333E-2</v>
      </c>
      <c r="AT94" s="165">
        <f>AS94</f>
        <v>2.1895833333333333E-2</v>
      </c>
      <c r="AU94" s="254">
        <f>AA94/W94*AN94</f>
        <v>139976.31359999999</v>
      </c>
      <c r="AV94" s="255">
        <f>AB94/W94+AA94/W94*(1-AN94)</f>
        <v>365440.98639999999</v>
      </c>
      <c r="AW94" s="256">
        <f>AU94/AV94</f>
        <v>0.38303397486670093</v>
      </c>
    </row>
    <row r="95" spans="1:70">
      <c r="A95" s="108">
        <v>93</v>
      </c>
      <c r="F95" s="28">
        <v>43118.790046296293</v>
      </c>
      <c r="G95" s="45">
        <v>43118.820462962962</v>
      </c>
      <c r="H95" s="53">
        <f>G95-F95-'user time'!E64</f>
        <v>2.9930555557204808E-2</v>
      </c>
      <c r="I95" s="86">
        <v>31.54</v>
      </c>
      <c r="J95" s="109"/>
      <c r="K95" s="88" t="s">
        <v>56</v>
      </c>
      <c r="L95" s="88" t="s">
        <v>57</v>
      </c>
      <c r="M95" s="88">
        <v>-369</v>
      </c>
      <c r="N95" s="108">
        <v>1</v>
      </c>
      <c r="O95" s="108">
        <v>200</v>
      </c>
      <c r="P95" s="88">
        <v>347</v>
      </c>
      <c r="Q95" s="88" t="s">
        <v>113</v>
      </c>
      <c r="R95" s="88" t="s">
        <v>203</v>
      </c>
      <c r="S95" s="110">
        <v>5803</v>
      </c>
      <c r="T95" s="110">
        <v>333</v>
      </c>
      <c r="U95" s="88">
        <v>983</v>
      </c>
      <c r="V95" s="90">
        <v>1500</v>
      </c>
      <c r="W95" s="111">
        <v>10</v>
      </c>
      <c r="X95" s="110">
        <v>32647</v>
      </c>
      <c r="Y95" s="110">
        <v>579616</v>
      </c>
      <c r="Z95" s="110">
        <v>5034073</v>
      </c>
      <c r="AA95" s="110">
        <v>1526986</v>
      </c>
      <c r="AB95" s="112">
        <v>3533840</v>
      </c>
      <c r="AC95" s="109">
        <v>160.1</v>
      </c>
      <c r="AD95" s="110">
        <v>-109.9</v>
      </c>
      <c r="AE95" s="110">
        <v>4.1399999999999997</v>
      </c>
      <c r="AF95" s="110">
        <v>-0.56999999999999995</v>
      </c>
      <c r="AG95" s="110">
        <v>109.8</v>
      </c>
      <c r="AH95" s="110">
        <v>-110</v>
      </c>
      <c r="AI95" s="110">
        <v>3.61</v>
      </c>
      <c r="AJ95" s="109">
        <v>-0.48</v>
      </c>
      <c r="AK95" s="113" t="s">
        <v>142</v>
      </c>
      <c r="AL95" s="107" t="s">
        <v>215</v>
      </c>
      <c r="AN95" s="107">
        <v>0.91200000000000003</v>
      </c>
      <c r="AO95" s="48">
        <f t="shared" ref="AO95:AO102" si="22">(HOUR(H95)*60*60+MINUTE(H95)*60+SECOND(H95))/5.52*AA95/W95*AN95</f>
        <v>65240808.803478278</v>
      </c>
      <c r="AP95" s="156">
        <f>AO95*0.7</f>
        <v>45668566.162434794</v>
      </c>
      <c r="AQ95" s="161">
        <f>AP95+AQ94</f>
        <v>54135611.653565228</v>
      </c>
      <c r="AR95" s="163">
        <f>H95+AR94</f>
        <v>3.5451388896067915E-2</v>
      </c>
      <c r="AS95" s="49">
        <f t="shared" ref="AS95" si="23">I95*(HOUR(H95)*60+MINUTE(H95))/60/(7*24)</f>
        <v>0.13454563492063493</v>
      </c>
      <c r="AT95" s="165">
        <f>AS95+AT94</f>
        <v>0.15644146825396826</v>
      </c>
      <c r="AU95" s="254">
        <f t="shared" ref="AU95:AU102" si="24">AA95/W95*AN95</f>
        <v>139261.1232</v>
      </c>
      <c r="AV95" s="255">
        <f t="shared" ref="AV95:AV102" si="25">AB95/W95+AA95/W95*(1-AN95)</f>
        <v>366821.4768</v>
      </c>
      <c r="AW95" s="256">
        <f t="shared" ref="AW95:AW102" si="26">AU95/AV95</f>
        <v>0.37964277450398182</v>
      </c>
    </row>
    <row r="96" spans="1:70">
      <c r="A96" s="108">
        <v>94</v>
      </c>
      <c r="F96" s="28">
        <v>43118.823923611111</v>
      </c>
      <c r="G96" s="45">
        <v>43118.839965277781</v>
      </c>
      <c r="H96" s="53">
        <f t="shared" ref="H96" si="27">G96-F96</f>
        <v>1.6041666669480037E-2</v>
      </c>
      <c r="I96" s="86">
        <v>31.57</v>
      </c>
      <c r="J96" s="109"/>
      <c r="K96" s="88" t="s">
        <v>56</v>
      </c>
      <c r="L96" s="88" t="s">
        <v>57</v>
      </c>
      <c r="M96" s="88">
        <v>-369</v>
      </c>
      <c r="N96" s="108">
        <v>1</v>
      </c>
      <c r="O96" s="108">
        <v>200</v>
      </c>
      <c r="P96" s="88">
        <v>347</v>
      </c>
      <c r="Q96" s="88" t="s">
        <v>113</v>
      </c>
      <c r="R96" s="88" t="s">
        <v>203</v>
      </c>
      <c r="S96" s="110">
        <v>6125</v>
      </c>
      <c r="T96" s="110">
        <v>370</v>
      </c>
      <c r="U96" s="88">
        <v>983</v>
      </c>
      <c r="V96" s="90">
        <v>1500</v>
      </c>
      <c r="W96" s="111">
        <v>10</v>
      </c>
      <c r="X96" s="110">
        <v>32746</v>
      </c>
      <c r="Y96" s="110">
        <v>582366</v>
      </c>
      <c r="Z96" s="110">
        <v>5035906</v>
      </c>
      <c r="AA96" s="110">
        <v>1527979</v>
      </c>
      <c r="AB96" s="112">
        <v>3534757</v>
      </c>
      <c r="AC96" s="109">
        <v>160.1</v>
      </c>
      <c r="AD96" s="110">
        <v>-110</v>
      </c>
      <c r="AE96" s="110">
        <v>4.1399999999999997</v>
      </c>
      <c r="AF96" s="110">
        <v>-0.56999999999999995</v>
      </c>
      <c r="AG96" s="110">
        <v>109.8</v>
      </c>
      <c r="AH96" s="110">
        <v>-110</v>
      </c>
      <c r="AI96" s="110">
        <v>3.61</v>
      </c>
      <c r="AJ96" s="109">
        <v>-0.47</v>
      </c>
      <c r="AK96" s="113" t="s">
        <v>142</v>
      </c>
      <c r="AL96" s="107" t="s">
        <v>215</v>
      </c>
      <c r="AN96" s="107">
        <v>0.91400000000000003</v>
      </c>
      <c r="AO96" s="48">
        <f t="shared" si="22"/>
        <v>35066121.541956529</v>
      </c>
      <c r="AP96" s="156">
        <f t="shared" ref="AP96:AP102" si="28">AO96*0.7</f>
        <v>24546285.079369567</v>
      </c>
      <c r="AQ96" s="161">
        <f t="shared" ref="AQ96:AQ97" si="29">AP96+AQ95</f>
        <v>78681896.732934803</v>
      </c>
      <c r="AR96" s="163">
        <f t="shared" ref="AR96:AR97" si="30">H96+AR95</f>
        <v>5.1493055565547952E-2</v>
      </c>
      <c r="AS96" s="49">
        <f t="shared" ref="AS96:AS97" si="31">I96*(HOUR(H96)*60+MINUTE(H96))/60/(7*24)</f>
        <v>7.2034722222222222E-2</v>
      </c>
      <c r="AT96" s="165">
        <f t="shared" ref="AT96:AT97" si="32">AS96+AT95</f>
        <v>0.2284761904761905</v>
      </c>
      <c r="AU96" s="254">
        <f t="shared" si="24"/>
        <v>139657.2806</v>
      </c>
      <c r="AV96" s="255">
        <f t="shared" si="25"/>
        <v>366616.31939999998</v>
      </c>
      <c r="AW96" s="256">
        <f t="shared" si="26"/>
        <v>0.38093579911707554</v>
      </c>
    </row>
    <row r="97" spans="1:70">
      <c r="A97" s="108">
        <v>95</v>
      </c>
      <c r="F97" s="28">
        <v>43118.851597222223</v>
      </c>
      <c r="G97" s="45">
        <v>43118.867175925923</v>
      </c>
      <c r="H97" s="53">
        <f t="shared" ref="H97" si="33">G97-F97</f>
        <v>1.5578703700157348E-2</v>
      </c>
      <c r="I97" s="86">
        <v>31.53</v>
      </c>
      <c r="J97" s="109"/>
      <c r="K97" s="88" t="s">
        <v>56</v>
      </c>
      <c r="L97" s="88" t="s">
        <v>57</v>
      </c>
      <c r="M97" s="88">
        <v>-369</v>
      </c>
      <c r="N97" s="108">
        <v>1</v>
      </c>
      <c r="O97" s="108">
        <v>200</v>
      </c>
      <c r="P97" s="88">
        <v>347</v>
      </c>
      <c r="Q97" s="88" t="s">
        <v>113</v>
      </c>
      <c r="R97" s="88" t="s">
        <v>203</v>
      </c>
      <c r="S97" s="110">
        <v>6000</v>
      </c>
      <c r="T97" s="110">
        <v>340</v>
      </c>
      <c r="U97" s="88">
        <v>983</v>
      </c>
      <c r="V97" s="90">
        <v>1500</v>
      </c>
      <c r="W97" s="111">
        <v>10</v>
      </c>
      <c r="X97" s="110">
        <v>32726</v>
      </c>
      <c r="Y97" s="110">
        <v>580597</v>
      </c>
      <c r="Z97" s="110">
        <v>5034556</v>
      </c>
      <c r="AA97" s="110">
        <v>1529822</v>
      </c>
      <c r="AB97" s="112">
        <v>3531287</v>
      </c>
      <c r="AC97" s="109">
        <v>160.19999999999999</v>
      </c>
      <c r="AD97" s="110">
        <v>-110</v>
      </c>
      <c r="AE97" s="110">
        <v>4.1399999999999997</v>
      </c>
      <c r="AF97" s="110">
        <v>-0.56999999999999995</v>
      </c>
      <c r="AG97" s="110">
        <v>109.8</v>
      </c>
      <c r="AH97" s="110">
        <v>-110</v>
      </c>
      <c r="AI97" s="110">
        <v>3.61</v>
      </c>
      <c r="AJ97" s="109">
        <v>-0.47</v>
      </c>
      <c r="AK97" s="113" t="s">
        <v>142</v>
      </c>
      <c r="AL97" s="107" t="s">
        <v>215</v>
      </c>
      <c r="AN97" s="107">
        <v>0.91700000000000004</v>
      </c>
      <c r="AO97" s="48">
        <f t="shared" si="22"/>
        <v>34207097.061666667</v>
      </c>
      <c r="AP97" s="156">
        <f t="shared" si="28"/>
        <v>23944967.943166666</v>
      </c>
      <c r="AQ97" s="161">
        <f t="shared" si="29"/>
        <v>102626864.67610148</v>
      </c>
      <c r="AR97" s="163">
        <f t="shared" si="30"/>
        <v>6.70717592657053E-2</v>
      </c>
      <c r="AS97" s="49">
        <f t="shared" si="31"/>
        <v>6.8815476190476205E-2</v>
      </c>
      <c r="AT97" s="165">
        <f t="shared" si="32"/>
        <v>0.29729166666666673</v>
      </c>
      <c r="AU97" s="254">
        <f t="shared" si="24"/>
        <v>140284.67740000002</v>
      </c>
      <c r="AV97" s="255">
        <f t="shared" si="25"/>
        <v>365826.22259999998</v>
      </c>
      <c r="AW97" s="256">
        <f t="shared" si="26"/>
        <v>0.38347354217247964</v>
      </c>
    </row>
    <row r="98" spans="1:70">
      <c r="A98" s="108">
        <v>96</v>
      </c>
      <c r="F98" s="28">
        <v>43118.876018518517</v>
      </c>
      <c r="G98" s="45">
        <v>43118.880520833336</v>
      </c>
      <c r="H98" s="53">
        <f>G98-F98-'user time'!E68</f>
        <v>4.1319444491765278E-3</v>
      </c>
      <c r="I98" s="86">
        <v>31.56</v>
      </c>
      <c r="J98" s="109"/>
      <c r="K98" s="88" t="s">
        <v>56</v>
      </c>
      <c r="L98" s="88" t="s">
        <v>57</v>
      </c>
      <c r="M98" s="88">
        <v>-369</v>
      </c>
      <c r="N98" s="108">
        <v>1</v>
      </c>
      <c r="O98" s="108">
        <v>200</v>
      </c>
      <c r="P98" s="88">
        <v>347</v>
      </c>
      <c r="Q98" s="88" t="s">
        <v>113</v>
      </c>
      <c r="R98" s="88" t="s">
        <v>203</v>
      </c>
      <c r="S98" s="110">
        <v>6400</v>
      </c>
      <c r="T98" s="110">
        <v>356</v>
      </c>
      <c r="U98" s="88">
        <v>983</v>
      </c>
      <c r="V98" s="90">
        <v>1500</v>
      </c>
      <c r="W98" s="111">
        <v>10</v>
      </c>
      <c r="X98" s="110">
        <v>32863</v>
      </c>
      <c r="Y98" s="110">
        <v>581555</v>
      </c>
      <c r="Z98" s="110">
        <v>5037252</v>
      </c>
      <c r="AA98" s="110">
        <v>1530375</v>
      </c>
      <c r="AB98" s="112">
        <v>3532633</v>
      </c>
      <c r="AC98" s="109">
        <v>160.19999999999999</v>
      </c>
      <c r="AD98" s="110">
        <v>-109.9</v>
      </c>
      <c r="AE98" s="110">
        <v>4.1399999999999997</v>
      </c>
      <c r="AF98" s="110">
        <v>-0.56000000000000005</v>
      </c>
      <c r="AG98" s="110">
        <v>109.8</v>
      </c>
      <c r="AH98" s="110">
        <v>-110</v>
      </c>
      <c r="AI98" s="110">
        <v>3.61</v>
      </c>
      <c r="AJ98" s="109">
        <v>-0.47</v>
      </c>
      <c r="AK98" s="113" t="s">
        <v>142</v>
      </c>
      <c r="AL98" s="107" t="s">
        <v>220</v>
      </c>
      <c r="AN98" s="107">
        <f>AN97</f>
        <v>0.91700000000000004</v>
      </c>
      <c r="AO98" s="48">
        <f t="shared" si="22"/>
        <v>9076038.6480978262</v>
      </c>
      <c r="AP98" s="156">
        <f t="shared" si="28"/>
        <v>6353227.0536684776</v>
      </c>
      <c r="AQ98" s="161">
        <f t="shared" ref="AQ98:AQ102" si="34">AP98+AQ97</f>
        <v>108980091.72976996</v>
      </c>
      <c r="AR98" s="163">
        <f t="shared" ref="AR98:AR102" si="35">H98+AR97</f>
        <v>7.1203703714881827E-2</v>
      </c>
      <c r="AS98" s="49">
        <f t="shared" ref="AS98:AS102" si="36">I98*(HOUR(H98)*60+MINUTE(H98))/60/(7*24)</f>
        <v>1.5654761904761904E-2</v>
      </c>
      <c r="AT98" s="165">
        <f t="shared" ref="AT98:AT102" si="37">AS98+AT97</f>
        <v>0.31294642857142863</v>
      </c>
      <c r="AU98" s="254">
        <f t="shared" si="24"/>
        <v>140335.38750000001</v>
      </c>
      <c r="AV98" s="255">
        <f t="shared" si="25"/>
        <v>365965.41249999998</v>
      </c>
      <c r="AW98" s="256">
        <f t="shared" si="26"/>
        <v>0.38346625857709987</v>
      </c>
    </row>
    <row r="99" spans="1:70">
      <c r="A99" s="108">
        <v>97</v>
      </c>
      <c r="F99" s="28">
        <v>43118.889606481483</v>
      </c>
      <c r="G99" s="45">
        <v>43118.931250000001</v>
      </c>
      <c r="H99" s="53">
        <f t="shared" ref="H99" si="38">G99-F99</f>
        <v>4.1643518517958E-2</v>
      </c>
      <c r="I99" s="86">
        <v>31.5</v>
      </c>
      <c r="J99" s="109"/>
      <c r="K99" s="88" t="s">
        <v>56</v>
      </c>
      <c r="L99" s="88" t="s">
        <v>57</v>
      </c>
      <c r="M99" s="88">
        <v>-369</v>
      </c>
      <c r="N99" s="108">
        <v>1</v>
      </c>
      <c r="O99" s="108">
        <v>200</v>
      </c>
      <c r="P99" s="88">
        <v>347</v>
      </c>
      <c r="Q99" s="88" t="s">
        <v>113</v>
      </c>
      <c r="R99" s="88" t="s">
        <v>261</v>
      </c>
      <c r="S99" s="110">
        <v>6300</v>
      </c>
      <c r="T99" s="110">
        <v>450</v>
      </c>
      <c r="U99" s="88">
        <v>983</v>
      </c>
      <c r="V99" s="90">
        <v>1500</v>
      </c>
      <c r="W99" s="111">
        <v>10</v>
      </c>
      <c r="X99" s="110">
        <v>32855</v>
      </c>
      <c r="Y99" s="110">
        <v>579713</v>
      </c>
      <c r="Z99" s="110">
        <v>5018283</v>
      </c>
      <c r="AA99" s="110">
        <v>1529083</v>
      </c>
      <c r="AB99" s="112">
        <v>3516072</v>
      </c>
      <c r="AC99" s="109">
        <v>160.19999999999999</v>
      </c>
      <c r="AD99" s="110">
        <v>-109.9</v>
      </c>
      <c r="AE99" s="110">
        <v>4.1399999999999997</v>
      </c>
      <c r="AF99" s="110">
        <v>-0.56000000000000005</v>
      </c>
      <c r="AG99" s="110">
        <v>109.8</v>
      </c>
      <c r="AH99" s="110">
        <v>-110</v>
      </c>
      <c r="AI99" s="110">
        <v>3.61</v>
      </c>
      <c r="AJ99" s="109">
        <v>-0.47</v>
      </c>
      <c r="AK99" s="113" t="s">
        <v>142</v>
      </c>
      <c r="AL99" s="107" t="s">
        <v>262</v>
      </c>
      <c r="AN99" s="107">
        <v>0.91600000000000004</v>
      </c>
      <c r="AO99" s="48">
        <f t="shared" si="22"/>
        <v>91295340.955507264</v>
      </c>
      <c r="AP99" s="156">
        <f t="shared" si="28"/>
        <v>63906738.668855079</v>
      </c>
      <c r="AQ99" s="161">
        <f t="shared" si="34"/>
        <v>172886830.39862505</v>
      </c>
      <c r="AR99" s="163">
        <f t="shared" si="35"/>
        <v>0.11284722223283983</v>
      </c>
      <c r="AS99" s="49">
        <f t="shared" si="36"/>
        <v>0.18437500000000001</v>
      </c>
      <c r="AT99" s="165">
        <f t="shared" si="37"/>
        <v>0.49732142857142864</v>
      </c>
      <c r="AU99" s="254">
        <f t="shared" si="24"/>
        <v>140064.00279999999</v>
      </c>
      <c r="AV99" s="255">
        <f t="shared" si="25"/>
        <v>364451.49719999998</v>
      </c>
      <c r="AW99" s="256">
        <f t="shared" si="26"/>
        <v>0.38431452161969604</v>
      </c>
    </row>
    <row r="100" spans="1:70">
      <c r="A100" s="108">
        <v>98</v>
      </c>
      <c r="F100" s="28">
        <v>43118.924479166664</v>
      </c>
      <c r="G100" s="45">
        <v>43118.964224537034</v>
      </c>
      <c r="H100" s="53">
        <f>G100-F100-'user time'!E70-'user time'!E71-'user time'!E72</f>
        <v>3.8078703703261829E-2</v>
      </c>
      <c r="I100" s="86">
        <v>31.56</v>
      </c>
      <c r="J100" s="109"/>
      <c r="K100" s="88" t="s">
        <v>56</v>
      </c>
      <c r="L100" s="88" t="s">
        <v>57</v>
      </c>
      <c r="M100" s="88">
        <v>-369</v>
      </c>
      <c r="N100" s="108">
        <v>1</v>
      </c>
      <c r="O100" s="108">
        <v>200</v>
      </c>
      <c r="P100" s="88">
        <v>347</v>
      </c>
      <c r="Q100" s="88" t="s">
        <v>113</v>
      </c>
      <c r="R100" s="88" t="s">
        <v>261</v>
      </c>
      <c r="S100" s="110">
        <v>6300</v>
      </c>
      <c r="T100" s="110">
        <v>448</v>
      </c>
      <c r="U100" s="88">
        <v>983</v>
      </c>
      <c r="V100" s="90">
        <v>1500</v>
      </c>
      <c r="W100" s="111">
        <v>10</v>
      </c>
      <c r="X100" s="110">
        <v>32662</v>
      </c>
      <c r="Y100" s="110">
        <v>580122</v>
      </c>
      <c r="Z100" s="110">
        <v>5018650</v>
      </c>
      <c r="AA100" s="110">
        <v>1522763</v>
      </c>
      <c r="AB100" s="112">
        <v>3523042</v>
      </c>
      <c r="AC100" s="109">
        <v>160.19999999999999</v>
      </c>
      <c r="AD100" s="110">
        <v>-109.9</v>
      </c>
      <c r="AE100" s="110">
        <v>4.1399999999999997</v>
      </c>
      <c r="AF100" s="110">
        <v>-0.56000000000000005</v>
      </c>
      <c r="AG100" s="110">
        <v>109.8</v>
      </c>
      <c r="AH100" s="110">
        <v>-110</v>
      </c>
      <c r="AI100" s="110">
        <v>3.61</v>
      </c>
      <c r="AJ100" s="109">
        <v>-0.47</v>
      </c>
      <c r="AK100" s="113" t="s">
        <v>142</v>
      </c>
      <c r="AL100" s="107" t="s">
        <v>220</v>
      </c>
      <c r="AN100" s="107">
        <v>0.91400000000000003</v>
      </c>
      <c r="AO100" s="48">
        <f t="shared" si="22"/>
        <v>82953617.876449287</v>
      </c>
      <c r="AP100" s="156">
        <f t="shared" si="28"/>
        <v>58067532.513514496</v>
      </c>
      <c r="AQ100" s="161">
        <f t="shared" si="34"/>
        <v>230954362.91213953</v>
      </c>
      <c r="AR100" s="163">
        <f t="shared" si="35"/>
        <v>0.15092592593610166</v>
      </c>
      <c r="AS100" s="49">
        <f t="shared" si="36"/>
        <v>0.16907142857142857</v>
      </c>
      <c r="AT100" s="165">
        <f t="shared" si="37"/>
        <v>0.66639285714285723</v>
      </c>
      <c r="AU100" s="254">
        <f t="shared" si="24"/>
        <v>139180.53819999998</v>
      </c>
      <c r="AV100" s="255">
        <f t="shared" si="25"/>
        <v>365399.96179999999</v>
      </c>
      <c r="AW100" s="256">
        <f t="shared" si="26"/>
        <v>0.38089915914161976</v>
      </c>
    </row>
    <row r="101" spans="1:70">
      <c r="A101" s="108">
        <v>99</v>
      </c>
      <c r="F101" s="28">
        <v>43118.971388888887</v>
      </c>
      <c r="G101" s="45">
        <v>43118.976273148146</v>
      </c>
      <c r="H101" s="53">
        <f>G101-F101</f>
        <v>4.8842592586879618E-3</v>
      </c>
      <c r="I101" s="86">
        <v>31.52</v>
      </c>
      <c r="J101" s="109"/>
      <c r="K101" s="88" t="s">
        <v>56</v>
      </c>
      <c r="L101" s="88" t="s">
        <v>57</v>
      </c>
      <c r="M101" s="88">
        <v>-369</v>
      </c>
      <c r="N101" s="108">
        <v>1</v>
      </c>
      <c r="O101" s="108">
        <v>200</v>
      </c>
      <c r="P101" s="88">
        <v>347</v>
      </c>
      <c r="Q101" s="88" t="s">
        <v>113</v>
      </c>
      <c r="R101" s="88" t="s">
        <v>261</v>
      </c>
      <c r="S101" s="110">
        <v>6300</v>
      </c>
      <c r="T101" s="110">
        <v>430</v>
      </c>
      <c r="U101" s="88">
        <v>983</v>
      </c>
      <c r="V101" s="90">
        <v>1500</v>
      </c>
      <c r="W101" s="111">
        <v>10</v>
      </c>
      <c r="X101" s="110">
        <v>31974</v>
      </c>
      <c r="Y101" s="110">
        <v>517651</v>
      </c>
      <c r="Z101" s="110">
        <v>4469301</v>
      </c>
      <c r="AA101" s="110">
        <v>1356774</v>
      </c>
      <c r="AB101" s="112">
        <v>3136029</v>
      </c>
      <c r="AC101" s="109">
        <v>160.19999999999999</v>
      </c>
      <c r="AD101" s="110">
        <v>-109.8</v>
      </c>
      <c r="AE101" s="110">
        <v>4.1399999999999997</v>
      </c>
      <c r="AF101" s="110">
        <v>-0.56000000000000005</v>
      </c>
      <c r="AG101" s="110">
        <v>109.8</v>
      </c>
      <c r="AH101" s="110">
        <v>-110</v>
      </c>
      <c r="AI101" s="110">
        <v>3.61</v>
      </c>
      <c r="AJ101" s="109">
        <v>-0.47</v>
      </c>
      <c r="AK101" s="113" t="s">
        <v>142</v>
      </c>
      <c r="AL101" s="107" t="s">
        <v>220</v>
      </c>
      <c r="AN101" s="107">
        <v>0.91</v>
      </c>
      <c r="AO101" s="48">
        <f t="shared" si="22"/>
        <v>9438919.4108695649</v>
      </c>
      <c r="AP101" s="156">
        <f t="shared" si="28"/>
        <v>6607243.587608695</v>
      </c>
      <c r="AQ101" s="161">
        <f t="shared" si="34"/>
        <v>237561606.49974823</v>
      </c>
      <c r="AR101" s="163">
        <f t="shared" si="35"/>
        <v>0.15581018519478962</v>
      </c>
      <c r="AS101" s="49">
        <f t="shared" si="36"/>
        <v>2.1888888888888885E-2</v>
      </c>
      <c r="AT101" s="165">
        <f t="shared" si="37"/>
        <v>0.68828174603174608</v>
      </c>
      <c r="AU101" s="254">
        <f t="shared" si="24"/>
        <v>123466.43399999999</v>
      </c>
      <c r="AV101" s="255">
        <f t="shared" si="25"/>
        <v>325813.86600000004</v>
      </c>
      <c r="AW101" s="256">
        <f t="shared" si="26"/>
        <v>0.37894775785877688</v>
      </c>
    </row>
    <row r="102" spans="1:70">
      <c r="A102" s="108">
        <v>100</v>
      </c>
      <c r="F102" s="28">
        <v>43118.984027777777</v>
      </c>
      <c r="G102" s="45">
        <v>43119.01840277778</v>
      </c>
      <c r="H102" s="53">
        <f>G102-F102-'user time'!E78</f>
        <v>3.3900462965873346E-2</v>
      </c>
      <c r="I102" s="86">
        <v>31.57</v>
      </c>
      <c r="J102" s="109"/>
      <c r="K102" s="88" t="s">
        <v>56</v>
      </c>
      <c r="L102" s="88" t="s">
        <v>57</v>
      </c>
      <c r="M102" s="88">
        <v>-369</v>
      </c>
      <c r="N102" s="108">
        <v>1</v>
      </c>
      <c r="O102" s="108">
        <v>200</v>
      </c>
      <c r="P102" s="88">
        <v>347</v>
      </c>
      <c r="Q102" s="88" t="s">
        <v>113</v>
      </c>
      <c r="R102" s="88" t="s">
        <v>261</v>
      </c>
      <c r="S102" s="110">
        <v>6400</v>
      </c>
      <c r="T102" s="110">
        <v>447</v>
      </c>
      <c r="U102" s="88">
        <v>983</v>
      </c>
      <c r="V102" s="90">
        <v>1500</v>
      </c>
      <c r="W102" s="111">
        <v>10</v>
      </c>
      <c r="X102" s="110">
        <v>32679</v>
      </c>
      <c r="Y102" s="110">
        <v>582347</v>
      </c>
      <c r="Z102" s="110">
        <v>5048499</v>
      </c>
      <c r="AA102" s="110">
        <v>1528058</v>
      </c>
      <c r="AB102" s="112">
        <v>3547408</v>
      </c>
      <c r="AC102" s="109">
        <v>160.19999999999999</v>
      </c>
      <c r="AD102" s="110">
        <v>-109.8</v>
      </c>
      <c r="AE102" s="110">
        <v>4.1399999999999997</v>
      </c>
      <c r="AF102" s="110">
        <v>-0.56000000000000005</v>
      </c>
      <c r="AG102" s="110">
        <v>109.8</v>
      </c>
      <c r="AH102" s="110">
        <v>-110</v>
      </c>
      <c r="AI102" s="110">
        <v>3.61</v>
      </c>
      <c r="AJ102" s="109">
        <v>-0.47</v>
      </c>
      <c r="AK102" s="113" t="s">
        <v>142</v>
      </c>
      <c r="AL102" s="107" t="s">
        <v>220</v>
      </c>
      <c r="AN102" s="107">
        <v>0.91400000000000003</v>
      </c>
      <c r="AO102" s="48">
        <f t="shared" si="22"/>
        <v>74108210.87224637</v>
      </c>
      <c r="AP102" s="156">
        <f t="shared" si="28"/>
        <v>51875747.610572457</v>
      </c>
      <c r="AQ102" s="224">
        <f t="shared" si="34"/>
        <v>289437354.11032069</v>
      </c>
      <c r="AR102" s="225">
        <f t="shared" si="35"/>
        <v>0.18971064816066296</v>
      </c>
      <c r="AS102" s="49">
        <f t="shared" si="36"/>
        <v>0.15033333333333335</v>
      </c>
      <c r="AT102" s="226">
        <f t="shared" si="37"/>
        <v>0.8386150793650794</v>
      </c>
      <c r="AU102" s="254">
        <f t="shared" si="24"/>
        <v>139664.5012</v>
      </c>
      <c r="AV102" s="255">
        <f t="shared" si="25"/>
        <v>367882.09879999998</v>
      </c>
      <c r="AW102" s="256">
        <f t="shared" si="26"/>
        <v>0.37964473306957225</v>
      </c>
    </row>
    <row r="103" spans="1:70" s="149" customFormat="1">
      <c r="A103" s="138">
        <v>101</v>
      </c>
      <c r="F103" s="133"/>
      <c r="G103" s="133"/>
      <c r="H103" s="134"/>
      <c r="I103" s="135"/>
      <c r="J103" s="136"/>
      <c r="K103" s="137"/>
      <c r="L103" s="137"/>
      <c r="M103" s="137"/>
      <c r="N103" s="138"/>
      <c r="O103" s="138"/>
      <c r="P103" s="137"/>
      <c r="Q103" s="137"/>
      <c r="R103" s="137"/>
      <c r="S103" s="139"/>
      <c r="T103" s="139"/>
      <c r="U103" s="137"/>
      <c r="V103" s="140"/>
      <c r="W103" s="141"/>
      <c r="X103" s="139"/>
      <c r="Y103" s="139"/>
      <c r="Z103" s="139"/>
      <c r="AA103" s="139"/>
      <c r="AB103" s="142"/>
      <c r="AC103" s="136"/>
      <c r="AD103" s="139"/>
      <c r="AE103" s="139"/>
      <c r="AF103" s="139"/>
      <c r="AG103" s="139"/>
      <c r="AH103" s="139"/>
      <c r="AI103" s="139"/>
      <c r="AJ103" s="136"/>
      <c r="AK103" s="143"/>
      <c r="AL103" s="144" t="s">
        <v>89</v>
      </c>
      <c r="AM103" s="145"/>
      <c r="AN103" s="144"/>
      <c r="AO103" s="151"/>
      <c r="AP103" s="152"/>
      <c r="AQ103" s="160"/>
      <c r="AR103" s="162"/>
      <c r="AS103" s="147"/>
      <c r="AT103" s="164"/>
      <c r="AU103" s="147"/>
      <c r="AV103" s="147"/>
      <c r="AW103" s="139"/>
      <c r="AX103" s="139"/>
      <c r="AY103" s="139"/>
      <c r="AZ103" s="139"/>
      <c r="BA103" s="147"/>
      <c r="BB103" s="142"/>
      <c r="BC103" s="148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8"/>
      <c r="BQ103" s="148"/>
      <c r="BR103" s="148"/>
    </row>
    <row r="104" spans="1:70" s="190" customFormat="1">
      <c r="A104" s="176">
        <v>102</v>
      </c>
      <c r="F104" s="170">
        <v>43119.862384259257</v>
      </c>
      <c r="G104" s="171">
        <v>43119.864328703705</v>
      </c>
      <c r="H104" s="172">
        <f t="shared" ref="H104" si="39">G104-F104</f>
        <v>1.9444444478722289E-3</v>
      </c>
      <c r="I104" s="173">
        <v>31.53</v>
      </c>
      <c r="J104" s="174" t="s">
        <v>199</v>
      </c>
      <c r="K104" s="175" t="s">
        <v>56</v>
      </c>
      <c r="L104" s="175" t="s">
        <v>57</v>
      </c>
      <c r="M104" s="175">
        <v>-369</v>
      </c>
      <c r="N104" s="176">
        <v>1</v>
      </c>
      <c r="O104" s="176">
        <v>200</v>
      </c>
      <c r="P104" s="175">
        <v>347</v>
      </c>
      <c r="Q104" s="175" t="s">
        <v>58</v>
      </c>
      <c r="R104" s="175" t="s">
        <v>91</v>
      </c>
      <c r="S104" s="177"/>
      <c r="T104" s="177"/>
      <c r="U104" s="175">
        <v>983</v>
      </c>
      <c r="V104" s="178">
        <v>1500</v>
      </c>
      <c r="W104" s="179"/>
      <c r="X104" s="177"/>
      <c r="Y104" s="177"/>
      <c r="Z104" s="177"/>
      <c r="AA104" s="177"/>
      <c r="AB104" s="180"/>
      <c r="AC104" s="174">
        <v>160.1</v>
      </c>
      <c r="AD104" s="177">
        <v>-109.9</v>
      </c>
      <c r="AE104" s="177">
        <v>4.1399999999999997</v>
      </c>
      <c r="AF104" s="177">
        <v>-0.56999999999999995</v>
      </c>
      <c r="AG104" s="177">
        <v>109.8</v>
      </c>
      <c r="AH104" s="177">
        <v>-110.1</v>
      </c>
      <c r="AI104" s="177">
        <v>3.59</v>
      </c>
      <c r="AJ104" s="174">
        <v>-0.41</v>
      </c>
      <c r="AK104" s="181" t="s">
        <v>59</v>
      </c>
      <c r="AL104" s="182" t="s">
        <v>180</v>
      </c>
      <c r="AM104" s="183"/>
      <c r="AN104" s="182"/>
      <c r="AO104" s="191"/>
      <c r="AP104" s="192"/>
      <c r="AQ104" s="193"/>
      <c r="AR104" s="186"/>
      <c r="AS104" s="187"/>
      <c r="AT104" s="188"/>
      <c r="AU104" s="187"/>
      <c r="AV104" s="187"/>
      <c r="AW104" s="177"/>
      <c r="AX104" s="177"/>
      <c r="AY104" s="177"/>
      <c r="AZ104" s="177"/>
      <c r="BA104" s="187"/>
      <c r="BB104" s="180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</row>
    <row r="105" spans="1:70">
      <c r="A105" s="108">
        <v>103</v>
      </c>
      <c r="F105" s="28">
        <v>43119.882754629631</v>
      </c>
      <c r="G105" s="45">
        <v>43119.922986111109</v>
      </c>
      <c r="H105" s="53">
        <f>G105-F105-'user time'!E86</f>
        <v>3.9745370367147426E-2</v>
      </c>
      <c r="I105" s="86">
        <v>31.59</v>
      </c>
      <c r="J105" s="109" t="s">
        <v>199</v>
      </c>
      <c r="K105" s="88" t="s">
        <v>56</v>
      </c>
      <c r="L105" s="88" t="s">
        <v>57</v>
      </c>
      <c r="M105" s="88">
        <v>-369</v>
      </c>
      <c r="N105" s="108">
        <v>1</v>
      </c>
      <c r="O105" s="108">
        <v>200</v>
      </c>
      <c r="P105" s="88">
        <v>347</v>
      </c>
      <c r="Q105" s="88" t="s">
        <v>58</v>
      </c>
      <c r="R105" s="88" t="s">
        <v>261</v>
      </c>
      <c r="S105" s="110">
        <v>7800</v>
      </c>
      <c r="T105" s="110">
        <v>570</v>
      </c>
      <c r="U105" s="88">
        <v>983</v>
      </c>
      <c r="V105" s="90">
        <v>1500</v>
      </c>
      <c r="W105" s="111">
        <v>10</v>
      </c>
      <c r="X105" s="110">
        <v>32889</v>
      </c>
      <c r="Y105" s="110">
        <v>580512</v>
      </c>
      <c r="Z105" s="110">
        <v>4716782</v>
      </c>
      <c r="AA105" s="110">
        <v>1520115</v>
      </c>
      <c r="AB105" s="112">
        <v>3219934</v>
      </c>
      <c r="AC105" s="109">
        <v>160.1</v>
      </c>
      <c r="AD105" s="110">
        <v>-109.9</v>
      </c>
      <c r="AE105" s="110">
        <v>4.1399999999999997</v>
      </c>
      <c r="AF105" s="110">
        <v>-0.56999999999999995</v>
      </c>
      <c r="AG105" s="110">
        <v>109.8</v>
      </c>
      <c r="AH105" s="110">
        <v>-110.1</v>
      </c>
      <c r="AI105" s="110">
        <v>3.59</v>
      </c>
      <c r="AJ105" s="109">
        <v>-0.42</v>
      </c>
      <c r="AK105" s="113" t="s">
        <v>59</v>
      </c>
      <c r="AL105" s="107" t="s">
        <v>181</v>
      </c>
      <c r="AN105" s="107">
        <v>0.95499999999999996</v>
      </c>
      <c r="AO105" s="48">
        <f t="shared" ref="AO105:AO107" si="40">(HOUR(H105)*60*60+MINUTE(H105)*60+SECOND(H105))/5.52*AA105/W105*AN105</f>
        <v>90311078.605978265</v>
      </c>
      <c r="AP105" s="156">
        <f t="shared" ref="AP105" si="41">AO105*0.7</f>
        <v>63217755.024184778</v>
      </c>
      <c r="AQ105" s="161">
        <f>AP105</f>
        <v>63217755.024184778</v>
      </c>
      <c r="AR105" s="163">
        <f>H105</f>
        <v>3.9745370367147426E-2</v>
      </c>
      <c r="AS105" s="49">
        <f>I105*(HOUR(H105)*60+MINUTE(H105))/60/(7*24)</f>
        <v>0.17863392857142854</v>
      </c>
      <c r="AT105" s="165">
        <f>AS105</f>
        <v>0.17863392857142854</v>
      </c>
      <c r="AU105" s="254">
        <f t="shared" ref="AU105:AU107" si="42">AA105/W105*AN105</f>
        <v>145170.98249999998</v>
      </c>
      <c r="AV105" s="255">
        <f t="shared" ref="AV105:AV107" si="43">AB105/W105+AA105/W105*(1-AN105)</f>
        <v>328833.91750000004</v>
      </c>
      <c r="AW105" s="256">
        <f t="shared" ref="AW105:AW107" si="44">AU105/AV105</f>
        <v>0.44147204644727672</v>
      </c>
    </row>
    <row r="106" spans="1:70">
      <c r="A106" s="108">
        <v>104</v>
      </c>
      <c r="F106" s="28">
        <v>43119.92491898148</v>
      </c>
      <c r="G106" s="45">
        <v>43119.966493055559</v>
      </c>
      <c r="H106" s="53">
        <f t="shared" ref="H106" si="45">G106-F106</f>
        <v>4.1574074079107959E-2</v>
      </c>
      <c r="I106" s="86">
        <v>31.63</v>
      </c>
      <c r="J106" s="109" t="s">
        <v>199</v>
      </c>
      <c r="K106" s="88" t="s">
        <v>56</v>
      </c>
      <c r="L106" s="88" t="s">
        <v>57</v>
      </c>
      <c r="M106" s="88">
        <v>-369</v>
      </c>
      <c r="N106" s="108">
        <v>1</v>
      </c>
      <c r="O106" s="108">
        <v>200</v>
      </c>
      <c r="P106" s="88">
        <v>347</v>
      </c>
      <c r="Q106" s="88" t="s">
        <v>58</v>
      </c>
      <c r="R106" s="88" t="s">
        <v>261</v>
      </c>
      <c r="S106" s="110">
        <v>8987</v>
      </c>
      <c r="T106" s="110">
        <v>546</v>
      </c>
      <c r="U106" s="88">
        <v>983</v>
      </c>
      <c r="V106" s="90">
        <v>1500</v>
      </c>
      <c r="W106" s="111">
        <v>10</v>
      </c>
      <c r="X106" s="110">
        <v>32925</v>
      </c>
      <c r="Y106" s="110">
        <v>581541</v>
      </c>
      <c r="Z106" s="110">
        <v>4711153</v>
      </c>
      <c r="AA106" s="110">
        <v>1499595</v>
      </c>
      <c r="AB106" s="112">
        <v>3222330</v>
      </c>
      <c r="AC106" s="109">
        <v>160.1</v>
      </c>
      <c r="AD106" s="110">
        <v>-109.9</v>
      </c>
      <c r="AE106" s="110">
        <v>4.1399999999999997</v>
      </c>
      <c r="AF106" s="110">
        <v>-0.56000000000000005</v>
      </c>
      <c r="AG106" s="110">
        <v>109.8</v>
      </c>
      <c r="AH106" s="110">
        <v>-110.1</v>
      </c>
      <c r="AI106" s="110">
        <v>3.59</v>
      </c>
      <c r="AJ106" s="109">
        <v>-0.42</v>
      </c>
      <c r="AK106" s="113" t="s">
        <v>59</v>
      </c>
      <c r="AL106" s="107" t="s">
        <v>182</v>
      </c>
      <c r="AN106" s="157">
        <v>0.95499999999999996</v>
      </c>
      <c r="AO106" s="48">
        <f t="shared" si="40"/>
        <v>93191135.945652187</v>
      </c>
      <c r="AP106" s="156">
        <f>AO106*0.7</f>
        <v>65233795.161956526</v>
      </c>
      <c r="AQ106" s="161">
        <f>AP106+AQ105</f>
        <v>128451550.18614131</v>
      </c>
      <c r="AR106" s="163">
        <f>H106+AR105</f>
        <v>8.1319444446255384E-2</v>
      </c>
      <c r="AS106" s="49">
        <f t="shared" ref="AS106" si="46">I106*(HOUR(H106)*60+MINUTE(H106))/60/(7*24)</f>
        <v>0.18513591269841267</v>
      </c>
      <c r="AT106" s="165">
        <f>AS106+AT105</f>
        <v>0.36376984126984124</v>
      </c>
      <c r="AU106" s="254">
        <f t="shared" si="42"/>
        <v>143211.32249999998</v>
      </c>
      <c r="AV106" s="255">
        <f t="shared" si="43"/>
        <v>328981.17749999999</v>
      </c>
      <c r="AW106" s="256">
        <f t="shared" si="44"/>
        <v>0.43531767862311815</v>
      </c>
    </row>
    <row r="107" spans="1:70">
      <c r="A107" s="108">
        <v>105</v>
      </c>
      <c r="F107" s="28">
        <v>43119.96671296296</v>
      </c>
      <c r="G107" s="45">
        <v>43120.006111111114</v>
      </c>
      <c r="H107" s="53">
        <f>G107-F107-'user time'!E87</f>
        <v>3.9050925931628178E-2</v>
      </c>
      <c r="I107" s="86">
        <v>31.53</v>
      </c>
      <c r="J107" s="109" t="s">
        <v>199</v>
      </c>
      <c r="K107" s="88" t="s">
        <v>56</v>
      </c>
      <c r="L107" s="88" t="s">
        <v>57</v>
      </c>
      <c r="M107" s="88">
        <v>-369</v>
      </c>
      <c r="N107" s="108">
        <v>1</v>
      </c>
      <c r="O107" s="108">
        <v>200</v>
      </c>
      <c r="P107" s="88">
        <v>347</v>
      </c>
      <c r="Q107" s="88" t="s">
        <v>58</v>
      </c>
      <c r="R107" s="88" t="s">
        <v>183</v>
      </c>
      <c r="S107" s="110">
        <v>8987</v>
      </c>
      <c r="T107" s="110">
        <v>490</v>
      </c>
      <c r="U107" s="88">
        <v>983</v>
      </c>
      <c r="V107" s="90">
        <v>1500</v>
      </c>
      <c r="W107" s="111">
        <v>10</v>
      </c>
      <c r="X107" s="110">
        <v>33170</v>
      </c>
      <c r="Y107" s="110">
        <v>582600</v>
      </c>
      <c r="Z107" s="110">
        <v>4713858</v>
      </c>
      <c r="AA107" s="110">
        <v>1504245</v>
      </c>
      <c r="AB107" s="112">
        <v>3220510</v>
      </c>
      <c r="AC107" s="109">
        <v>160.19999999999999</v>
      </c>
      <c r="AD107" s="110">
        <v>-109.9</v>
      </c>
      <c r="AE107" s="110">
        <v>4.1399999999999997</v>
      </c>
      <c r="AF107" s="110">
        <v>-0.56000000000000005</v>
      </c>
      <c r="AG107" s="110">
        <v>109.8</v>
      </c>
      <c r="AH107" s="110">
        <v>-110.1</v>
      </c>
      <c r="AI107" s="110">
        <v>3.59</v>
      </c>
      <c r="AJ107" s="109">
        <v>-0.41</v>
      </c>
      <c r="AK107" s="113" t="s">
        <v>59</v>
      </c>
      <c r="AL107" s="107" t="s">
        <v>184</v>
      </c>
      <c r="AN107" s="157">
        <v>0.95799999999999996</v>
      </c>
      <c r="AO107" s="48">
        <f t="shared" si="40"/>
        <v>88082592.02065219</v>
      </c>
      <c r="AP107" s="156">
        <f>AO107*0.7</f>
        <v>61657814.414456531</v>
      </c>
      <c r="AQ107" s="161">
        <f>AP107+AQ106</f>
        <v>190109364.60059786</v>
      </c>
      <c r="AR107" s="163">
        <f>H107+AR106</f>
        <v>0.12037037037788356</v>
      </c>
      <c r="AS107" s="49">
        <f t="shared" ref="AS107" si="47">I107*(HOUR(H107)*60+MINUTE(H107))/60/(7*24)</f>
        <v>0.17516666666666666</v>
      </c>
      <c r="AT107" s="165">
        <f>AS107+AT106</f>
        <v>0.53893650793650794</v>
      </c>
      <c r="AU107" s="254">
        <f t="shared" si="42"/>
        <v>144106.671</v>
      </c>
      <c r="AV107" s="255">
        <f t="shared" si="43"/>
        <v>328368.82900000003</v>
      </c>
      <c r="AW107" s="256">
        <f t="shared" si="44"/>
        <v>0.43885612236355109</v>
      </c>
    </row>
    <row r="108" spans="1:70" s="190" customFormat="1">
      <c r="A108" s="176">
        <v>106</v>
      </c>
      <c r="F108" s="170">
        <v>43120.011238425926</v>
      </c>
      <c r="G108" s="171">
        <v>43120.01258101852</v>
      </c>
      <c r="H108" s="172">
        <f t="shared" ref="H108" si="48">G108-F108</f>
        <v>1.3425925935734995E-3</v>
      </c>
      <c r="I108" s="173">
        <v>31.53</v>
      </c>
      <c r="J108" s="174" t="s">
        <v>199</v>
      </c>
      <c r="K108" s="175" t="s">
        <v>56</v>
      </c>
      <c r="L108" s="175" t="s">
        <v>57</v>
      </c>
      <c r="M108" s="175">
        <v>-369</v>
      </c>
      <c r="N108" s="176">
        <v>1</v>
      </c>
      <c r="O108" s="176">
        <v>200</v>
      </c>
      <c r="P108" s="175">
        <v>420</v>
      </c>
      <c r="Q108" s="175" t="s">
        <v>185</v>
      </c>
      <c r="R108" s="175" t="s">
        <v>186</v>
      </c>
      <c r="S108" s="177"/>
      <c r="T108" s="177"/>
      <c r="U108" s="175">
        <v>983</v>
      </c>
      <c r="V108" s="178">
        <v>-1900</v>
      </c>
      <c r="W108" s="179"/>
      <c r="X108" s="177"/>
      <c r="Y108" s="177"/>
      <c r="Z108" s="177"/>
      <c r="AA108" s="177"/>
      <c r="AB108" s="180"/>
      <c r="AC108" s="174">
        <v>160.19999999999999</v>
      </c>
      <c r="AD108" s="177">
        <v>-109.9</v>
      </c>
      <c r="AE108" s="177">
        <v>4.1399999999999997</v>
      </c>
      <c r="AF108" s="177">
        <v>-0.56000000000000005</v>
      </c>
      <c r="AG108" s="177">
        <v>109.8</v>
      </c>
      <c r="AH108" s="177">
        <v>-110.1</v>
      </c>
      <c r="AI108" s="177">
        <v>3.59</v>
      </c>
      <c r="AJ108" s="174">
        <v>-0.41</v>
      </c>
      <c r="AK108" s="181" t="s">
        <v>59</v>
      </c>
      <c r="AL108" s="182" t="s">
        <v>189</v>
      </c>
      <c r="AM108" s="183"/>
      <c r="AN108" s="214"/>
      <c r="AO108" s="191"/>
      <c r="AP108" s="192"/>
      <c r="AQ108" s="193"/>
      <c r="AR108" s="186"/>
      <c r="AS108" s="187"/>
      <c r="AT108" s="188"/>
      <c r="AU108" s="187"/>
      <c r="AV108" s="187"/>
      <c r="AW108" s="177"/>
      <c r="AX108" s="177"/>
      <c r="AY108" s="177"/>
      <c r="AZ108" s="177"/>
      <c r="BA108" s="187"/>
      <c r="BB108" s="180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89"/>
      <c r="BO108" s="189"/>
      <c r="BP108" s="189"/>
      <c r="BQ108" s="189"/>
      <c r="BR108" s="189"/>
    </row>
    <row r="109" spans="1:70" s="190" customFormat="1">
      <c r="A109" s="176">
        <v>107</v>
      </c>
      <c r="F109" s="170">
        <v>43120.012962962966</v>
      </c>
      <c r="G109" s="171">
        <v>43120.014282407406</v>
      </c>
      <c r="H109" s="172">
        <f t="shared" ref="H109:H117" si="49">G109-F109</f>
        <v>1.3194444400141947E-3</v>
      </c>
      <c r="I109" s="173">
        <v>31.53</v>
      </c>
      <c r="J109" s="174" t="s">
        <v>199</v>
      </c>
      <c r="K109" s="175" t="s">
        <v>56</v>
      </c>
      <c r="L109" s="175" t="s">
        <v>57</v>
      </c>
      <c r="M109" s="175">
        <v>-369</v>
      </c>
      <c r="N109" s="176">
        <v>1</v>
      </c>
      <c r="O109" s="176">
        <v>200</v>
      </c>
      <c r="P109" s="175">
        <v>420</v>
      </c>
      <c r="Q109" s="175" t="s">
        <v>185</v>
      </c>
      <c r="R109" s="175" t="s">
        <v>186</v>
      </c>
      <c r="S109" s="177"/>
      <c r="T109" s="177"/>
      <c r="U109" s="175">
        <v>983</v>
      </c>
      <c r="V109" s="178">
        <v>-1550</v>
      </c>
      <c r="W109" s="179"/>
      <c r="X109" s="177"/>
      <c r="Y109" s="177"/>
      <c r="Z109" s="177"/>
      <c r="AA109" s="177"/>
      <c r="AB109" s="180"/>
      <c r="AC109" s="174">
        <v>160.19999999999999</v>
      </c>
      <c r="AD109" s="177">
        <v>-109.9</v>
      </c>
      <c r="AE109" s="177">
        <v>4.1399999999999997</v>
      </c>
      <c r="AF109" s="177">
        <v>-0.56000000000000005</v>
      </c>
      <c r="AG109" s="177">
        <v>109.8</v>
      </c>
      <c r="AH109" s="177">
        <v>-110.1</v>
      </c>
      <c r="AI109" s="177">
        <v>3.59</v>
      </c>
      <c r="AJ109" s="174">
        <v>-0.41</v>
      </c>
      <c r="AK109" s="181" t="s">
        <v>59</v>
      </c>
      <c r="AL109" s="182" t="s">
        <v>190</v>
      </c>
      <c r="AM109" s="183"/>
      <c r="AN109" s="182"/>
      <c r="AO109" s="191"/>
      <c r="AP109" s="192"/>
      <c r="AQ109" s="193"/>
      <c r="AR109" s="186"/>
      <c r="AS109" s="187"/>
      <c r="AT109" s="188"/>
      <c r="AU109" s="187"/>
      <c r="AV109" s="187"/>
      <c r="AW109" s="177"/>
      <c r="AX109" s="177"/>
      <c r="AY109" s="177"/>
      <c r="AZ109" s="177"/>
      <c r="BA109" s="187"/>
      <c r="BB109" s="180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89"/>
      <c r="BO109" s="189"/>
      <c r="BP109" s="189"/>
      <c r="BQ109" s="189"/>
      <c r="BR109" s="189"/>
    </row>
    <row r="110" spans="1:70" s="190" customFormat="1">
      <c r="A110" s="176">
        <v>108</v>
      </c>
      <c r="F110" s="170">
        <v>43120.014606481483</v>
      </c>
      <c r="G110" s="171">
        <v>43120.016215277778</v>
      </c>
      <c r="H110" s="172">
        <f t="shared" si="49"/>
        <v>1.6087962940218858E-3</v>
      </c>
      <c r="I110" s="173">
        <v>31.53</v>
      </c>
      <c r="J110" s="174" t="s">
        <v>199</v>
      </c>
      <c r="K110" s="175" t="s">
        <v>56</v>
      </c>
      <c r="L110" s="175" t="s">
        <v>57</v>
      </c>
      <c r="M110" s="175">
        <v>-369</v>
      </c>
      <c r="N110" s="176">
        <v>1</v>
      </c>
      <c r="O110" s="176">
        <v>200</v>
      </c>
      <c r="P110" s="175">
        <v>420</v>
      </c>
      <c r="Q110" s="175" t="s">
        <v>185</v>
      </c>
      <c r="R110" s="175" t="s">
        <v>186</v>
      </c>
      <c r="S110" s="177"/>
      <c r="T110" s="177"/>
      <c r="U110" s="175">
        <v>983</v>
      </c>
      <c r="V110" s="178">
        <v>-1200</v>
      </c>
      <c r="W110" s="179"/>
      <c r="X110" s="177"/>
      <c r="Y110" s="177"/>
      <c r="Z110" s="177"/>
      <c r="AA110" s="177"/>
      <c r="AB110" s="180"/>
      <c r="AC110" s="174">
        <v>160.19999999999999</v>
      </c>
      <c r="AD110" s="177">
        <v>-109.9</v>
      </c>
      <c r="AE110" s="177">
        <v>4.1399999999999997</v>
      </c>
      <c r="AF110" s="177">
        <v>-0.56000000000000005</v>
      </c>
      <c r="AG110" s="177">
        <v>109.8</v>
      </c>
      <c r="AH110" s="177">
        <v>-110.1</v>
      </c>
      <c r="AI110" s="177">
        <v>3.59</v>
      </c>
      <c r="AJ110" s="174">
        <v>-0.41</v>
      </c>
      <c r="AK110" s="181" t="s">
        <v>59</v>
      </c>
      <c r="AL110" s="182" t="s">
        <v>191</v>
      </c>
      <c r="AM110" s="183"/>
      <c r="AN110" s="182"/>
      <c r="AO110" s="191"/>
      <c r="AP110" s="192"/>
      <c r="AQ110" s="193"/>
      <c r="AR110" s="186"/>
      <c r="AS110" s="187"/>
      <c r="AT110" s="188"/>
      <c r="AU110" s="187"/>
      <c r="AV110" s="187"/>
      <c r="AW110" s="177"/>
      <c r="AX110" s="177"/>
      <c r="AY110" s="177"/>
      <c r="AZ110" s="177"/>
      <c r="BA110" s="187"/>
      <c r="BB110" s="180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</row>
    <row r="111" spans="1:70" s="190" customFormat="1">
      <c r="A111" s="176">
        <v>109</v>
      </c>
      <c r="F111" s="170">
        <v>43120.016388888886</v>
      </c>
      <c r="G111" s="171">
        <v>43120.017743055556</v>
      </c>
      <c r="H111" s="172">
        <f t="shared" si="49"/>
        <v>1.3541666703531519E-3</v>
      </c>
      <c r="I111" s="173">
        <v>31.53</v>
      </c>
      <c r="J111" s="174" t="s">
        <v>199</v>
      </c>
      <c r="K111" s="175" t="s">
        <v>56</v>
      </c>
      <c r="L111" s="175" t="s">
        <v>57</v>
      </c>
      <c r="M111" s="175">
        <v>-369</v>
      </c>
      <c r="N111" s="176">
        <v>1</v>
      </c>
      <c r="O111" s="176">
        <v>200</v>
      </c>
      <c r="P111" s="175">
        <v>420</v>
      </c>
      <c r="Q111" s="175" t="s">
        <v>185</v>
      </c>
      <c r="R111" s="175" t="s">
        <v>186</v>
      </c>
      <c r="S111" s="177"/>
      <c r="T111" s="177"/>
      <c r="U111" s="175">
        <v>983</v>
      </c>
      <c r="V111" s="178">
        <v>-900</v>
      </c>
      <c r="W111" s="179"/>
      <c r="X111" s="177"/>
      <c r="Y111" s="177"/>
      <c r="Z111" s="177"/>
      <c r="AA111" s="177"/>
      <c r="AB111" s="180"/>
      <c r="AC111" s="174">
        <v>160.19999999999999</v>
      </c>
      <c r="AD111" s="177">
        <v>-109.9</v>
      </c>
      <c r="AE111" s="177">
        <v>4.1399999999999997</v>
      </c>
      <c r="AF111" s="177">
        <v>-0.56000000000000005</v>
      </c>
      <c r="AG111" s="177">
        <v>109.8</v>
      </c>
      <c r="AH111" s="177">
        <v>-110.1</v>
      </c>
      <c r="AI111" s="177">
        <v>3.59</v>
      </c>
      <c r="AJ111" s="174">
        <v>-0.41</v>
      </c>
      <c r="AK111" s="181" t="s">
        <v>59</v>
      </c>
      <c r="AL111" s="182" t="s">
        <v>192</v>
      </c>
      <c r="AM111" s="183"/>
      <c r="AN111" s="182"/>
      <c r="AO111" s="191"/>
      <c r="AP111" s="192"/>
      <c r="AQ111" s="193"/>
      <c r="AR111" s="186"/>
      <c r="AS111" s="187"/>
      <c r="AT111" s="188"/>
      <c r="AU111" s="187"/>
      <c r="AV111" s="187"/>
      <c r="AW111" s="177"/>
      <c r="AX111" s="177"/>
      <c r="AY111" s="177"/>
      <c r="AZ111" s="177"/>
      <c r="BA111" s="187"/>
      <c r="BB111" s="180"/>
      <c r="BC111" s="189"/>
      <c r="BD111" s="189"/>
      <c r="BE111" s="189"/>
      <c r="BF111" s="189"/>
      <c r="BG111" s="189"/>
      <c r="BH111" s="189"/>
      <c r="BI111" s="189"/>
      <c r="BJ111" s="189"/>
      <c r="BK111" s="189"/>
      <c r="BL111" s="189"/>
      <c r="BM111" s="189"/>
      <c r="BN111" s="189"/>
      <c r="BO111" s="189"/>
      <c r="BP111" s="189"/>
      <c r="BQ111" s="189"/>
      <c r="BR111" s="189"/>
    </row>
    <row r="112" spans="1:70" s="190" customFormat="1">
      <c r="A112" s="176">
        <v>110</v>
      </c>
      <c r="F112" s="170">
        <v>43120.017997685187</v>
      </c>
      <c r="G112" s="171">
        <v>43120.019328703704</v>
      </c>
      <c r="H112" s="172">
        <f t="shared" si="49"/>
        <v>1.3310185167938471E-3</v>
      </c>
      <c r="I112" s="173">
        <v>31.53</v>
      </c>
      <c r="J112" s="174" t="s">
        <v>199</v>
      </c>
      <c r="K112" s="175" t="s">
        <v>56</v>
      </c>
      <c r="L112" s="175" t="s">
        <v>57</v>
      </c>
      <c r="M112" s="175">
        <v>-369</v>
      </c>
      <c r="N112" s="176">
        <v>1</v>
      </c>
      <c r="O112" s="176">
        <v>200</v>
      </c>
      <c r="P112" s="175">
        <v>420</v>
      </c>
      <c r="Q112" s="175" t="s">
        <v>185</v>
      </c>
      <c r="R112" s="175" t="s">
        <v>186</v>
      </c>
      <c r="S112" s="177"/>
      <c r="T112" s="177"/>
      <c r="U112" s="175">
        <v>983</v>
      </c>
      <c r="V112" s="178">
        <v>-600</v>
      </c>
      <c r="W112" s="179"/>
      <c r="X112" s="177"/>
      <c r="Y112" s="177"/>
      <c r="Z112" s="177"/>
      <c r="AA112" s="177"/>
      <c r="AB112" s="180"/>
      <c r="AC112" s="174">
        <v>160.19999999999999</v>
      </c>
      <c r="AD112" s="177">
        <v>-109.9</v>
      </c>
      <c r="AE112" s="177">
        <v>4.1399999999999997</v>
      </c>
      <c r="AF112" s="177">
        <v>-0.56000000000000005</v>
      </c>
      <c r="AG112" s="177">
        <v>109.8</v>
      </c>
      <c r="AH112" s="177">
        <v>-110.1</v>
      </c>
      <c r="AI112" s="177">
        <v>3.59</v>
      </c>
      <c r="AJ112" s="174">
        <v>-0.41</v>
      </c>
      <c r="AK112" s="181" t="s">
        <v>59</v>
      </c>
      <c r="AL112" s="182" t="s">
        <v>193</v>
      </c>
      <c r="AM112" s="183"/>
      <c r="AN112" s="182"/>
      <c r="AO112" s="191"/>
      <c r="AP112" s="192"/>
      <c r="AQ112" s="193"/>
      <c r="AR112" s="186"/>
      <c r="AS112" s="187"/>
      <c r="AT112" s="188"/>
      <c r="AU112" s="187"/>
      <c r="AV112" s="187"/>
      <c r="AW112" s="177"/>
      <c r="AX112" s="177"/>
      <c r="AY112" s="177"/>
      <c r="AZ112" s="177"/>
      <c r="BA112" s="187"/>
      <c r="BB112" s="180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89"/>
      <c r="BN112" s="189"/>
      <c r="BO112" s="189"/>
      <c r="BP112" s="189"/>
      <c r="BQ112" s="189"/>
      <c r="BR112" s="189"/>
    </row>
    <row r="113" spans="1:70" s="190" customFormat="1">
      <c r="A113" s="176">
        <v>111</v>
      </c>
      <c r="F113" s="170">
        <v>43120.019456018519</v>
      </c>
      <c r="G113" s="171">
        <v>43120.020856481482</v>
      </c>
      <c r="H113" s="172">
        <f t="shared" si="49"/>
        <v>1.4004629629198462E-3</v>
      </c>
      <c r="I113" s="173">
        <v>31.53</v>
      </c>
      <c r="J113" s="174" t="s">
        <v>199</v>
      </c>
      <c r="K113" s="175" t="s">
        <v>56</v>
      </c>
      <c r="L113" s="175" t="s">
        <v>57</v>
      </c>
      <c r="M113" s="175">
        <v>-369</v>
      </c>
      <c r="N113" s="176">
        <v>1</v>
      </c>
      <c r="O113" s="176">
        <v>200</v>
      </c>
      <c r="P113" s="175">
        <v>420</v>
      </c>
      <c r="Q113" s="175" t="s">
        <v>185</v>
      </c>
      <c r="R113" s="175" t="s">
        <v>186</v>
      </c>
      <c r="S113" s="177"/>
      <c r="T113" s="177"/>
      <c r="U113" s="175">
        <v>983</v>
      </c>
      <c r="V113" s="178">
        <v>-300</v>
      </c>
      <c r="W113" s="179"/>
      <c r="X113" s="177"/>
      <c r="Y113" s="177"/>
      <c r="Z113" s="177"/>
      <c r="AA113" s="177"/>
      <c r="AB113" s="180"/>
      <c r="AC113" s="174">
        <v>160.19999999999999</v>
      </c>
      <c r="AD113" s="177">
        <v>-109.9</v>
      </c>
      <c r="AE113" s="177">
        <v>4.1399999999999997</v>
      </c>
      <c r="AF113" s="177">
        <v>-0.56000000000000005</v>
      </c>
      <c r="AG113" s="177">
        <v>109.8</v>
      </c>
      <c r="AH113" s="177">
        <v>-110.1</v>
      </c>
      <c r="AI113" s="177">
        <v>3.59</v>
      </c>
      <c r="AJ113" s="174">
        <v>-0.41</v>
      </c>
      <c r="AK113" s="181" t="s">
        <v>59</v>
      </c>
      <c r="AL113" s="182" t="s">
        <v>194</v>
      </c>
      <c r="AM113" s="183"/>
      <c r="AN113" s="182"/>
      <c r="AO113" s="191"/>
      <c r="AP113" s="192"/>
      <c r="AQ113" s="193"/>
      <c r="AR113" s="186"/>
      <c r="AS113" s="187"/>
      <c r="AT113" s="188"/>
      <c r="AU113" s="187"/>
      <c r="AV113" s="187"/>
      <c r="AW113" s="177"/>
      <c r="AX113" s="177"/>
      <c r="AY113" s="177"/>
      <c r="AZ113" s="177"/>
      <c r="BA113" s="187"/>
      <c r="BB113" s="180"/>
      <c r="BC113" s="189"/>
      <c r="BD113" s="189"/>
      <c r="BE113" s="189"/>
      <c r="BF113" s="189"/>
      <c r="BG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  <c r="BR113" s="189"/>
    </row>
    <row r="114" spans="1:70" s="190" customFormat="1">
      <c r="A114" s="176">
        <v>112</v>
      </c>
      <c r="F114" s="170">
        <v>43120.021134259259</v>
      </c>
      <c r="G114" s="171">
        <v>43120.022465277776</v>
      </c>
      <c r="H114" s="172">
        <f t="shared" si="49"/>
        <v>1.3310185167938471E-3</v>
      </c>
      <c r="I114" s="173">
        <v>31.53</v>
      </c>
      <c r="J114" s="174" t="s">
        <v>199</v>
      </c>
      <c r="K114" s="175" t="s">
        <v>56</v>
      </c>
      <c r="L114" s="175" t="s">
        <v>57</v>
      </c>
      <c r="M114" s="175">
        <v>-369</v>
      </c>
      <c r="N114" s="176">
        <v>1</v>
      </c>
      <c r="O114" s="176">
        <v>200</v>
      </c>
      <c r="P114" s="175">
        <v>420</v>
      </c>
      <c r="Q114" s="175" t="s">
        <v>185</v>
      </c>
      <c r="R114" s="175" t="s">
        <v>186</v>
      </c>
      <c r="S114" s="177"/>
      <c r="T114" s="177"/>
      <c r="U114" s="175">
        <v>983</v>
      </c>
      <c r="V114" s="178">
        <v>0</v>
      </c>
      <c r="W114" s="179"/>
      <c r="X114" s="177"/>
      <c r="Y114" s="177"/>
      <c r="Z114" s="177"/>
      <c r="AA114" s="177"/>
      <c r="AB114" s="180"/>
      <c r="AC114" s="174">
        <v>160.19999999999999</v>
      </c>
      <c r="AD114" s="177">
        <v>-109.9</v>
      </c>
      <c r="AE114" s="177">
        <v>4.1399999999999997</v>
      </c>
      <c r="AF114" s="177">
        <v>-0.56000000000000005</v>
      </c>
      <c r="AG114" s="177">
        <v>109.8</v>
      </c>
      <c r="AH114" s="177">
        <v>-110.1</v>
      </c>
      <c r="AI114" s="177">
        <v>3.59</v>
      </c>
      <c r="AJ114" s="174">
        <v>-0.41</v>
      </c>
      <c r="AK114" s="181" t="s">
        <v>59</v>
      </c>
      <c r="AL114" s="182" t="s">
        <v>195</v>
      </c>
      <c r="AM114" s="183"/>
      <c r="AN114" s="182"/>
      <c r="AO114" s="191"/>
      <c r="AP114" s="192"/>
      <c r="AQ114" s="193"/>
      <c r="AR114" s="186"/>
      <c r="AS114" s="187"/>
      <c r="AT114" s="188"/>
      <c r="AU114" s="187"/>
      <c r="AV114" s="187"/>
      <c r="AW114" s="177"/>
      <c r="AX114" s="177"/>
      <c r="AY114" s="177"/>
      <c r="AZ114" s="177"/>
      <c r="BA114" s="187"/>
      <c r="BB114" s="180"/>
      <c r="BC114" s="189"/>
      <c r="BD114" s="189"/>
      <c r="BE114" s="189"/>
      <c r="BF114" s="189"/>
      <c r="BG114" s="189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  <c r="BR114" s="189"/>
    </row>
    <row r="115" spans="1:70" s="190" customFormat="1">
      <c r="A115" s="176">
        <v>113</v>
      </c>
      <c r="F115" s="170">
        <v>43120.022881944446</v>
      </c>
      <c r="G115" s="171">
        <v>43120.024189814816</v>
      </c>
      <c r="H115" s="172">
        <f t="shared" si="49"/>
        <v>1.3078703705104999E-3</v>
      </c>
      <c r="I115" s="173">
        <v>31.53</v>
      </c>
      <c r="J115" s="174" t="s">
        <v>199</v>
      </c>
      <c r="K115" s="175" t="s">
        <v>56</v>
      </c>
      <c r="L115" s="175" t="s">
        <v>57</v>
      </c>
      <c r="M115" s="175">
        <v>-369</v>
      </c>
      <c r="N115" s="176">
        <v>1</v>
      </c>
      <c r="O115" s="176">
        <v>200</v>
      </c>
      <c r="P115" s="175">
        <v>420</v>
      </c>
      <c r="Q115" s="175" t="s">
        <v>185</v>
      </c>
      <c r="R115" s="175" t="s">
        <v>186</v>
      </c>
      <c r="S115" s="177"/>
      <c r="T115" s="177"/>
      <c r="U115" s="175">
        <v>983</v>
      </c>
      <c r="V115" s="178">
        <v>350</v>
      </c>
      <c r="W115" s="179"/>
      <c r="X115" s="177"/>
      <c r="Y115" s="177"/>
      <c r="Z115" s="177"/>
      <c r="AA115" s="177"/>
      <c r="AB115" s="180"/>
      <c r="AC115" s="174">
        <v>160.19999999999999</v>
      </c>
      <c r="AD115" s="177">
        <v>-109.9</v>
      </c>
      <c r="AE115" s="177">
        <v>4.1399999999999997</v>
      </c>
      <c r="AF115" s="177">
        <v>-0.56000000000000005</v>
      </c>
      <c r="AG115" s="177">
        <v>109.8</v>
      </c>
      <c r="AH115" s="177">
        <v>-110.1</v>
      </c>
      <c r="AI115" s="177">
        <v>3.59</v>
      </c>
      <c r="AJ115" s="174">
        <v>-0.41</v>
      </c>
      <c r="AK115" s="181" t="s">
        <v>59</v>
      </c>
      <c r="AL115" s="182" t="s">
        <v>196</v>
      </c>
      <c r="AM115" s="183"/>
      <c r="AN115" s="182"/>
      <c r="AO115" s="191"/>
      <c r="AP115" s="192"/>
      <c r="AQ115" s="193"/>
      <c r="AR115" s="186"/>
      <c r="AS115" s="187"/>
      <c r="AT115" s="188"/>
      <c r="AU115" s="187"/>
      <c r="AV115" s="187"/>
      <c r="AW115" s="177"/>
      <c r="AX115" s="177"/>
      <c r="AY115" s="177"/>
      <c r="AZ115" s="177"/>
      <c r="BA115" s="187"/>
      <c r="BB115" s="180"/>
      <c r="BC115" s="189"/>
      <c r="BD115" s="189"/>
      <c r="BE115" s="189"/>
      <c r="BF115" s="189"/>
      <c r="BG115" s="189"/>
      <c r="BH115" s="189"/>
      <c r="BI115" s="189"/>
      <c r="BJ115" s="189"/>
      <c r="BK115" s="189"/>
      <c r="BL115" s="189"/>
      <c r="BM115" s="189"/>
      <c r="BN115" s="189"/>
      <c r="BO115" s="189"/>
      <c r="BP115" s="189"/>
      <c r="BQ115" s="189"/>
      <c r="BR115" s="189"/>
    </row>
    <row r="116" spans="1:70" s="190" customFormat="1">
      <c r="A116" s="176">
        <v>114</v>
      </c>
      <c r="F116" s="170">
        <v>43120.024363425924</v>
      </c>
      <c r="G116" s="171">
        <v>43120.025729166664</v>
      </c>
      <c r="H116" s="172">
        <f t="shared" si="49"/>
        <v>1.3657407398568466E-3</v>
      </c>
      <c r="I116" s="173">
        <v>31.53</v>
      </c>
      <c r="J116" s="174" t="s">
        <v>199</v>
      </c>
      <c r="K116" s="175" t="s">
        <v>56</v>
      </c>
      <c r="L116" s="175" t="s">
        <v>57</v>
      </c>
      <c r="M116" s="175">
        <v>-369</v>
      </c>
      <c r="N116" s="176">
        <v>1</v>
      </c>
      <c r="O116" s="176">
        <v>200</v>
      </c>
      <c r="P116" s="175">
        <v>420</v>
      </c>
      <c r="Q116" s="175" t="s">
        <v>185</v>
      </c>
      <c r="R116" s="175" t="s">
        <v>186</v>
      </c>
      <c r="S116" s="177"/>
      <c r="T116" s="177"/>
      <c r="U116" s="175">
        <v>983</v>
      </c>
      <c r="V116" s="178">
        <v>700</v>
      </c>
      <c r="W116" s="179"/>
      <c r="X116" s="177"/>
      <c r="Y116" s="177"/>
      <c r="Z116" s="177"/>
      <c r="AA116" s="177"/>
      <c r="AB116" s="180"/>
      <c r="AC116" s="174">
        <v>160.19999999999999</v>
      </c>
      <c r="AD116" s="177">
        <v>-109.9</v>
      </c>
      <c r="AE116" s="177">
        <v>4.1399999999999997</v>
      </c>
      <c r="AF116" s="177">
        <v>-0.56000000000000005</v>
      </c>
      <c r="AG116" s="177">
        <v>109.8</v>
      </c>
      <c r="AH116" s="177">
        <v>-110.1</v>
      </c>
      <c r="AI116" s="177">
        <v>3.59</v>
      </c>
      <c r="AJ116" s="174">
        <v>-0.41</v>
      </c>
      <c r="AK116" s="181" t="s">
        <v>59</v>
      </c>
      <c r="AL116" s="182" t="s">
        <v>197</v>
      </c>
      <c r="AM116" s="183"/>
      <c r="AN116" s="182"/>
      <c r="AO116" s="191"/>
      <c r="AP116" s="192"/>
      <c r="AQ116" s="193"/>
      <c r="AR116" s="186"/>
      <c r="AS116" s="187"/>
      <c r="AT116" s="188"/>
      <c r="AU116" s="187"/>
      <c r="AV116" s="187"/>
      <c r="AW116" s="177"/>
      <c r="AX116" s="177"/>
      <c r="AY116" s="177"/>
      <c r="AZ116" s="177"/>
      <c r="BA116" s="187"/>
      <c r="BB116" s="180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</row>
    <row r="117" spans="1:70" s="190" customFormat="1">
      <c r="A117" s="176">
        <v>115</v>
      </c>
      <c r="F117" s="170">
        <v>43120.02616898148</v>
      </c>
      <c r="G117" s="171">
        <v>43120.02752314815</v>
      </c>
      <c r="H117" s="172">
        <f t="shared" si="49"/>
        <v>1.3541666703531519E-3</v>
      </c>
      <c r="I117" s="173">
        <v>31.53</v>
      </c>
      <c r="J117" s="174" t="s">
        <v>199</v>
      </c>
      <c r="K117" s="175" t="s">
        <v>56</v>
      </c>
      <c r="L117" s="175" t="s">
        <v>57</v>
      </c>
      <c r="M117" s="175">
        <v>-369</v>
      </c>
      <c r="N117" s="176">
        <v>1</v>
      </c>
      <c r="O117" s="176">
        <v>200</v>
      </c>
      <c r="P117" s="175">
        <v>420</v>
      </c>
      <c r="Q117" s="175" t="s">
        <v>185</v>
      </c>
      <c r="R117" s="175" t="s">
        <v>186</v>
      </c>
      <c r="S117" s="177"/>
      <c r="T117" s="177"/>
      <c r="U117" s="175">
        <v>983</v>
      </c>
      <c r="V117" s="178">
        <v>2100</v>
      </c>
      <c r="W117" s="179"/>
      <c r="X117" s="177"/>
      <c r="Y117" s="177"/>
      <c r="Z117" s="177"/>
      <c r="AA117" s="177"/>
      <c r="AB117" s="180"/>
      <c r="AC117" s="174">
        <v>160.19999999999999</v>
      </c>
      <c r="AD117" s="177">
        <v>-109.9</v>
      </c>
      <c r="AE117" s="177">
        <v>4.1399999999999997</v>
      </c>
      <c r="AF117" s="177">
        <v>-0.56000000000000005</v>
      </c>
      <c r="AG117" s="177">
        <v>109.8</v>
      </c>
      <c r="AH117" s="177">
        <v>-110.1</v>
      </c>
      <c r="AI117" s="177">
        <v>3.59</v>
      </c>
      <c r="AJ117" s="174">
        <v>-0.41</v>
      </c>
      <c r="AK117" s="181" t="s">
        <v>59</v>
      </c>
      <c r="AL117" s="182" t="s">
        <v>198</v>
      </c>
      <c r="AM117" s="183"/>
      <c r="AN117" s="182"/>
      <c r="AO117" s="191"/>
      <c r="AP117" s="192"/>
      <c r="AQ117" s="193"/>
      <c r="AR117" s="186"/>
      <c r="AS117" s="187"/>
      <c r="AT117" s="188"/>
      <c r="AU117" s="187"/>
      <c r="AV117" s="187"/>
      <c r="AW117" s="177"/>
      <c r="AX117" s="177"/>
      <c r="AY117" s="177"/>
      <c r="AZ117" s="177"/>
      <c r="BA117" s="187"/>
      <c r="BB117" s="180"/>
      <c r="BC117" s="189"/>
      <c r="BD117" s="189"/>
      <c r="BE117" s="189"/>
      <c r="BF117" s="189"/>
      <c r="BG117" s="189"/>
      <c r="BH117" s="189"/>
      <c r="BI117" s="189"/>
      <c r="BJ117" s="189"/>
      <c r="BK117" s="189"/>
      <c r="BL117" s="189"/>
      <c r="BM117" s="189"/>
      <c r="BN117" s="189"/>
      <c r="BO117" s="189"/>
      <c r="BP117" s="189"/>
      <c r="BQ117" s="189"/>
      <c r="BR117" s="189"/>
    </row>
    <row r="118" spans="1:70" s="149" customFormat="1">
      <c r="A118" s="138">
        <v>116</v>
      </c>
      <c r="F118" s="133"/>
      <c r="G118" s="133"/>
      <c r="H118" s="134"/>
      <c r="I118" s="135"/>
      <c r="J118" s="136"/>
      <c r="K118" s="137"/>
      <c r="L118" s="137"/>
      <c r="M118" s="137"/>
      <c r="N118" s="138"/>
      <c r="O118" s="138"/>
      <c r="P118" s="137"/>
      <c r="Q118" s="137"/>
      <c r="R118" s="137"/>
      <c r="S118" s="139"/>
      <c r="T118" s="139"/>
      <c r="U118" s="137"/>
      <c r="V118" s="140"/>
      <c r="W118" s="141"/>
      <c r="X118" s="139"/>
      <c r="Y118" s="139"/>
      <c r="Z118" s="139"/>
      <c r="AA118" s="139"/>
      <c r="AB118" s="142"/>
      <c r="AC118" s="136"/>
      <c r="AD118" s="139"/>
      <c r="AE118" s="139"/>
      <c r="AF118" s="139"/>
      <c r="AG118" s="139"/>
      <c r="AH118" s="139"/>
      <c r="AI118" s="139"/>
      <c r="AJ118" s="136"/>
      <c r="AK118" s="143"/>
      <c r="AL118" s="144" t="s">
        <v>187</v>
      </c>
      <c r="AM118" s="145"/>
      <c r="AN118" s="144"/>
      <c r="AO118" s="151"/>
      <c r="AP118" s="152"/>
      <c r="AQ118" s="160"/>
      <c r="AR118" s="162"/>
      <c r="AS118" s="147"/>
      <c r="AT118" s="164"/>
      <c r="AU118" s="147"/>
      <c r="AV118" s="147"/>
      <c r="AW118" s="139"/>
      <c r="AX118" s="139"/>
      <c r="AY118" s="139"/>
      <c r="AZ118" s="139"/>
      <c r="BA118" s="147"/>
      <c r="BB118" s="142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</row>
    <row r="119" spans="1:70" s="149" customFormat="1">
      <c r="A119" s="138">
        <v>117</v>
      </c>
      <c r="F119" s="133"/>
      <c r="G119" s="133"/>
      <c r="H119" s="134"/>
      <c r="I119" s="135"/>
      <c r="J119" s="136"/>
      <c r="K119" s="137"/>
      <c r="L119" s="137"/>
      <c r="M119" s="137"/>
      <c r="N119" s="138"/>
      <c r="O119" s="138"/>
      <c r="P119" s="137"/>
      <c r="Q119" s="137"/>
      <c r="R119" s="137"/>
      <c r="S119" s="139"/>
      <c r="T119" s="139"/>
      <c r="U119" s="137"/>
      <c r="V119" s="140"/>
      <c r="W119" s="141"/>
      <c r="X119" s="139"/>
      <c r="Y119" s="139"/>
      <c r="Z119" s="139"/>
      <c r="AA119" s="139"/>
      <c r="AB119" s="142"/>
      <c r="AC119" s="136"/>
      <c r="AD119" s="139"/>
      <c r="AE119" s="139"/>
      <c r="AF119" s="139"/>
      <c r="AG119" s="139"/>
      <c r="AH119" s="139"/>
      <c r="AI119" s="139"/>
      <c r="AJ119" s="136"/>
      <c r="AK119" s="143"/>
      <c r="AL119" s="144" t="s">
        <v>188</v>
      </c>
      <c r="AM119" s="145"/>
      <c r="AN119" s="144"/>
      <c r="AO119" s="151"/>
      <c r="AP119" s="152"/>
      <c r="AQ119" s="160"/>
      <c r="AR119" s="162"/>
      <c r="AS119" s="147"/>
      <c r="AT119" s="164"/>
      <c r="AU119" s="147"/>
      <c r="AV119" s="147"/>
      <c r="AW119" s="139"/>
      <c r="AX119" s="139"/>
      <c r="AY119" s="139"/>
      <c r="AZ119" s="139"/>
      <c r="BA119" s="147"/>
      <c r="BB119" s="142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</row>
    <row r="120" spans="1:70" s="149" customFormat="1">
      <c r="A120" s="138">
        <v>118</v>
      </c>
      <c r="F120" s="133"/>
      <c r="G120" s="133"/>
      <c r="H120" s="134"/>
      <c r="I120" s="135"/>
      <c r="J120" s="136"/>
      <c r="K120" s="137"/>
      <c r="L120" s="137"/>
      <c r="M120" s="137"/>
      <c r="N120" s="138"/>
      <c r="O120" s="138"/>
      <c r="P120" s="137"/>
      <c r="Q120" s="137"/>
      <c r="R120" s="137"/>
      <c r="S120" s="139"/>
      <c r="T120" s="139"/>
      <c r="U120" s="137"/>
      <c r="V120" s="140"/>
      <c r="W120" s="141"/>
      <c r="X120" s="139"/>
      <c r="Y120" s="139"/>
      <c r="Z120" s="139"/>
      <c r="AA120" s="139"/>
      <c r="AB120" s="142"/>
      <c r="AC120" s="136"/>
      <c r="AD120" s="139"/>
      <c r="AE120" s="139"/>
      <c r="AF120" s="139"/>
      <c r="AG120" s="139"/>
      <c r="AH120" s="139"/>
      <c r="AI120" s="139"/>
      <c r="AJ120" s="136"/>
      <c r="AK120" s="143"/>
      <c r="AL120" s="144" t="s">
        <v>188</v>
      </c>
      <c r="AM120" s="145"/>
      <c r="AN120" s="144"/>
      <c r="AO120" s="151"/>
      <c r="AP120" s="152"/>
      <c r="AQ120" s="160"/>
      <c r="AR120" s="162"/>
      <c r="AS120" s="147"/>
      <c r="AT120" s="164"/>
      <c r="AU120" s="147"/>
      <c r="AV120" s="147"/>
      <c r="AW120" s="139"/>
      <c r="AX120" s="139"/>
      <c r="AY120" s="139"/>
      <c r="AZ120" s="139"/>
      <c r="BA120" s="147"/>
      <c r="BB120" s="142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</row>
    <row r="121" spans="1:70" s="190" customFormat="1">
      <c r="A121" s="176">
        <v>119</v>
      </c>
      <c r="F121" s="170">
        <v>43120.030173611114</v>
      </c>
      <c r="G121" s="171">
        <v>43120.043263888889</v>
      </c>
      <c r="H121" s="172">
        <f t="shared" ref="H121" si="50">G121-F121</f>
        <v>1.3090277774608694E-2</v>
      </c>
      <c r="I121" s="173">
        <v>31.56</v>
      </c>
      <c r="J121" s="174" t="s">
        <v>199</v>
      </c>
      <c r="K121" s="175" t="s">
        <v>56</v>
      </c>
      <c r="L121" s="175" t="s">
        <v>57</v>
      </c>
      <c r="M121" s="175">
        <v>-369</v>
      </c>
      <c r="N121" s="176">
        <v>1</v>
      </c>
      <c r="O121" s="176">
        <v>200</v>
      </c>
      <c r="P121" s="175">
        <v>420</v>
      </c>
      <c r="Q121" s="175" t="s">
        <v>185</v>
      </c>
      <c r="R121" s="175" t="s">
        <v>200</v>
      </c>
      <c r="S121" s="177">
        <v>6700</v>
      </c>
      <c r="T121" s="177">
        <v>2250</v>
      </c>
      <c r="U121" s="175">
        <v>983</v>
      </c>
      <c r="V121" s="178">
        <v>1500</v>
      </c>
      <c r="W121" s="179">
        <v>10</v>
      </c>
      <c r="X121" s="177">
        <v>32998</v>
      </c>
      <c r="Y121" s="177">
        <v>581622</v>
      </c>
      <c r="Z121" s="177">
        <v>7049600</v>
      </c>
      <c r="AA121" s="177">
        <v>1068195</v>
      </c>
      <c r="AB121" s="180">
        <v>6004852</v>
      </c>
      <c r="AC121" s="174">
        <v>160.19999999999999</v>
      </c>
      <c r="AD121" s="177">
        <v>-109.9</v>
      </c>
      <c r="AE121" s="177">
        <v>4.13</v>
      </c>
      <c r="AF121" s="177">
        <v>-0.56000000000000005</v>
      </c>
      <c r="AG121" s="177">
        <v>109.8</v>
      </c>
      <c r="AH121" s="177">
        <v>-110.1</v>
      </c>
      <c r="AI121" s="177">
        <v>3.59</v>
      </c>
      <c r="AJ121" s="174">
        <v>-0.41</v>
      </c>
      <c r="AK121" s="181" t="s">
        <v>59</v>
      </c>
      <c r="AL121" s="182" t="s">
        <v>201</v>
      </c>
      <c r="AM121" s="183"/>
      <c r="AN121" s="182"/>
      <c r="AO121" s="191"/>
      <c r="AP121" s="192"/>
      <c r="AQ121" s="193"/>
      <c r="AR121" s="186"/>
      <c r="AS121" s="187"/>
      <c r="AT121" s="188"/>
      <c r="AU121" s="187"/>
      <c r="AV121" s="187"/>
      <c r="AW121" s="177"/>
      <c r="AX121" s="177"/>
      <c r="AY121" s="177"/>
      <c r="AZ121" s="177"/>
      <c r="BA121" s="187"/>
      <c r="BB121" s="180"/>
      <c r="BC121" s="189"/>
      <c r="BD121" s="189"/>
      <c r="BE121" s="189"/>
      <c r="BF121" s="189"/>
      <c r="BG121" s="189"/>
      <c r="BH121" s="189"/>
      <c r="BI121" s="189"/>
      <c r="BJ121" s="189"/>
      <c r="BK121" s="189"/>
      <c r="BL121" s="189"/>
      <c r="BM121" s="189"/>
      <c r="BN121" s="189"/>
      <c r="BO121" s="189"/>
      <c r="BP121" s="189"/>
      <c r="BQ121" s="189"/>
      <c r="BR121" s="189"/>
    </row>
    <row r="122" spans="1:70" s="190" customFormat="1">
      <c r="A122" s="176">
        <v>120</v>
      </c>
      <c r="F122" s="170">
        <v>43120.043587962966</v>
      </c>
      <c r="G122" s="171">
        <v>43120.056828703702</v>
      </c>
      <c r="H122" s="172">
        <f t="shared" ref="H122" si="51">G122-F122</f>
        <v>1.3240740736364387E-2</v>
      </c>
      <c r="I122" s="173">
        <v>31.56</v>
      </c>
      <c r="J122" s="174" t="s">
        <v>199</v>
      </c>
      <c r="K122" s="175" t="s">
        <v>56</v>
      </c>
      <c r="L122" s="175" t="s">
        <v>57</v>
      </c>
      <c r="M122" s="175">
        <v>-369</v>
      </c>
      <c r="N122" s="176">
        <v>1</v>
      </c>
      <c r="O122" s="176">
        <v>200</v>
      </c>
      <c r="P122" s="175">
        <v>420</v>
      </c>
      <c r="Q122" s="175" t="s">
        <v>185</v>
      </c>
      <c r="R122" s="175" t="s">
        <v>200</v>
      </c>
      <c r="S122" s="177">
        <v>6547</v>
      </c>
      <c r="T122" s="177">
        <v>2246</v>
      </c>
      <c r="U122" s="175">
        <v>983</v>
      </c>
      <c r="V122" s="178">
        <v>1500</v>
      </c>
      <c r="W122" s="179">
        <v>10</v>
      </c>
      <c r="X122" s="177">
        <v>32670</v>
      </c>
      <c r="Y122" s="177">
        <v>580966</v>
      </c>
      <c r="Z122" s="177">
        <v>7933506</v>
      </c>
      <c r="AA122" s="177">
        <v>1024127</v>
      </c>
      <c r="AB122" s="180">
        <v>6935184</v>
      </c>
      <c r="AC122" s="174">
        <v>160.19999999999999</v>
      </c>
      <c r="AD122" s="177">
        <v>-109.9</v>
      </c>
      <c r="AE122" s="177">
        <v>4.13</v>
      </c>
      <c r="AF122" s="177">
        <v>-0.56000000000000005</v>
      </c>
      <c r="AG122" s="177">
        <v>109.8</v>
      </c>
      <c r="AH122" s="177">
        <v>-110.1</v>
      </c>
      <c r="AI122" s="177">
        <v>3.59</v>
      </c>
      <c r="AJ122" s="174">
        <v>-0.41</v>
      </c>
      <c r="AK122" s="181" t="s">
        <v>59</v>
      </c>
      <c r="AL122" s="182" t="s">
        <v>201</v>
      </c>
      <c r="AM122" s="183"/>
      <c r="AN122" s="182"/>
      <c r="AO122" s="191"/>
      <c r="AP122" s="192"/>
      <c r="AQ122" s="193"/>
      <c r="AR122" s="186"/>
      <c r="AS122" s="187"/>
      <c r="AT122" s="188"/>
      <c r="AU122" s="187"/>
      <c r="AV122" s="187"/>
      <c r="AW122" s="177"/>
      <c r="AX122" s="177"/>
      <c r="AY122" s="177"/>
      <c r="AZ122" s="177"/>
      <c r="BA122" s="187"/>
      <c r="BB122" s="180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</row>
    <row r="123" spans="1:70" s="190" customFormat="1">
      <c r="A123" s="176">
        <v>121</v>
      </c>
      <c r="F123" s="170">
        <v>43120.061064814814</v>
      </c>
      <c r="G123" s="171">
        <v>43120.064050925925</v>
      </c>
      <c r="H123" s="172">
        <f t="shared" ref="H123" si="52">G123-F123</f>
        <v>2.9861111106583849E-3</v>
      </c>
      <c r="I123" s="173">
        <v>31.56</v>
      </c>
      <c r="J123" s="174" t="s">
        <v>61</v>
      </c>
      <c r="K123" s="175" t="s">
        <v>56</v>
      </c>
      <c r="L123" s="175" t="s">
        <v>57</v>
      </c>
      <c r="M123" s="175">
        <v>-369</v>
      </c>
      <c r="N123" s="176">
        <v>1</v>
      </c>
      <c r="O123" s="176">
        <v>200</v>
      </c>
      <c r="P123" s="175">
        <v>347</v>
      </c>
      <c r="Q123" s="175" t="s">
        <v>58</v>
      </c>
      <c r="R123" s="175" t="s">
        <v>204</v>
      </c>
      <c r="S123" s="177"/>
      <c r="T123" s="177"/>
      <c r="U123" s="175">
        <v>983</v>
      </c>
      <c r="V123" s="178">
        <v>1500</v>
      </c>
      <c r="W123" s="179"/>
      <c r="X123" s="177"/>
      <c r="Y123" s="177"/>
      <c r="Z123" s="177"/>
      <c r="AA123" s="177"/>
      <c r="AB123" s="180"/>
      <c r="AC123" s="174">
        <v>160.19999999999999</v>
      </c>
      <c r="AD123" s="177">
        <v>-109.9</v>
      </c>
      <c r="AE123" s="177">
        <v>4.13</v>
      </c>
      <c r="AF123" s="177">
        <v>-0.56000000000000005</v>
      </c>
      <c r="AG123" s="177">
        <v>109.8</v>
      </c>
      <c r="AH123" s="177">
        <v>-110.1</v>
      </c>
      <c r="AI123" s="177">
        <v>3.59</v>
      </c>
      <c r="AJ123" s="174">
        <v>-0.41</v>
      </c>
      <c r="AK123" s="181" t="s">
        <v>205</v>
      </c>
      <c r="AL123" s="182" t="s">
        <v>206</v>
      </c>
      <c r="AM123" s="183"/>
      <c r="AN123" s="182"/>
      <c r="AO123" s="191"/>
      <c r="AP123" s="192"/>
      <c r="AQ123" s="193"/>
      <c r="AR123" s="186"/>
      <c r="AS123" s="187"/>
      <c r="AT123" s="188"/>
      <c r="AU123" s="187"/>
      <c r="AV123" s="187"/>
      <c r="AW123" s="177"/>
      <c r="AX123" s="177"/>
      <c r="AY123" s="177"/>
      <c r="AZ123" s="177"/>
      <c r="BA123" s="187"/>
      <c r="BB123" s="180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</row>
    <row r="124" spans="1:70" s="190" customFormat="1">
      <c r="A124" s="176">
        <v>122</v>
      </c>
      <c r="F124" s="170">
        <v>43120.064293981479</v>
      </c>
      <c r="G124" s="171">
        <v>43120.066932870373</v>
      </c>
      <c r="H124" s="172">
        <f t="shared" ref="H124" si="53">G124-F124</f>
        <v>2.6388888945803046E-3</v>
      </c>
      <c r="I124" s="173">
        <v>31.56</v>
      </c>
      <c r="J124" s="174" t="s">
        <v>61</v>
      </c>
      <c r="K124" s="175" t="s">
        <v>56</v>
      </c>
      <c r="L124" s="175" t="s">
        <v>57</v>
      </c>
      <c r="M124" s="175">
        <v>-369</v>
      </c>
      <c r="N124" s="176">
        <v>1</v>
      </c>
      <c r="O124" s="176">
        <v>200</v>
      </c>
      <c r="P124" s="175">
        <v>347</v>
      </c>
      <c r="Q124" s="175" t="s">
        <v>58</v>
      </c>
      <c r="R124" s="175" t="s">
        <v>204</v>
      </c>
      <c r="S124" s="177"/>
      <c r="T124" s="177"/>
      <c r="U124" s="175">
        <v>983</v>
      </c>
      <c r="V124" s="178">
        <v>1500</v>
      </c>
      <c r="W124" s="179"/>
      <c r="X124" s="177"/>
      <c r="Y124" s="177"/>
      <c r="Z124" s="177"/>
      <c r="AA124" s="177"/>
      <c r="AB124" s="180"/>
      <c r="AC124" s="174">
        <v>160.19999999999999</v>
      </c>
      <c r="AD124" s="177">
        <v>-109.9</v>
      </c>
      <c r="AE124" s="177">
        <v>4.13</v>
      </c>
      <c r="AF124" s="177">
        <v>-0.56000000000000005</v>
      </c>
      <c r="AG124" s="177">
        <v>109.8</v>
      </c>
      <c r="AH124" s="177">
        <v>-110.1</v>
      </c>
      <c r="AI124" s="177">
        <v>3.59</v>
      </c>
      <c r="AJ124" s="174">
        <v>-0.41</v>
      </c>
      <c r="AK124" s="181" t="s">
        <v>205</v>
      </c>
      <c r="AL124" s="182" t="s">
        <v>207</v>
      </c>
      <c r="AM124" s="183"/>
      <c r="AN124" s="182"/>
      <c r="AO124" s="191"/>
      <c r="AP124" s="192"/>
      <c r="AQ124" s="193"/>
      <c r="AR124" s="186"/>
      <c r="AS124" s="187"/>
      <c r="AT124" s="188"/>
      <c r="AU124" s="187"/>
      <c r="AV124" s="187"/>
      <c r="AW124" s="177"/>
      <c r="AX124" s="177"/>
      <c r="AY124" s="177"/>
      <c r="AZ124" s="177"/>
      <c r="BA124" s="187"/>
      <c r="BB124" s="180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89"/>
      <c r="BP124" s="189"/>
      <c r="BQ124" s="189"/>
      <c r="BR124" s="189"/>
    </row>
    <row r="125" spans="1:70" s="149" customFormat="1">
      <c r="A125" s="138">
        <v>123</v>
      </c>
      <c r="F125" s="133"/>
      <c r="G125" s="133"/>
      <c r="H125" s="134"/>
      <c r="I125" s="135"/>
      <c r="J125" s="136"/>
      <c r="K125" s="137"/>
      <c r="L125" s="137"/>
      <c r="M125" s="137"/>
      <c r="N125" s="138"/>
      <c r="O125" s="138"/>
      <c r="P125" s="137"/>
      <c r="Q125" s="137"/>
      <c r="R125" s="137"/>
      <c r="S125" s="139"/>
      <c r="T125" s="139"/>
      <c r="U125" s="137"/>
      <c r="V125" s="140"/>
      <c r="W125" s="141"/>
      <c r="X125" s="139"/>
      <c r="Y125" s="139"/>
      <c r="Z125" s="139"/>
      <c r="AA125" s="139"/>
      <c r="AB125" s="142"/>
      <c r="AC125" s="136"/>
      <c r="AD125" s="139"/>
      <c r="AE125" s="139"/>
      <c r="AF125" s="139"/>
      <c r="AG125" s="139"/>
      <c r="AH125" s="139"/>
      <c r="AI125" s="139"/>
      <c r="AJ125" s="136"/>
      <c r="AK125" s="143"/>
      <c r="AL125" s="144" t="s">
        <v>202</v>
      </c>
      <c r="AM125" s="145"/>
      <c r="AN125" s="144"/>
      <c r="AO125" s="151"/>
      <c r="AP125" s="152"/>
      <c r="AQ125" s="160"/>
      <c r="AR125" s="162"/>
      <c r="AS125" s="147"/>
      <c r="AT125" s="164"/>
      <c r="AU125" s="147"/>
      <c r="AV125" s="147"/>
      <c r="AW125" s="139"/>
      <c r="AX125" s="139"/>
      <c r="AY125" s="139"/>
      <c r="AZ125" s="139"/>
      <c r="BA125" s="147"/>
      <c r="BB125" s="142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</row>
    <row r="126" spans="1:70">
      <c r="A126" s="108">
        <v>124</v>
      </c>
      <c r="F126" s="28">
        <v>43120.070844907408</v>
      </c>
      <c r="G126" s="45">
        <v>43120.083379629628</v>
      </c>
      <c r="H126" s="53">
        <f>G126-F126-'user time'!E94</f>
        <v>1.0879629608933628E-3</v>
      </c>
      <c r="I126" s="86">
        <v>31.57</v>
      </c>
      <c r="J126" s="109" t="s">
        <v>61</v>
      </c>
      <c r="K126" s="88" t="s">
        <v>56</v>
      </c>
      <c r="L126" s="88" t="s">
        <v>57</v>
      </c>
      <c r="M126" s="88">
        <v>-369</v>
      </c>
      <c r="N126" s="108">
        <v>1</v>
      </c>
      <c r="O126" s="108">
        <v>200</v>
      </c>
      <c r="P126" s="88">
        <v>347</v>
      </c>
      <c r="Q126" s="88" t="s">
        <v>58</v>
      </c>
      <c r="R126" s="88" t="s">
        <v>263</v>
      </c>
      <c r="S126" s="110">
        <v>6700</v>
      </c>
      <c r="T126" s="110">
        <v>518</v>
      </c>
      <c r="U126" s="88">
        <v>983</v>
      </c>
      <c r="V126" s="90">
        <v>1500</v>
      </c>
      <c r="W126" s="111">
        <v>10</v>
      </c>
      <c r="X126" s="110">
        <v>32968</v>
      </c>
      <c r="Y126" s="110">
        <v>579840</v>
      </c>
      <c r="Z126" s="110">
        <v>4899493</v>
      </c>
      <c r="AA126" s="110">
        <v>1485460</v>
      </c>
      <c r="AB126" s="112">
        <v>3427186</v>
      </c>
      <c r="AC126" s="109">
        <v>160.19999999999999</v>
      </c>
      <c r="AD126" s="110">
        <v>-109.9</v>
      </c>
      <c r="AE126" s="110">
        <v>4.13</v>
      </c>
      <c r="AF126" s="110">
        <v>-0.56000000000000005</v>
      </c>
      <c r="AG126" s="110">
        <v>109.8</v>
      </c>
      <c r="AH126" s="110">
        <v>-110.1</v>
      </c>
      <c r="AI126" s="110">
        <v>3.59</v>
      </c>
      <c r="AJ126" s="109">
        <v>-0.41</v>
      </c>
      <c r="AK126" s="113" t="s">
        <v>208</v>
      </c>
      <c r="AL126" s="107" t="s">
        <v>210</v>
      </c>
      <c r="AN126" s="107">
        <f>AN107</f>
        <v>0.95799999999999996</v>
      </c>
      <c r="AO126" s="48">
        <f t="shared" ref="AO126:AO134" si="54">(HOUR(H126)*60*60+MINUTE(H126)*60+SECOND(H126))/5.52*AA126/W126*AN126</f>
        <v>2423344.9985507252</v>
      </c>
      <c r="AP126" s="156">
        <f t="shared" ref="AP126:AP134" si="55">AO126*0.7</f>
        <v>1696341.4989855075</v>
      </c>
      <c r="AQ126" s="161">
        <f>AP126+AQ107</f>
        <v>191805706.09958336</v>
      </c>
      <c r="AR126" s="163">
        <f>H126+AR107</f>
        <v>0.12145833333877692</v>
      </c>
      <c r="AS126" s="49">
        <f>I126*(HOUR(H126)*60+MINUTE(H126))/60/(7*24)</f>
        <v>3.1319444444444446E-3</v>
      </c>
      <c r="AT126" s="165">
        <f>AS126+AT107</f>
        <v>0.54206845238095236</v>
      </c>
      <c r="AU126" s="254">
        <f t="shared" ref="AU126:AU133" si="56">AA126/W126*AN126</f>
        <v>142307.068</v>
      </c>
      <c r="AV126" s="255">
        <f t="shared" ref="AV126:AV133" si="57">AB126/W126+AA126/W126*(1-AN126)</f>
        <v>348957.53200000001</v>
      </c>
      <c r="AW126" s="256">
        <f t="shared" ref="AW126:AW133" si="58">AU126/AV126</f>
        <v>0.40780626566329564</v>
      </c>
    </row>
    <row r="127" spans="1:70">
      <c r="A127" s="108">
        <v>125</v>
      </c>
      <c r="F127" s="28">
        <v>43120.083958333336</v>
      </c>
      <c r="G127" s="45">
        <v>43120.124525462961</v>
      </c>
      <c r="H127" s="53">
        <f>G127-F127-'user time'!E95</f>
        <v>4.0300925921129174E-2</v>
      </c>
      <c r="I127" s="86">
        <v>31.56</v>
      </c>
      <c r="J127" s="109" t="s">
        <v>61</v>
      </c>
      <c r="K127" s="88" t="s">
        <v>56</v>
      </c>
      <c r="L127" s="88" t="s">
        <v>57</v>
      </c>
      <c r="M127" s="88">
        <v>-369</v>
      </c>
      <c r="N127" s="108">
        <v>1</v>
      </c>
      <c r="O127" s="108">
        <v>200</v>
      </c>
      <c r="P127" s="88">
        <v>347</v>
      </c>
      <c r="Q127" s="88" t="s">
        <v>58</v>
      </c>
      <c r="R127" s="88" t="s">
        <v>261</v>
      </c>
      <c r="S127" s="110">
        <v>9100</v>
      </c>
      <c r="T127" s="110">
        <v>530</v>
      </c>
      <c r="U127" s="88">
        <v>983</v>
      </c>
      <c r="V127" s="90">
        <v>1500</v>
      </c>
      <c r="W127" s="111">
        <v>10</v>
      </c>
      <c r="X127" s="110">
        <v>32851</v>
      </c>
      <c r="Y127" s="110">
        <v>580962</v>
      </c>
      <c r="Z127" s="110">
        <v>4909868</v>
      </c>
      <c r="AA127" s="110">
        <v>1488699</v>
      </c>
      <c r="AB127" s="112">
        <v>3434001</v>
      </c>
      <c r="AC127" s="109">
        <v>160.19999999999999</v>
      </c>
      <c r="AD127" s="110">
        <v>-109.9</v>
      </c>
      <c r="AE127" s="110">
        <v>4.1399999999999997</v>
      </c>
      <c r="AF127" s="110">
        <v>-0.56000000000000005</v>
      </c>
      <c r="AG127" s="110">
        <v>109.8</v>
      </c>
      <c r="AH127" s="110">
        <v>-110.1</v>
      </c>
      <c r="AI127" s="110">
        <v>3.59</v>
      </c>
      <c r="AJ127" s="109">
        <v>-0.41</v>
      </c>
      <c r="AK127" s="113" t="s">
        <v>208</v>
      </c>
      <c r="AL127" s="107" t="s">
        <v>209</v>
      </c>
      <c r="AN127" s="107">
        <v>0.93899999999999995</v>
      </c>
      <c r="AO127" s="48">
        <f t="shared" si="54"/>
        <v>88178392.626847818</v>
      </c>
      <c r="AP127" s="156">
        <f t="shared" si="55"/>
        <v>61724874.838793471</v>
      </c>
      <c r="AQ127" s="161">
        <f t="shared" ref="AQ127:AQ134" si="59">AP127+AQ126</f>
        <v>253530580.93837684</v>
      </c>
      <c r="AR127" s="163">
        <f t="shared" ref="AR127:AR134" si="60">H127+AR126</f>
        <v>0.16175925925990609</v>
      </c>
      <c r="AS127" s="49">
        <f t="shared" ref="AS127" si="61">I127*(HOUR(H127)*60+MINUTE(H127))/60/(7*24)</f>
        <v>0.18159523809523809</v>
      </c>
      <c r="AT127" s="165">
        <f t="shared" ref="AT127:AT134" si="62">AS127+AT126</f>
        <v>0.72366369047619039</v>
      </c>
      <c r="AU127" s="254">
        <f t="shared" si="56"/>
        <v>139788.83609999999</v>
      </c>
      <c r="AV127" s="255">
        <f t="shared" si="57"/>
        <v>352481.16389999999</v>
      </c>
      <c r="AW127" s="256">
        <f t="shared" si="58"/>
        <v>0.39658526587156445</v>
      </c>
    </row>
    <row r="128" spans="1:70">
      <c r="A128" s="108">
        <v>126</v>
      </c>
      <c r="F128" s="28">
        <v>43120.125138888892</v>
      </c>
      <c r="G128" s="45">
        <v>43120.165833333333</v>
      </c>
      <c r="H128" s="53">
        <f>G128-F128-'user time'!E96-'user time'!E97-'user time'!E98</f>
        <v>3.8460648144008958E-2</v>
      </c>
      <c r="I128" s="86">
        <v>31.57</v>
      </c>
      <c r="J128" s="109" t="s">
        <v>61</v>
      </c>
      <c r="K128" s="88" t="s">
        <v>56</v>
      </c>
      <c r="L128" s="88" t="s">
        <v>57</v>
      </c>
      <c r="M128" s="88">
        <v>-369</v>
      </c>
      <c r="N128" s="108">
        <v>1</v>
      </c>
      <c r="O128" s="108">
        <v>200</v>
      </c>
      <c r="P128" s="88">
        <v>347</v>
      </c>
      <c r="Q128" s="88" t="s">
        <v>58</v>
      </c>
      <c r="R128" s="88" t="s">
        <v>264</v>
      </c>
      <c r="S128" s="110">
        <v>9148</v>
      </c>
      <c r="T128" s="110">
        <v>782</v>
      </c>
      <c r="U128" s="88">
        <v>983</v>
      </c>
      <c r="V128" s="90">
        <v>1500</v>
      </c>
      <c r="W128" s="111">
        <v>10</v>
      </c>
      <c r="X128" s="110">
        <v>32804</v>
      </c>
      <c r="Y128" s="110">
        <v>578913</v>
      </c>
      <c r="Z128" s="110">
        <v>4903037</v>
      </c>
      <c r="AA128" s="110">
        <v>1486902</v>
      </c>
      <c r="AB128" s="112">
        <v>3428868</v>
      </c>
      <c r="AC128" s="109">
        <v>160.1</v>
      </c>
      <c r="AD128" s="110">
        <v>-109.9</v>
      </c>
      <c r="AE128" s="110">
        <v>4.1399999999999997</v>
      </c>
      <c r="AF128" s="110">
        <v>-0.56999999999999995</v>
      </c>
      <c r="AG128" s="110">
        <v>109.8</v>
      </c>
      <c r="AH128" s="110">
        <v>-110.1</v>
      </c>
      <c r="AI128" s="110">
        <v>3.59</v>
      </c>
      <c r="AJ128" s="109">
        <v>-0.41</v>
      </c>
      <c r="AK128" s="113" t="s">
        <v>208</v>
      </c>
      <c r="AL128" s="107" t="s">
        <v>211</v>
      </c>
      <c r="AN128" s="107">
        <v>0.94</v>
      </c>
      <c r="AO128" s="48">
        <f t="shared" si="54"/>
        <v>84139797.558695659</v>
      </c>
      <c r="AP128" s="156">
        <f t="shared" si="55"/>
        <v>58897858.291086957</v>
      </c>
      <c r="AQ128" s="161">
        <f t="shared" si="59"/>
        <v>312428439.22946382</v>
      </c>
      <c r="AR128" s="163">
        <f t="shared" si="60"/>
        <v>0.20021990740391504</v>
      </c>
      <c r="AS128" s="49">
        <f t="shared" ref="AS128" si="63">I128*(HOUR(H128)*60+MINUTE(H128))/60/(7*24)</f>
        <v>0.17225694444444445</v>
      </c>
      <c r="AT128" s="165">
        <f t="shared" si="62"/>
        <v>0.89592063492063478</v>
      </c>
      <c r="AU128" s="254">
        <f t="shared" si="56"/>
        <v>139768.788</v>
      </c>
      <c r="AV128" s="255">
        <f t="shared" si="57"/>
        <v>351808.212</v>
      </c>
      <c r="AW128" s="256">
        <f t="shared" si="58"/>
        <v>0.39728688311573579</v>
      </c>
    </row>
    <row r="129" spans="1:70">
      <c r="A129" s="108">
        <v>127</v>
      </c>
      <c r="F129" s="28">
        <v>43120.166712962964</v>
      </c>
      <c r="G129" s="45">
        <v>43120.17150462963</v>
      </c>
      <c r="H129" s="53">
        <f>G129-F129-'user time'!E99</f>
        <v>4.5486111107230498E-3</v>
      </c>
      <c r="I129" s="86">
        <v>31.58</v>
      </c>
      <c r="J129" s="109" t="s">
        <v>61</v>
      </c>
      <c r="K129" s="88" t="s">
        <v>56</v>
      </c>
      <c r="L129" s="88" t="s">
        <v>57</v>
      </c>
      <c r="M129" s="88">
        <v>-369</v>
      </c>
      <c r="N129" s="108">
        <v>1</v>
      </c>
      <c r="O129" s="108">
        <v>200</v>
      </c>
      <c r="P129" s="88">
        <v>347</v>
      </c>
      <c r="Q129" s="88" t="s">
        <v>58</v>
      </c>
      <c r="R129" s="88" t="s">
        <v>261</v>
      </c>
      <c r="S129" s="110">
        <v>9095</v>
      </c>
      <c r="T129" s="110">
        <v>3346</v>
      </c>
      <c r="U129" s="88">
        <v>983</v>
      </c>
      <c r="V129" s="90">
        <v>1400</v>
      </c>
      <c r="W129" s="111">
        <v>10</v>
      </c>
      <c r="X129" s="110">
        <v>32864</v>
      </c>
      <c r="Y129" s="110">
        <v>580650</v>
      </c>
      <c r="Z129" s="110">
        <v>4889212</v>
      </c>
      <c r="AA129" s="110">
        <v>1485925</v>
      </c>
      <c r="AB129" s="112">
        <v>3415992</v>
      </c>
      <c r="AC129" s="109">
        <v>160.19999999999999</v>
      </c>
      <c r="AD129" s="110">
        <v>-109.9</v>
      </c>
      <c r="AE129" s="110">
        <v>4.1399999999999997</v>
      </c>
      <c r="AF129" s="110">
        <v>-0.56000000000000005</v>
      </c>
      <c r="AG129" s="110">
        <v>109.8</v>
      </c>
      <c r="AH129" s="110">
        <v>-110.1</v>
      </c>
      <c r="AI129" s="110">
        <v>3.59</v>
      </c>
      <c r="AJ129" s="109">
        <v>-0.41</v>
      </c>
      <c r="AK129" s="113" t="s">
        <v>208</v>
      </c>
      <c r="AL129" s="107" t="s">
        <v>212</v>
      </c>
      <c r="AN129" s="107">
        <f>AN128</f>
        <v>0.94</v>
      </c>
      <c r="AO129" s="48">
        <f t="shared" si="54"/>
        <v>9944391.5489130449</v>
      </c>
      <c r="AP129" s="156">
        <f t="shared" si="55"/>
        <v>6961074.0842391308</v>
      </c>
      <c r="AQ129" s="161">
        <f t="shared" si="59"/>
        <v>319389513.31370294</v>
      </c>
      <c r="AR129" s="163">
        <f t="shared" si="60"/>
        <v>0.20476851851463809</v>
      </c>
      <c r="AS129" s="49">
        <f t="shared" ref="AS129" si="64">I129*(HOUR(H129)*60+MINUTE(H129))/60/(7*24)</f>
        <v>1.8797619047619046E-2</v>
      </c>
      <c r="AT129" s="165">
        <f t="shared" si="62"/>
        <v>0.91471825396825379</v>
      </c>
      <c r="AU129" s="254">
        <f t="shared" si="56"/>
        <v>139676.94999999998</v>
      </c>
      <c r="AV129" s="255">
        <f t="shared" si="57"/>
        <v>350514.75</v>
      </c>
      <c r="AW129" s="256">
        <f t="shared" si="58"/>
        <v>0.39849093369109284</v>
      </c>
    </row>
    <row r="130" spans="1:70">
      <c r="A130" s="108">
        <v>128</v>
      </c>
      <c r="F130" s="28">
        <v>43120.171886574077</v>
      </c>
      <c r="G130" s="45">
        <v>43120.21261574074</v>
      </c>
      <c r="H130" s="53">
        <f t="shared" ref="H130" si="65">G130-F130</f>
        <v>4.0729166663368233E-2</v>
      </c>
      <c r="I130" s="86">
        <v>31.58</v>
      </c>
      <c r="J130" s="109" t="s">
        <v>61</v>
      </c>
      <c r="K130" s="88" t="s">
        <v>56</v>
      </c>
      <c r="L130" s="88" t="s">
        <v>57</v>
      </c>
      <c r="M130" s="88">
        <v>-369</v>
      </c>
      <c r="N130" s="108">
        <v>1</v>
      </c>
      <c r="O130" s="108">
        <v>200</v>
      </c>
      <c r="P130" s="88">
        <v>347</v>
      </c>
      <c r="Q130" s="88" t="s">
        <v>58</v>
      </c>
      <c r="R130" s="88" t="s">
        <v>261</v>
      </c>
      <c r="S130" s="110">
        <v>9100</v>
      </c>
      <c r="T130" s="110">
        <v>682</v>
      </c>
      <c r="U130" s="88">
        <v>983</v>
      </c>
      <c r="V130" s="90">
        <v>1500</v>
      </c>
      <c r="W130" s="111">
        <v>10</v>
      </c>
      <c r="X130" s="110">
        <v>32904</v>
      </c>
      <c r="Y130" s="110">
        <v>581616</v>
      </c>
      <c r="Z130" s="110">
        <v>4893661</v>
      </c>
      <c r="AA130" s="110">
        <v>1490116</v>
      </c>
      <c r="AB130" s="112">
        <v>3416149</v>
      </c>
      <c r="AC130" s="109">
        <v>160.19999999999999</v>
      </c>
      <c r="AD130" s="110">
        <v>-109.9</v>
      </c>
      <c r="AE130" s="110">
        <v>4.1399999999999997</v>
      </c>
      <c r="AF130" s="110">
        <v>-0.56000000000000005</v>
      </c>
      <c r="AG130" s="110">
        <v>109.8</v>
      </c>
      <c r="AH130" s="110">
        <v>-110.1</v>
      </c>
      <c r="AI130" s="110">
        <v>3.59</v>
      </c>
      <c r="AJ130" s="109">
        <v>-0.41</v>
      </c>
      <c r="AK130" s="113" t="s">
        <v>208</v>
      </c>
      <c r="AL130" s="107" t="s">
        <v>213</v>
      </c>
      <c r="AN130" s="107">
        <v>0.94199999999999995</v>
      </c>
      <c r="AO130" s="48">
        <f t="shared" si="54"/>
        <v>89485191.089999989</v>
      </c>
      <c r="AP130" s="156">
        <f t="shared" si="55"/>
        <v>62639633.762999989</v>
      </c>
      <c r="AQ130" s="161">
        <f t="shared" si="59"/>
        <v>382029147.07670295</v>
      </c>
      <c r="AR130" s="163">
        <f t="shared" si="60"/>
        <v>0.24549768517800633</v>
      </c>
      <c r="AS130" s="49">
        <f t="shared" ref="AS130" si="66">I130*(HOUR(H130)*60+MINUTE(H130))/60/(7*24)</f>
        <v>0.18171031746031746</v>
      </c>
      <c r="AT130" s="165">
        <f t="shared" si="62"/>
        <v>1.0964285714285713</v>
      </c>
      <c r="AU130" s="254">
        <f t="shared" si="56"/>
        <v>140368.92720000001</v>
      </c>
      <c r="AV130" s="255">
        <f t="shared" si="57"/>
        <v>350257.57280000002</v>
      </c>
      <c r="AW130" s="256">
        <f t="shared" si="58"/>
        <v>0.40075915012450514</v>
      </c>
    </row>
    <row r="131" spans="1:70">
      <c r="A131" s="108">
        <v>129</v>
      </c>
      <c r="F131" s="28">
        <v>43120.212754629632</v>
      </c>
      <c r="G131" s="45">
        <v>43120.251701388886</v>
      </c>
      <c r="H131" s="53">
        <f>G131-F131-'user time'!E100</f>
        <v>3.8576388883660995E-2</v>
      </c>
      <c r="I131" s="86">
        <v>31.55</v>
      </c>
      <c r="J131" s="109" t="s">
        <v>61</v>
      </c>
      <c r="K131" s="88" t="s">
        <v>56</v>
      </c>
      <c r="L131" s="88" t="s">
        <v>57</v>
      </c>
      <c r="M131" s="88">
        <v>-369</v>
      </c>
      <c r="N131" s="108">
        <v>1</v>
      </c>
      <c r="O131" s="108">
        <v>200</v>
      </c>
      <c r="P131" s="88">
        <v>347</v>
      </c>
      <c r="Q131" s="88" t="s">
        <v>58</v>
      </c>
      <c r="R131" s="88" t="s">
        <v>261</v>
      </c>
      <c r="S131" s="110">
        <v>8854</v>
      </c>
      <c r="T131" s="110">
        <v>510</v>
      </c>
      <c r="U131" s="88">
        <v>983</v>
      </c>
      <c r="V131" s="90">
        <v>1500</v>
      </c>
      <c r="W131" s="111">
        <v>10</v>
      </c>
      <c r="X131" s="110">
        <v>32663</v>
      </c>
      <c r="Y131" s="110">
        <v>581694</v>
      </c>
      <c r="Z131" s="110">
        <v>4888539</v>
      </c>
      <c r="AA131" s="110">
        <v>1488679</v>
      </c>
      <c r="AB131" s="112">
        <v>3412601</v>
      </c>
      <c r="AC131" s="109">
        <v>160.1</v>
      </c>
      <c r="AD131" s="110">
        <v>-109.9</v>
      </c>
      <c r="AE131" s="110">
        <v>4.1399999999999997</v>
      </c>
      <c r="AF131" s="110">
        <v>-0.56000000000000005</v>
      </c>
      <c r="AG131" s="110">
        <v>109.8</v>
      </c>
      <c r="AH131" s="110">
        <v>-110.1</v>
      </c>
      <c r="AI131" s="110">
        <v>3.59</v>
      </c>
      <c r="AJ131" s="109">
        <v>-0.41</v>
      </c>
      <c r="AK131" s="113" t="s">
        <v>208</v>
      </c>
      <c r="AL131" s="107" t="s">
        <v>209</v>
      </c>
      <c r="AN131" s="107">
        <v>0.93500000000000005</v>
      </c>
      <c r="AO131" s="48">
        <f t="shared" si="54"/>
        <v>84044424.729076102</v>
      </c>
      <c r="AP131" s="156">
        <f t="shared" si="55"/>
        <v>58831097.310353264</v>
      </c>
      <c r="AQ131" s="161">
        <f t="shared" si="59"/>
        <v>440860244.38705623</v>
      </c>
      <c r="AR131" s="163">
        <f t="shared" si="60"/>
        <v>0.28407407406166729</v>
      </c>
      <c r="AS131" s="49">
        <f t="shared" ref="AS131" si="67">I131*(HOUR(H131)*60+MINUTE(H131))/60/(7*24)</f>
        <v>0.17214781746031746</v>
      </c>
      <c r="AT131" s="165">
        <f t="shared" si="62"/>
        <v>1.2685763888888888</v>
      </c>
      <c r="AU131" s="254">
        <f t="shared" si="56"/>
        <v>139191.4865</v>
      </c>
      <c r="AV131" s="255">
        <f t="shared" si="57"/>
        <v>350936.51349999994</v>
      </c>
      <c r="AW131" s="256">
        <f t="shared" si="58"/>
        <v>0.39662868110188831</v>
      </c>
    </row>
    <row r="132" spans="1:70">
      <c r="A132" s="108">
        <v>130</v>
      </c>
      <c r="F132" s="28">
        <v>43120.251736111109</v>
      </c>
      <c r="G132" s="45">
        <v>43120.290925925925</v>
      </c>
      <c r="H132" s="53">
        <f>G132-F132-'user time'!E101</f>
        <v>3.8692129630287175E-2</v>
      </c>
      <c r="I132" s="86">
        <v>31.56</v>
      </c>
      <c r="J132" s="109" t="s">
        <v>61</v>
      </c>
      <c r="K132" s="88" t="s">
        <v>56</v>
      </c>
      <c r="L132" s="88" t="s">
        <v>57</v>
      </c>
      <c r="M132" s="88">
        <v>-369</v>
      </c>
      <c r="N132" s="108">
        <v>1</v>
      </c>
      <c r="O132" s="108">
        <v>200</v>
      </c>
      <c r="P132" s="88">
        <v>347</v>
      </c>
      <c r="Q132" s="88" t="s">
        <v>58</v>
      </c>
      <c r="R132" s="88" t="s">
        <v>261</v>
      </c>
      <c r="S132" s="110">
        <v>9098</v>
      </c>
      <c r="T132" s="110">
        <v>525</v>
      </c>
      <c r="U132" s="88">
        <v>983</v>
      </c>
      <c r="V132" s="90">
        <v>1500</v>
      </c>
      <c r="W132" s="111">
        <v>10</v>
      </c>
      <c r="X132" s="110">
        <v>32844</v>
      </c>
      <c r="Y132" s="110">
        <v>581303</v>
      </c>
      <c r="Z132" s="110">
        <v>4882220</v>
      </c>
      <c r="AA132" s="110">
        <v>1488013</v>
      </c>
      <c r="AB132" s="112">
        <v>3406856</v>
      </c>
      <c r="AC132" s="109">
        <v>160.19999999999999</v>
      </c>
      <c r="AD132" s="110">
        <v>-109.9</v>
      </c>
      <c r="AE132" s="110">
        <v>4.1399999999999997</v>
      </c>
      <c r="AF132" s="110">
        <v>-0.56000000000000005</v>
      </c>
      <c r="AG132" s="110">
        <v>109.8</v>
      </c>
      <c r="AH132" s="110">
        <v>-110.1</v>
      </c>
      <c r="AI132" s="110">
        <v>3.59</v>
      </c>
      <c r="AJ132" s="109">
        <v>-0.42</v>
      </c>
      <c r="AK132" s="113" t="s">
        <v>208</v>
      </c>
      <c r="AL132" s="107" t="s">
        <v>209</v>
      </c>
      <c r="AN132" s="107">
        <v>0.93700000000000006</v>
      </c>
      <c r="AO132" s="48">
        <f t="shared" si="54"/>
        <v>84439103.787735507</v>
      </c>
      <c r="AP132" s="156">
        <f t="shared" si="55"/>
        <v>59107372.651414849</v>
      </c>
      <c r="AQ132" s="161">
        <f t="shared" si="59"/>
        <v>499967617.0384711</v>
      </c>
      <c r="AR132" s="163">
        <f t="shared" si="60"/>
        <v>0.32276620369195447</v>
      </c>
      <c r="AS132" s="49">
        <f t="shared" ref="AS132" si="68">I132*(HOUR(H132)*60+MINUTE(H132))/60/(7*24)</f>
        <v>0.17220238095238094</v>
      </c>
      <c r="AT132" s="165">
        <f t="shared" si="62"/>
        <v>1.4407787698412697</v>
      </c>
      <c r="AU132" s="254">
        <f t="shared" si="56"/>
        <v>139426.8181</v>
      </c>
      <c r="AV132" s="255">
        <f t="shared" si="57"/>
        <v>350060.08189999999</v>
      </c>
      <c r="AW132" s="256">
        <f t="shared" si="58"/>
        <v>0.39829396526231003</v>
      </c>
    </row>
    <row r="133" spans="1:70">
      <c r="A133" s="108">
        <v>131</v>
      </c>
      <c r="F133" s="28">
        <v>43120.290949074071</v>
      </c>
      <c r="G133" s="45">
        <v>43120.329953703702</v>
      </c>
      <c r="H133" s="53">
        <f>G133-F133-'user time'!E102-'user time'!E103</f>
        <v>3.8425925926949933E-2</v>
      </c>
      <c r="I133" s="86">
        <v>31.61</v>
      </c>
      <c r="J133" s="109" t="s">
        <v>61</v>
      </c>
      <c r="K133" s="88" t="s">
        <v>56</v>
      </c>
      <c r="L133" s="88" t="s">
        <v>57</v>
      </c>
      <c r="M133" s="88">
        <v>-369</v>
      </c>
      <c r="N133" s="108">
        <v>1</v>
      </c>
      <c r="O133" s="108">
        <v>200</v>
      </c>
      <c r="P133" s="88">
        <v>347</v>
      </c>
      <c r="Q133" s="88" t="s">
        <v>58</v>
      </c>
      <c r="R133" s="88" t="s">
        <v>261</v>
      </c>
      <c r="S133" s="110">
        <v>9102</v>
      </c>
      <c r="T133" s="110">
        <v>523</v>
      </c>
      <c r="U133" s="88">
        <v>983</v>
      </c>
      <c r="V133" s="90">
        <v>1500</v>
      </c>
      <c r="W133" s="111">
        <v>10</v>
      </c>
      <c r="X133" s="110">
        <v>32901</v>
      </c>
      <c r="Y133" s="110">
        <v>579688</v>
      </c>
      <c r="Z133" s="110">
        <v>4884052</v>
      </c>
      <c r="AA133" s="110">
        <v>1488933</v>
      </c>
      <c r="AB133" s="112">
        <v>3407478</v>
      </c>
      <c r="AC133" s="109">
        <v>160.19999999999999</v>
      </c>
      <c r="AD133" s="110">
        <v>-109.9</v>
      </c>
      <c r="AE133" s="110">
        <v>4.13</v>
      </c>
      <c r="AF133" s="110">
        <v>-0.56000000000000005</v>
      </c>
      <c r="AG133" s="110">
        <v>109.8</v>
      </c>
      <c r="AH133" s="110">
        <v>-110.1</v>
      </c>
      <c r="AI133" s="110">
        <v>3.59</v>
      </c>
      <c r="AJ133" s="109">
        <v>-0.42</v>
      </c>
      <c r="AK133" s="113" t="s">
        <v>208</v>
      </c>
      <c r="AL133" s="107" t="s">
        <v>209</v>
      </c>
      <c r="AN133" s="107">
        <v>0.94</v>
      </c>
      <c r="AO133" s="48">
        <f t="shared" si="54"/>
        <v>84178661.347826079</v>
      </c>
      <c r="AP133" s="156">
        <f t="shared" si="55"/>
        <v>58925062.943478249</v>
      </c>
      <c r="AQ133" s="161">
        <f t="shared" si="59"/>
        <v>558892679.98194933</v>
      </c>
      <c r="AR133" s="163">
        <f t="shared" si="60"/>
        <v>0.3611921296189044</v>
      </c>
      <c r="AS133" s="49">
        <f t="shared" ref="AS133" si="69">I133*(HOUR(H133)*60+MINUTE(H133))/60/(7*24)</f>
        <v>0.17247519841269843</v>
      </c>
      <c r="AT133" s="165">
        <f t="shared" si="62"/>
        <v>1.6132539682539682</v>
      </c>
      <c r="AU133" s="254">
        <f t="shared" si="56"/>
        <v>139959.70199999999</v>
      </c>
      <c r="AV133" s="255">
        <f t="shared" si="57"/>
        <v>349681.39799999999</v>
      </c>
      <c r="AW133" s="256">
        <f t="shared" si="58"/>
        <v>0.40024920627891103</v>
      </c>
    </row>
    <row r="134" spans="1:70">
      <c r="A134" s="108">
        <v>132</v>
      </c>
      <c r="F134" s="28">
        <v>43120.330011574071</v>
      </c>
      <c r="G134" s="45">
        <v>43120.371516203704</v>
      </c>
      <c r="H134" s="53">
        <f>G134-F134-'user time'!E104-'user time'!E105</f>
        <v>4.1076388892241245E-2</v>
      </c>
      <c r="I134" s="86">
        <v>31.58</v>
      </c>
      <c r="J134" s="109" t="s">
        <v>61</v>
      </c>
      <c r="K134" s="88" t="s">
        <v>56</v>
      </c>
      <c r="L134" s="88" t="s">
        <v>57</v>
      </c>
      <c r="M134" s="88">
        <v>-369</v>
      </c>
      <c r="N134" s="108">
        <v>1</v>
      </c>
      <c r="O134" s="108">
        <v>200</v>
      </c>
      <c r="P134" s="88">
        <v>347</v>
      </c>
      <c r="Q134" s="88" t="s">
        <v>58</v>
      </c>
      <c r="R134" s="88" t="s">
        <v>261</v>
      </c>
      <c r="S134" s="110">
        <v>9108</v>
      </c>
      <c r="T134" s="110">
        <v>527</v>
      </c>
      <c r="U134" s="88">
        <v>983</v>
      </c>
      <c r="V134" s="90">
        <v>1500</v>
      </c>
      <c r="W134" s="111">
        <v>10</v>
      </c>
      <c r="X134" s="110">
        <v>32927</v>
      </c>
      <c r="Y134" s="110">
        <v>579862</v>
      </c>
      <c r="Z134" s="110">
        <v>4876700</v>
      </c>
      <c r="AA134" s="110">
        <v>1484225</v>
      </c>
      <c r="AB134" s="112">
        <v>3405121</v>
      </c>
      <c r="AC134" s="109">
        <v>160.19999999999999</v>
      </c>
      <c r="AD134" s="110">
        <v>-109.9</v>
      </c>
      <c r="AE134" s="110">
        <v>4.13</v>
      </c>
      <c r="AF134" s="110">
        <v>-0.56000000000000005</v>
      </c>
      <c r="AG134" s="110">
        <v>109.8</v>
      </c>
      <c r="AH134" s="110">
        <v>-110.1</v>
      </c>
      <c r="AI134" s="110">
        <v>3.59</v>
      </c>
      <c r="AJ134" s="109">
        <v>-0.42</v>
      </c>
      <c r="AK134" s="113" t="s">
        <v>208</v>
      </c>
      <c r="AL134" s="107" t="s">
        <v>238</v>
      </c>
      <c r="AN134" s="107">
        <v>0.94099999999999995</v>
      </c>
      <c r="AO134" s="48">
        <f t="shared" si="54"/>
        <v>89795854.493206546</v>
      </c>
      <c r="AP134" s="156">
        <f t="shared" si="55"/>
        <v>62857098.145244576</v>
      </c>
      <c r="AQ134" s="161">
        <f t="shared" si="59"/>
        <v>621749778.12719393</v>
      </c>
      <c r="AR134" s="163">
        <f t="shared" si="60"/>
        <v>0.40226851851114565</v>
      </c>
      <c r="AS134" s="49">
        <f t="shared" ref="AS134" si="70">I134*(HOUR(H134)*60+MINUTE(H134))/60/(7*24)</f>
        <v>0.18484325396825396</v>
      </c>
      <c r="AT134" s="165">
        <f t="shared" si="62"/>
        <v>1.7980972222222222</v>
      </c>
      <c r="AU134" s="254">
        <f>AA134/W134*AN134</f>
        <v>139665.57249999998</v>
      </c>
      <c r="AV134" s="255">
        <f>AB134/W134+AA134/W134*(1-AN134)</f>
        <v>349269.02749999997</v>
      </c>
      <c r="AW134" s="256">
        <f>AU134/AV134</f>
        <v>0.39987963862613035</v>
      </c>
    </row>
    <row r="135" spans="1:70" s="149" customFormat="1">
      <c r="A135" s="138">
        <v>133</v>
      </c>
      <c r="F135" s="133"/>
      <c r="G135" s="133"/>
      <c r="H135" s="134"/>
      <c r="I135" s="135"/>
      <c r="J135" s="136"/>
      <c r="K135" s="137"/>
      <c r="L135" s="137"/>
      <c r="M135" s="137"/>
      <c r="N135" s="138"/>
      <c r="O135" s="138"/>
      <c r="P135" s="137"/>
      <c r="Q135" s="137"/>
      <c r="R135" s="137"/>
      <c r="S135" s="139"/>
      <c r="T135" s="139"/>
      <c r="U135" s="137"/>
      <c r="V135" s="140"/>
      <c r="W135" s="141"/>
      <c r="X135" s="139"/>
      <c r="Y135" s="139"/>
      <c r="Z135" s="139"/>
      <c r="AA135" s="139"/>
      <c r="AB135" s="142"/>
      <c r="AC135" s="136"/>
      <c r="AD135" s="139"/>
      <c r="AE135" s="139"/>
      <c r="AF135" s="139"/>
      <c r="AG135" s="139"/>
      <c r="AH135" s="139"/>
      <c r="AI135" s="139"/>
      <c r="AJ135" s="136"/>
      <c r="AK135" s="143"/>
      <c r="AL135" s="144" t="s">
        <v>243</v>
      </c>
      <c r="AM135" s="145"/>
      <c r="AN135" s="144"/>
      <c r="AO135" s="151"/>
      <c r="AP135" s="152"/>
      <c r="AQ135" s="160"/>
      <c r="AR135" s="162"/>
      <c r="AS135" s="147"/>
      <c r="AT135" s="164"/>
      <c r="AU135" s="147"/>
      <c r="AV135" s="147"/>
      <c r="AW135" s="139"/>
      <c r="AX135" s="139"/>
      <c r="AY135" s="139"/>
      <c r="AZ135" s="139"/>
      <c r="BA135" s="147"/>
      <c r="BB135" s="142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</row>
    <row r="136" spans="1:70" s="190" customFormat="1">
      <c r="A136" s="176">
        <v>134</v>
      </c>
      <c r="F136" s="170">
        <v>43125.995115740741</v>
      </c>
      <c r="G136" s="171">
        <v>43125.99800925926</v>
      </c>
      <c r="H136" s="172">
        <f>G136-F136</f>
        <v>2.8935185182490386E-3</v>
      </c>
      <c r="I136" s="173">
        <v>33.520000000000003</v>
      </c>
      <c r="J136" s="174" t="s">
        <v>61</v>
      </c>
      <c r="K136" s="175" t="s">
        <v>56</v>
      </c>
      <c r="L136" s="175" t="s">
        <v>57</v>
      </c>
      <c r="M136" s="175">
        <v>-369</v>
      </c>
      <c r="N136" s="176">
        <v>1</v>
      </c>
      <c r="O136" s="176">
        <v>200</v>
      </c>
      <c r="P136" s="175">
        <v>347</v>
      </c>
      <c r="Q136" s="175" t="s">
        <v>58</v>
      </c>
      <c r="R136" s="175" t="s">
        <v>91</v>
      </c>
      <c r="S136" s="177"/>
      <c r="T136" s="177"/>
      <c r="U136" s="175"/>
      <c r="V136" s="178"/>
      <c r="W136" s="179">
        <v>10</v>
      </c>
      <c r="X136" s="177">
        <v>32832</v>
      </c>
      <c r="Y136" s="177">
        <v>582153</v>
      </c>
      <c r="Z136" s="177">
        <v>4670777</v>
      </c>
      <c r="AA136" s="177">
        <v>1466847</v>
      </c>
      <c r="AB136" s="180">
        <v>3215425</v>
      </c>
      <c r="AC136" s="174">
        <v>160</v>
      </c>
      <c r="AD136" s="177">
        <v>-109.9</v>
      </c>
      <c r="AE136" s="177">
        <v>4.13</v>
      </c>
      <c r="AF136" s="177">
        <v>-0.56999999999999995</v>
      </c>
      <c r="AG136" s="177">
        <v>109.8</v>
      </c>
      <c r="AH136" s="177">
        <v>-110</v>
      </c>
      <c r="AI136" s="177">
        <v>3.62</v>
      </c>
      <c r="AJ136" s="174">
        <v>-0.4</v>
      </c>
      <c r="AK136" s="181" t="s">
        <v>59</v>
      </c>
      <c r="AL136" s="182" t="s">
        <v>259</v>
      </c>
      <c r="AM136" s="183"/>
      <c r="AN136" s="182"/>
      <c r="AO136" s="191"/>
      <c r="AP136" s="192"/>
      <c r="AQ136" s="193"/>
      <c r="AR136" s="186"/>
      <c r="AS136" s="187"/>
      <c r="AT136" s="188"/>
      <c r="AU136" s="187"/>
      <c r="AV136" s="187"/>
      <c r="AW136" s="177"/>
      <c r="AX136" s="177"/>
      <c r="AY136" s="177"/>
      <c r="AZ136" s="177"/>
      <c r="BA136" s="187"/>
      <c r="BB136" s="180"/>
      <c r="BC136" s="189"/>
      <c r="BD136" s="189"/>
      <c r="BE136" s="189"/>
      <c r="BF136" s="189"/>
      <c r="BG136" s="189"/>
      <c r="BH136" s="189"/>
      <c r="BI136" s="189"/>
      <c r="BJ136" s="189"/>
      <c r="BK136" s="189"/>
      <c r="BL136" s="189"/>
      <c r="BM136" s="189"/>
      <c r="BN136" s="189"/>
      <c r="BO136" s="189"/>
      <c r="BP136" s="189"/>
      <c r="BQ136" s="189"/>
      <c r="BR136" s="189"/>
    </row>
    <row r="137" spans="1:70" s="190" customFormat="1">
      <c r="A137" s="176">
        <v>135</v>
      </c>
      <c r="F137" s="170">
        <v>43125.998842592591</v>
      </c>
      <c r="G137" s="171">
        <v>43126.001331018517</v>
      </c>
      <c r="H137" s="172">
        <f>G137-F137</f>
        <v>2.488425925548654E-3</v>
      </c>
      <c r="I137" s="173">
        <v>33.520000000000003</v>
      </c>
      <c r="J137" s="174" t="s">
        <v>61</v>
      </c>
      <c r="K137" s="175" t="s">
        <v>56</v>
      </c>
      <c r="L137" s="175" t="s">
        <v>57</v>
      </c>
      <c r="M137" s="175">
        <v>-369</v>
      </c>
      <c r="N137" s="176">
        <v>1</v>
      </c>
      <c r="O137" s="176">
        <v>200</v>
      </c>
      <c r="P137" s="175">
        <v>347</v>
      </c>
      <c r="Q137" s="175" t="s">
        <v>58</v>
      </c>
      <c r="R137" s="175" t="s">
        <v>244</v>
      </c>
      <c r="S137" s="177"/>
      <c r="T137" s="177"/>
      <c r="U137" s="175"/>
      <c r="V137" s="178"/>
      <c r="W137" s="179">
        <v>10</v>
      </c>
      <c r="X137" s="177">
        <v>32971</v>
      </c>
      <c r="Y137" s="177">
        <v>582989</v>
      </c>
      <c r="Z137" s="177">
        <v>1614276</v>
      </c>
      <c r="AA137" s="177">
        <v>448478</v>
      </c>
      <c r="AB137" s="180">
        <v>1169293</v>
      </c>
      <c r="AC137" s="174">
        <v>160</v>
      </c>
      <c r="AD137" s="177">
        <v>-109.9</v>
      </c>
      <c r="AE137" s="177">
        <v>4.13</v>
      </c>
      <c r="AF137" s="177">
        <v>-0.56999999999999995</v>
      </c>
      <c r="AG137" s="177">
        <v>109.8</v>
      </c>
      <c r="AH137" s="177">
        <v>-110</v>
      </c>
      <c r="AI137" s="177">
        <v>3.62</v>
      </c>
      <c r="AJ137" s="174">
        <v>-0.4</v>
      </c>
      <c r="AK137" s="181" t="s">
        <v>62</v>
      </c>
      <c r="AL137" s="182" t="s">
        <v>252</v>
      </c>
      <c r="AM137" s="183"/>
      <c r="AN137" s="182"/>
      <c r="AO137" s="191"/>
      <c r="AP137" s="192"/>
      <c r="AQ137" s="193"/>
      <c r="AR137" s="186"/>
      <c r="AS137" s="187"/>
      <c r="AT137" s="188"/>
      <c r="AU137" s="187"/>
      <c r="AV137" s="187"/>
      <c r="AW137" s="177"/>
      <c r="AX137" s="177"/>
      <c r="AY137" s="177"/>
      <c r="AZ137" s="177"/>
      <c r="BA137" s="187"/>
      <c r="BB137" s="180"/>
      <c r="BC137" s="189"/>
      <c r="BD137" s="189"/>
      <c r="BE137" s="189"/>
      <c r="BF137" s="189"/>
      <c r="BG137" s="189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  <c r="BR137" s="189"/>
    </row>
    <row r="138" spans="1:70" s="190" customFormat="1">
      <c r="A138" s="176">
        <v>136</v>
      </c>
      <c r="F138" s="170">
        <v>43126.001655092594</v>
      </c>
      <c r="G138" s="171">
        <v>43126.001655092594</v>
      </c>
      <c r="H138" s="227">
        <f>G138-F138</f>
        <v>0</v>
      </c>
      <c r="I138" s="173">
        <v>33.520000000000003</v>
      </c>
      <c r="J138" s="174" t="s">
        <v>61</v>
      </c>
      <c r="K138" s="175" t="s">
        <v>56</v>
      </c>
      <c r="L138" s="175" t="s">
        <v>57</v>
      </c>
      <c r="M138" s="175">
        <v>-369</v>
      </c>
      <c r="N138" s="176">
        <v>1</v>
      </c>
      <c r="O138" s="176">
        <v>200</v>
      </c>
      <c r="P138" s="175">
        <v>347</v>
      </c>
      <c r="Q138" s="175" t="s">
        <v>58</v>
      </c>
      <c r="R138" s="175" t="s">
        <v>244</v>
      </c>
      <c r="S138" s="177"/>
      <c r="T138" s="177"/>
      <c r="U138" s="175"/>
      <c r="V138" s="178"/>
      <c r="W138" s="179">
        <v>10</v>
      </c>
      <c r="X138" s="177">
        <v>32848</v>
      </c>
      <c r="Y138" s="177">
        <v>582303</v>
      </c>
      <c r="Z138" s="177">
        <v>79042</v>
      </c>
      <c r="AA138" s="177">
        <v>13376</v>
      </c>
      <c r="AB138" s="180">
        <v>65736</v>
      </c>
      <c r="AC138" s="174">
        <v>160</v>
      </c>
      <c r="AD138" s="177">
        <v>-109.9</v>
      </c>
      <c r="AE138" s="177">
        <v>4.13</v>
      </c>
      <c r="AF138" s="177">
        <v>-0.56999999999999995</v>
      </c>
      <c r="AG138" s="177">
        <v>109.8</v>
      </c>
      <c r="AH138" s="177">
        <v>-110</v>
      </c>
      <c r="AI138" s="177">
        <v>3.62</v>
      </c>
      <c r="AJ138" s="174">
        <v>-0.4</v>
      </c>
      <c r="AK138" s="181" t="s">
        <v>62</v>
      </c>
      <c r="AL138" s="182" t="s">
        <v>253</v>
      </c>
      <c r="AM138" s="183"/>
      <c r="AN138" s="182"/>
      <c r="AO138" s="191"/>
      <c r="AP138" s="192"/>
      <c r="AQ138" s="193"/>
      <c r="AR138" s="186"/>
      <c r="AS138" s="187"/>
      <c r="AT138" s="188"/>
      <c r="AU138" s="187"/>
      <c r="AV138" s="187"/>
      <c r="AW138" s="177"/>
      <c r="AX138" s="177"/>
      <c r="AY138" s="177"/>
      <c r="AZ138" s="177"/>
      <c r="BA138" s="187"/>
      <c r="BB138" s="180"/>
      <c r="BC138" s="189"/>
      <c r="BD138" s="189"/>
      <c r="BE138" s="189"/>
      <c r="BF138" s="189"/>
      <c r="BG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  <c r="BR138" s="189"/>
    </row>
    <row r="139" spans="1:70" s="190" customFormat="1">
      <c r="A139" s="176">
        <v>137</v>
      </c>
      <c r="F139" s="170">
        <v>43126.010787037034</v>
      </c>
      <c r="G139" s="171">
        <v>43126.012731481482</v>
      </c>
      <c r="H139" s="227">
        <f t="shared" ref="H139:H149" si="71">G139-F139</f>
        <v>1.9444444478722289E-3</v>
      </c>
      <c r="I139" s="173">
        <v>33.520000000000003</v>
      </c>
      <c r="J139" s="174" t="s">
        <v>61</v>
      </c>
      <c r="K139" s="175" t="s">
        <v>56</v>
      </c>
      <c r="L139" s="175" t="s">
        <v>57</v>
      </c>
      <c r="M139" s="175">
        <v>-369</v>
      </c>
      <c r="N139" s="176">
        <v>1</v>
      </c>
      <c r="O139" s="176">
        <v>200</v>
      </c>
      <c r="P139" s="175">
        <v>347</v>
      </c>
      <c r="Q139" s="175" t="s">
        <v>58</v>
      </c>
      <c r="R139" s="175" t="s">
        <v>245</v>
      </c>
      <c r="S139" s="177"/>
      <c r="T139" s="177"/>
      <c r="U139" s="175"/>
      <c r="V139" s="178">
        <v>-1900</v>
      </c>
      <c r="W139" s="179"/>
      <c r="X139" s="177"/>
      <c r="Y139" s="177"/>
      <c r="Z139" s="177"/>
      <c r="AA139" s="177"/>
      <c r="AB139" s="180"/>
      <c r="AC139" s="174"/>
      <c r="AD139" s="177"/>
      <c r="AE139" s="177"/>
      <c r="AF139" s="177"/>
      <c r="AG139" s="177"/>
      <c r="AH139" s="177"/>
      <c r="AI139" s="177"/>
      <c r="AJ139" s="174"/>
      <c r="AK139" s="181"/>
      <c r="AL139" s="182" t="s">
        <v>254</v>
      </c>
      <c r="AM139" s="183"/>
      <c r="AN139" s="182"/>
      <c r="AO139" s="191"/>
      <c r="AP139" s="192"/>
      <c r="AQ139" s="193"/>
      <c r="AR139" s="186"/>
      <c r="AS139" s="187"/>
      <c r="AT139" s="188"/>
      <c r="AU139" s="187"/>
      <c r="AV139" s="187"/>
      <c r="AW139" s="177"/>
      <c r="AX139" s="177"/>
      <c r="AY139" s="177"/>
      <c r="AZ139" s="177"/>
      <c r="BA139" s="187"/>
      <c r="BB139" s="180"/>
      <c r="BC139" s="189"/>
      <c r="BD139" s="189"/>
      <c r="BE139" s="189"/>
      <c r="BF139" s="189"/>
      <c r="BG139" s="189"/>
      <c r="BH139" s="189"/>
      <c r="BI139" s="189"/>
      <c r="BJ139" s="189"/>
      <c r="BK139" s="189"/>
      <c r="BL139" s="189"/>
      <c r="BM139" s="189"/>
      <c r="BN139" s="189"/>
      <c r="BO139" s="189"/>
      <c r="BP139" s="189"/>
      <c r="BQ139" s="189"/>
      <c r="BR139" s="189"/>
    </row>
    <row r="140" spans="1:70" s="190" customFormat="1">
      <c r="A140" s="176">
        <v>138</v>
      </c>
      <c r="F140" s="170">
        <v>43126.01290509259</v>
      </c>
      <c r="G140" s="171">
        <v>43126.014490740738</v>
      </c>
      <c r="H140" s="227">
        <f t="shared" si="71"/>
        <v>1.5856481477385387E-3</v>
      </c>
      <c r="I140" s="173">
        <v>33.520000000000003</v>
      </c>
      <c r="J140" s="174" t="s">
        <v>61</v>
      </c>
      <c r="K140" s="175" t="s">
        <v>56</v>
      </c>
      <c r="L140" s="175" t="s">
        <v>57</v>
      </c>
      <c r="M140" s="175">
        <v>-369</v>
      </c>
      <c r="N140" s="176">
        <v>1</v>
      </c>
      <c r="O140" s="176">
        <v>200</v>
      </c>
      <c r="P140" s="175">
        <v>347</v>
      </c>
      <c r="Q140" s="175" t="s">
        <v>58</v>
      </c>
      <c r="R140" s="175" t="s">
        <v>245</v>
      </c>
      <c r="S140" s="177"/>
      <c r="T140" s="177"/>
      <c r="U140" s="175"/>
      <c r="V140" s="178">
        <v>-1550</v>
      </c>
      <c r="W140" s="179"/>
      <c r="X140" s="177"/>
      <c r="Y140" s="177"/>
      <c r="Z140" s="177"/>
      <c r="AA140" s="177"/>
      <c r="AB140" s="180"/>
      <c r="AC140" s="174"/>
      <c r="AD140" s="177"/>
      <c r="AE140" s="177"/>
      <c r="AF140" s="177"/>
      <c r="AG140" s="177"/>
      <c r="AH140" s="177"/>
      <c r="AI140" s="177"/>
      <c r="AJ140" s="174"/>
      <c r="AK140" s="181"/>
      <c r="AL140" s="182" t="s">
        <v>255</v>
      </c>
      <c r="AM140" s="183"/>
      <c r="AN140" s="182"/>
      <c r="AO140" s="191"/>
      <c r="AP140" s="192"/>
      <c r="AQ140" s="193"/>
      <c r="AR140" s="186"/>
      <c r="AS140" s="187"/>
      <c r="AT140" s="188"/>
      <c r="AU140" s="187"/>
      <c r="AV140" s="187"/>
      <c r="AW140" s="177"/>
      <c r="AX140" s="177"/>
      <c r="AY140" s="177"/>
      <c r="AZ140" s="177"/>
      <c r="BA140" s="187"/>
      <c r="BB140" s="180"/>
      <c r="BC140" s="189"/>
      <c r="BD140" s="189"/>
      <c r="BE140" s="189"/>
      <c r="BF140" s="189"/>
      <c r="BG140" s="189"/>
      <c r="BH140" s="189"/>
      <c r="BI140" s="189"/>
      <c r="BJ140" s="189"/>
      <c r="BK140" s="189"/>
      <c r="BL140" s="189"/>
      <c r="BM140" s="189"/>
      <c r="BN140" s="189"/>
      <c r="BO140" s="189"/>
      <c r="BP140" s="189"/>
      <c r="BQ140" s="189"/>
      <c r="BR140" s="189"/>
    </row>
    <row r="141" spans="1:70" s="190" customFormat="1">
      <c r="A141" s="176">
        <v>139</v>
      </c>
      <c r="F141" s="170">
        <v>43126.014664351853</v>
      </c>
      <c r="G141" s="171">
        <v>43126.016215277778</v>
      </c>
      <c r="H141" s="227">
        <f t="shared" si="71"/>
        <v>1.5509259246755391E-3</v>
      </c>
      <c r="I141" s="173">
        <v>33.520000000000003</v>
      </c>
      <c r="J141" s="174" t="s">
        <v>61</v>
      </c>
      <c r="K141" s="175" t="s">
        <v>56</v>
      </c>
      <c r="L141" s="175" t="s">
        <v>57</v>
      </c>
      <c r="M141" s="175">
        <v>-369</v>
      </c>
      <c r="N141" s="176">
        <v>1</v>
      </c>
      <c r="O141" s="176">
        <v>200</v>
      </c>
      <c r="P141" s="175">
        <v>347</v>
      </c>
      <c r="Q141" s="175" t="s">
        <v>58</v>
      </c>
      <c r="R141" s="175" t="s">
        <v>245</v>
      </c>
      <c r="S141" s="177"/>
      <c r="T141" s="177"/>
      <c r="U141" s="175"/>
      <c r="V141" s="178">
        <v>-1200</v>
      </c>
      <c r="W141" s="179"/>
      <c r="X141" s="177"/>
      <c r="Y141" s="177"/>
      <c r="Z141" s="177"/>
      <c r="AA141" s="177"/>
      <c r="AB141" s="180"/>
      <c r="AC141" s="174"/>
      <c r="AD141" s="177"/>
      <c r="AE141" s="177"/>
      <c r="AF141" s="177"/>
      <c r="AG141" s="177"/>
      <c r="AH141" s="177"/>
      <c r="AI141" s="177"/>
      <c r="AJ141" s="174"/>
      <c r="AK141" s="181"/>
      <c r="AL141" s="182" t="s">
        <v>256</v>
      </c>
      <c r="AM141" s="183"/>
      <c r="AN141" s="182"/>
      <c r="AO141" s="191"/>
      <c r="AP141" s="192"/>
      <c r="AQ141" s="193"/>
      <c r="AR141" s="186"/>
      <c r="AS141" s="187"/>
      <c r="AT141" s="188"/>
      <c r="AU141" s="187"/>
      <c r="AV141" s="187"/>
      <c r="AW141" s="177"/>
      <c r="AX141" s="177"/>
      <c r="AY141" s="177"/>
      <c r="AZ141" s="177"/>
      <c r="BA141" s="187"/>
      <c r="BB141" s="180"/>
      <c r="BC141" s="189"/>
      <c r="BD141" s="189"/>
      <c r="BE141" s="189"/>
      <c r="BF141" s="189"/>
      <c r="BG141" s="189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  <c r="BR141" s="189"/>
    </row>
    <row r="142" spans="1:70" s="190" customFormat="1">
      <c r="A142" s="176">
        <v>140</v>
      </c>
      <c r="F142" s="170">
        <v>43126.016226851854</v>
      </c>
      <c r="G142" s="171">
        <v>43126.018090277779</v>
      </c>
      <c r="H142" s="227">
        <f t="shared" si="71"/>
        <v>1.8634259249665774E-3</v>
      </c>
      <c r="I142" s="173">
        <v>33.520000000000003</v>
      </c>
      <c r="J142" s="174" t="s">
        <v>61</v>
      </c>
      <c r="K142" s="175" t="s">
        <v>56</v>
      </c>
      <c r="L142" s="175" t="s">
        <v>57</v>
      </c>
      <c r="M142" s="175">
        <v>-369</v>
      </c>
      <c r="N142" s="176">
        <v>1</v>
      </c>
      <c r="O142" s="176">
        <v>200</v>
      </c>
      <c r="P142" s="175">
        <v>347</v>
      </c>
      <c r="Q142" s="175" t="s">
        <v>58</v>
      </c>
      <c r="R142" s="175" t="s">
        <v>245</v>
      </c>
      <c r="S142" s="177"/>
      <c r="T142" s="177"/>
      <c r="U142" s="175"/>
      <c r="V142" s="178">
        <v>-900</v>
      </c>
      <c r="W142" s="179"/>
      <c r="X142" s="177"/>
      <c r="Y142" s="177"/>
      <c r="Z142" s="177"/>
      <c r="AA142" s="177"/>
      <c r="AB142" s="180"/>
      <c r="AC142" s="174"/>
      <c r="AD142" s="177"/>
      <c r="AE142" s="177"/>
      <c r="AF142" s="177"/>
      <c r="AG142" s="177"/>
      <c r="AH142" s="177"/>
      <c r="AI142" s="177"/>
      <c r="AJ142" s="174"/>
      <c r="AK142" s="181"/>
      <c r="AL142" s="182" t="s">
        <v>257</v>
      </c>
      <c r="AM142" s="183"/>
      <c r="AN142" s="182"/>
      <c r="AO142" s="191"/>
      <c r="AP142" s="192"/>
      <c r="AQ142" s="193"/>
      <c r="AR142" s="186"/>
      <c r="AS142" s="187"/>
      <c r="AT142" s="188"/>
      <c r="AU142" s="187"/>
      <c r="AV142" s="187"/>
      <c r="AW142" s="177"/>
      <c r="AX142" s="177"/>
      <c r="AY142" s="177"/>
      <c r="AZ142" s="177"/>
      <c r="BA142" s="187"/>
      <c r="BB142" s="180"/>
      <c r="BC142" s="189"/>
      <c r="BD142" s="189"/>
      <c r="BE142" s="189"/>
      <c r="BF142" s="189"/>
      <c r="BG142" s="189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  <c r="BR142" s="189"/>
    </row>
    <row r="143" spans="1:70" s="190" customFormat="1">
      <c r="A143" s="176">
        <v>141</v>
      </c>
      <c r="F143" s="170">
        <v>43126.018252314818</v>
      </c>
      <c r="G143" s="171">
        <v>43126.019768518519</v>
      </c>
      <c r="H143" s="227">
        <f t="shared" si="71"/>
        <v>1.5162037016125396E-3</v>
      </c>
      <c r="I143" s="173">
        <v>33.520000000000003</v>
      </c>
      <c r="J143" s="174" t="s">
        <v>61</v>
      </c>
      <c r="K143" s="175" t="s">
        <v>56</v>
      </c>
      <c r="L143" s="175" t="s">
        <v>57</v>
      </c>
      <c r="M143" s="175">
        <v>-369</v>
      </c>
      <c r="N143" s="176">
        <v>1</v>
      </c>
      <c r="O143" s="176">
        <v>200</v>
      </c>
      <c r="P143" s="175">
        <v>347</v>
      </c>
      <c r="Q143" s="175" t="s">
        <v>58</v>
      </c>
      <c r="R143" s="175" t="s">
        <v>245</v>
      </c>
      <c r="S143" s="177"/>
      <c r="T143" s="177"/>
      <c r="U143" s="175"/>
      <c r="V143" s="178">
        <v>-600</v>
      </c>
      <c r="W143" s="179"/>
      <c r="X143" s="177"/>
      <c r="Y143" s="177"/>
      <c r="Z143" s="177"/>
      <c r="AA143" s="177"/>
      <c r="AB143" s="180"/>
      <c r="AC143" s="174"/>
      <c r="AD143" s="177"/>
      <c r="AE143" s="177"/>
      <c r="AF143" s="177"/>
      <c r="AG143" s="177"/>
      <c r="AH143" s="177"/>
      <c r="AI143" s="177"/>
      <c r="AJ143" s="174"/>
      <c r="AK143" s="181"/>
      <c r="AL143" s="182" t="s">
        <v>258</v>
      </c>
      <c r="AM143" s="183"/>
      <c r="AN143" s="182"/>
      <c r="AO143" s="191"/>
      <c r="AP143" s="192"/>
      <c r="AQ143" s="193"/>
      <c r="AR143" s="186"/>
      <c r="AS143" s="187"/>
      <c r="AT143" s="188"/>
      <c r="AU143" s="187"/>
      <c r="AV143" s="187"/>
      <c r="AW143" s="177"/>
      <c r="AX143" s="177"/>
      <c r="AY143" s="177"/>
      <c r="AZ143" s="177"/>
      <c r="BA143" s="187"/>
      <c r="BB143" s="180"/>
      <c r="BC143" s="189"/>
      <c r="BD143" s="189"/>
      <c r="BE143" s="189"/>
      <c r="BF143" s="189"/>
      <c r="BG143" s="189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  <c r="BR143" s="189"/>
    </row>
    <row r="144" spans="1:70" s="190" customFormat="1">
      <c r="A144" s="176">
        <v>142</v>
      </c>
      <c r="F144" s="170">
        <v>43126.019918981481</v>
      </c>
      <c r="G144" s="171">
        <v>43126.022002314814</v>
      </c>
      <c r="H144" s="227">
        <f t="shared" si="71"/>
        <v>2.0833333328482695E-3</v>
      </c>
      <c r="I144" s="173">
        <v>33.520000000000003</v>
      </c>
      <c r="J144" s="174" t="s">
        <v>61</v>
      </c>
      <c r="K144" s="175" t="s">
        <v>56</v>
      </c>
      <c r="L144" s="175" t="s">
        <v>57</v>
      </c>
      <c r="M144" s="175">
        <v>-369</v>
      </c>
      <c r="N144" s="176">
        <v>1</v>
      </c>
      <c r="O144" s="176">
        <v>200</v>
      </c>
      <c r="P144" s="175">
        <v>347</v>
      </c>
      <c r="Q144" s="175" t="s">
        <v>58</v>
      </c>
      <c r="R144" s="175" t="s">
        <v>245</v>
      </c>
      <c r="S144" s="177"/>
      <c r="T144" s="177"/>
      <c r="U144" s="175"/>
      <c r="V144" s="178">
        <v>-300</v>
      </c>
      <c r="W144" s="179"/>
      <c r="X144" s="177"/>
      <c r="Y144" s="177"/>
      <c r="Z144" s="177"/>
      <c r="AA144" s="177"/>
      <c r="AB144" s="180"/>
      <c r="AC144" s="174"/>
      <c r="AD144" s="177"/>
      <c r="AE144" s="177"/>
      <c r="AF144" s="177"/>
      <c r="AG144" s="177"/>
      <c r="AH144" s="177"/>
      <c r="AI144" s="177"/>
      <c r="AJ144" s="174"/>
      <c r="AK144" s="181"/>
      <c r="AL144" s="182" t="s">
        <v>251</v>
      </c>
      <c r="AM144" s="183"/>
      <c r="AN144" s="182"/>
      <c r="AO144" s="191"/>
      <c r="AP144" s="192"/>
      <c r="AQ144" s="193"/>
      <c r="AR144" s="186"/>
      <c r="AS144" s="187"/>
      <c r="AT144" s="188"/>
      <c r="AU144" s="187"/>
      <c r="AV144" s="187"/>
      <c r="AW144" s="177"/>
      <c r="AX144" s="177"/>
      <c r="AY144" s="177"/>
      <c r="AZ144" s="177"/>
      <c r="BA144" s="187"/>
      <c r="BB144" s="180"/>
      <c r="BC144" s="189"/>
      <c r="BD144" s="189"/>
      <c r="BE144" s="189"/>
      <c r="BF144" s="189"/>
      <c r="BG144" s="189"/>
      <c r="BH144" s="189"/>
      <c r="BI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</row>
    <row r="145" spans="1:70" s="190" customFormat="1">
      <c r="A145" s="176">
        <v>143</v>
      </c>
      <c r="F145" s="170">
        <v>43126.022233796299</v>
      </c>
      <c r="G145" s="171">
        <v>43126.02380787037</v>
      </c>
      <c r="H145" s="227">
        <f t="shared" si="71"/>
        <v>1.5740740709588863E-3</v>
      </c>
      <c r="I145" s="173">
        <v>33.520000000000003</v>
      </c>
      <c r="J145" s="174" t="s">
        <v>61</v>
      </c>
      <c r="K145" s="175" t="s">
        <v>56</v>
      </c>
      <c r="L145" s="175" t="s">
        <v>57</v>
      </c>
      <c r="M145" s="175">
        <v>-369</v>
      </c>
      <c r="N145" s="176">
        <v>1</v>
      </c>
      <c r="O145" s="176">
        <v>200</v>
      </c>
      <c r="P145" s="175">
        <v>347</v>
      </c>
      <c r="Q145" s="175" t="s">
        <v>58</v>
      </c>
      <c r="R145" s="175" t="s">
        <v>245</v>
      </c>
      <c r="S145" s="177"/>
      <c r="T145" s="177"/>
      <c r="U145" s="175"/>
      <c r="V145" s="178">
        <v>0</v>
      </c>
      <c r="W145" s="179"/>
      <c r="X145" s="177"/>
      <c r="Y145" s="177"/>
      <c r="Z145" s="177"/>
      <c r="AA145" s="177"/>
      <c r="AB145" s="180"/>
      <c r="AC145" s="174"/>
      <c r="AD145" s="177"/>
      <c r="AE145" s="177"/>
      <c r="AF145" s="177"/>
      <c r="AG145" s="177"/>
      <c r="AH145" s="177"/>
      <c r="AI145" s="177"/>
      <c r="AJ145" s="174"/>
      <c r="AK145" s="181"/>
      <c r="AL145" s="182" t="s">
        <v>246</v>
      </c>
      <c r="AM145" s="183"/>
      <c r="AN145" s="182"/>
      <c r="AO145" s="191"/>
      <c r="AP145" s="192"/>
      <c r="AQ145" s="193"/>
      <c r="AR145" s="186"/>
      <c r="AS145" s="187"/>
      <c r="AT145" s="188"/>
      <c r="AU145" s="187"/>
      <c r="AV145" s="187"/>
      <c r="AW145" s="177"/>
      <c r="AX145" s="177"/>
      <c r="AY145" s="177"/>
      <c r="AZ145" s="177"/>
      <c r="BA145" s="187"/>
      <c r="BB145" s="180"/>
      <c r="BC145" s="189"/>
      <c r="BD145" s="189"/>
      <c r="BE145" s="189"/>
      <c r="BF145" s="189"/>
      <c r="BG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  <c r="BR145" s="189"/>
    </row>
    <row r="146" spans="1:70" s="190" customFormat="1">
      <c r="A146" s="176">
        <v>144</v>
      </c>
      <c r="F146" s="170">
        <v>43126.024189814816</v>
      </c>
      <c r="G146" s="171">
        <v>43126.025729166664</v>
      </c>
      <c r="H146" s="227">
        <f t="shared" si="71"/>
        <v>1.5393518478958867E-3</v>
      </c>
      <c r="I146" s="173">
        <v>33.520000000000003</v>
      </c>
      <c r="J146" s="174" t="s">
        <v>61</v>
      </c>
      <c r="K146" s="175" t="s">
        <v>56</v>
      </c>
      <c r="L146" s="175" t="s">
        <v>57</v>
      </c>
      <c r="M146" s="175">
        <v>-369</v>
      </c>
      <c r="N146" s="176">
        <v>1</v>
      </c>
      <c r="O146" s="176">
        <v>200</v>
      </c>
      <c r="P146" s="175">
        <v>347</v>
      </c>
      <c r="Q146" s="175" t="s">
        <v>58</v>
      </c>
      <c r="R146" s="175" t="s">
        <v>245</v>
      </c>
      <c r="S146" s="177"/>
      <c r="T146" s="177"/>
      <c r="U146" s="175"/>
      <c r="V146" s="178">
        <v>350</v>
      </c>
      <c r="W146" s="179"/>
      <c r="X146" s="177"/>
      <c r="Y146" s="177"/>
      <c r="Z146" s="177"/>
      <c r="AA146" s="177"/>
      <c r="AB146" s="180"/>
      <c r="AC146" s="174"/>
      <c r="AD146" s="177"/>
      <c r="AE146" s="177"/>
      <c r="AF146" s="177"/>
      <c r="AG146" s="177"/>
      <c r="AH146" s="177"/>
      <c r="AI146" s="177"/>
      <c r="AJ146" s="174"/>
      <c r="AK146" s="181"/>
      <c r="AL146" s="182" t="s">
        <v>247</v>
      </c>
      <c r="AM146" s="183"/>
      <c r="AN146" s="182"/>
      <c r="AO146" s="191"/>
      <c r="AP146" s="192"/>
      <c r="AQ146" s="193"/>
      <c r="AR146" s="186"/>
      <c r="AS146" s="187"/>
      <c r="AT146" s="188"/>
      <c r="AU146" s="187"/>
      <c r="AV146" s="187"/>
      <c r="AW146" s="177"/>
      <c r="AX146" s="177"/>
      <c r="AY146" s="177"/>
      <c r="AZ146" s="177"/>
      <c r="BA146" s="187"/>
      <c r="BB146" s="180"/>
      <c r="BC146" s="189"/>
      <c r="BD146" s="189"/>
      <c r="BE146" s="189"/>
      <c r="BF146" s="189"/>
      <c r="BG146" s="189"/>
      <c r="BH146" s="189"/>
      <c r="BI146" s="189"/>
      <c r="BJ146" s="189"/>
      <c r="BK146" s="189"/>
      <c r="BL146" s="189"/>
      <c r="BM146" s="189"/>
      <c r="BN146" s="189"/>
      <c r="BO146" s="189"/>
      <c r="BP146" s="189"/>
      <c r="BQ146" s="189"/>
      <c r="BR146" s="189"/>
    </row>
    <row r="147" spans="1:70" s="190" customFormat="1">
      <c r="A147" s="176">
        <v>145</v>
      </c>
      <c r="F147" s="170">
        <v>43126.025868055556</v>
      </c>
      <c r="G147" s="171">
        <v>43126.027418981481</v>
      </c>
      <c r="H147" s="227">
        <f t="shared" si="71"/>
        <v>1.5509259246755391E-3</v>
      </c>
      <c r="I147" s="173">
        <v>33.520000000000003</v>
      </c>
      <c r="J147" s="174" t="s">
        <v>61</v>
      </c>
      <c r="K147" s="175" t="s">
        <v>56</v>
      </c>
      <c r="L147" s="175" t="s">
        <v>57</v>
      </c>
      <c r="M147" s="175">
        <v>-369</v>
      </c>
      <c r="N147" s="176">
        <v>1</v>
      </c>
      <c r="O147" s="176">
        <v>200</v>
      </c>
      <c r="P147" s="175">
        <v>347</v>
      </c>
      <c r="Q147" s="175" t="s">
        <v>58</v>
      </c>
      <c r="R147" s="175" t="s">
        <v>245</v>
      </c>
      <c r="S147" s="177"/>
      <c r="T147" s="177"/>
      <c r="U147" s="175"/>
      <c r="V147" s="178">
        <v>700</v>
      </c>
      <c r="W147" s="179"/>
      <c r="X147" s="177"/>
      <c r="Y147" s="177"/>
      <c r="Z147" s="177"/>
      <c r="AA147" s="177"/>
      <c r="AB147" s="180"/>
      <c r="AC147" s="174"/>
      <c r="AD147" s="177"/>
      <c r="AE147" s="177"/>
      <c r="AF147" s="177"/>
      <c r="AG147" s="177"/>
      <c r="AH147" s="177"/>
      <c r="AI147" s="177"/>
      <c r="AJ147" s="174"/>
      <c r="AK147" s="181"/>
      <c r="AL147" s="182" t="s">
        <v>248</v>
      </c>
      <c r="AM147" s="183"/>
      <c r="AN147" s="182"/>
      <c r="AO147" s="191"/>
      <c r="AP147" s="192"/>
      <c r="AQ147" s="193"/>
      <c r="AR147" s="186"/>
      <c r="AS147" s="187"/>
      <c r="AT147" s="188"/>
      <c r="AU147" s="187"/>
      <c r="AV147" s="187"/>
      <c r="AW147" s="177"/>
      <c r="AX147" s="177"/>
      <c r="AY147" s="177"/>
      <c r="AZ147" s="177"/>
      <c r="BA147" s="187"/>
      <c r="BB147" s="180"/>
      <c r="BC147" s="189"/>
      <c r="BD147" s="189"/>
      <c r="BE147" s="189"/>
      <c r="BF147" s="189"/>
      <c r="BG147" s="189"/>
      <c r="BH147" s="189"/>
      <c r="BI147" s="189"/>
      <c r="BJ147" s="189"/>
      <c r="BK147" s="189"/>
      <c r="BL147" s="189"/>
      <c r="BM147" s="189"/>
      <c r="BN147" s="189"/>
      <c r="BO147" s="189"/>
      <c r="BP147" s="189"/>
      <c r="BQ147" s="189"/>
      <c r="BR147" s="189"/>
    </row>
    <row r="148" spans="1:70" s="190" customFormat="1">
      <c r="A148" s="176">
        <v>146</v>
      </c>
      <c r="F148" s="170">
        <v>43126.027662037035</v>
      </c>
      <c r="G148" s="171">
        <v>43126.02921296296</v>
      </c>
      <c r="H148" s="227">
        <f t="shared" si="71"/>
        <v>1.5509259246755391E-3</v>
      </c>
      <c r="I148" s="173">
        <v>33.520000000000003</v>
      </c>
      <c r="J148" s="174" t="s">
        <v>61</v>
      </c>
      <c r="K148" s="175" t="s">
        <v>56</v>
      </c>
      <c r="L148" s="175" t="s">
        <v>57</v>
      </c>
      <c r="M148" s="175">
        <v>-369</v>
      </c>
      <c r="N148" s="176">
        <v>1</v>
      </c>
      <c r="O148" s="176">
        <v>200</v>
      </c>
      <c r="P148" s="175">
        <v>347</v>
      </c>
      <c r="Q148" s="175" t="s">
        <v>58</v>
      </c>
      <c r="R148" s="175" t="s">
        <v>245</v>
      </c>
      <c r="S148" s="177"/>
      <c r="T148" s="177"/>
      <c r="U148" s="175"/>
      <c r="V148" s="178">
        <v>1800</v>
      </c>
      <c r="W148" s="179"/>
      <c r="X148" s="177"/>
      <c r="Y148" s="177"/>
      <c r="Z148" s="177"/>
      <c r="AA148" s="177"/>
      <c r="AB148" s="180"/>
      <c r="AC148" s="174"/>
      <c r="AD148" s="177"/>
      <c r="AE148" s="177"/>
      <c r="AF148" s="177"/>
      <c r="AG148" s="177"/>
      <c r="AH148" s="177"/>
      <c r="AI148" s="177"/>
      <c r="AJ148" s="174"/>
      <c r="AK148" s="181"/>
      <c r="AL148" s="182" t="s">
        <v>249</v>
      </c>
      <c r="AM148" s="183"/>
      <c r="AN148" s="182"/>
      <c r="AO148" s="191"/>
      <c r="AP148" s="192"/>
      <c r="AQ148" s="193"/>
      <c r="AR148" s="186"/>
      <c r="AS148" s="187"/>
      <c r="AT148" s="188"/>
      <c r="AU148" s="187"/>
      <c r="AV148" s="187"/>
      <c r="AW148" s="177"/>
      <c r="AX148" s="177"/>
      <c r="AY148" s="177"/>
      <c r="AZ148" s="177"/>
      <c r="BA148" s="187"/>
      <c r="BB148" s="180"/>
      <c r="BC148" s="189"/>
      <c r="BD148" s="189"/>
      <c r="BE148" s="189"/>
      <c r="BF148" s="189"/>
      <c r="BG148" s="189"/>
      <c r="BH148" s="189"/>
      <c r="BI148" s="189"/>
      <c r="BJ148" s="189"/>
      <c r="BK148" s="189"/>
      <c r="BL148" s="189"/>
      <c r="BM148" s="189"/>
      <c r="BN148" s="189"/>
      <c r="BO148" s="189"/>
      <c r="BP148" s="189"/>
      <c r="BQ148" s="189"/>
      <c r="BR148" s="189"/>
    </row>
    <row r="149" spans="1:70" s="190" customFormat="1">
      <c r="A149" s="176">
        <v>147</v>
      </c>
      <c r="F149" s="170">
        <v>43126.029386574075</v>
      </c>
      <c r="G149" s="171">
        <v>43126.029386574075</v>
      </c>
      <c r="H149" s="227">
        <f t="shared" si="71"/>
        <v>0</v>
      </c>
      <c r="I149" s="173">
        <v>33.520000000000003</v>
      </c>
      <c r="J149" s="174" t="s">
        <v>61</v>
      </c>
      <c r="K149" s="175" t="s">
        <v>56</v>
      </c>
      <c r="L149" s="175" t="s">
        <v>57</v>
      </c>
      <c r="M149" s="175">
        <v>-369</v>
      </c>
      <c r="N149" s="176">
        <v>1</v>
      </c>
      <c r="O149" s="176">
        <v>200</v>
      </c>
      <c r="P149" s="175">
        <v>347</v>
      </c>
      <c r="Q149" s="175" t="s">
        <v>58</v>
      </c>
      <c r="R149" s="175" t="s">
        <v>245</v>
      </c>
      <c r="S149" s="177"/>
      <c r="T149" s="177"/>
      <c r="U149" s="175"/>
      <c r="V149" s="178">
        <v>2100</v>
      </c>
      <c r="W149" s="179"/>
      <c r="X149" s="177"/>
      <c r="Y149" s="177"/>
      <c r="Z149" s="177"/>
      <c r="AA149" s="177"/>
      <c r="AB149" s="180"/>
      <c r="AC149" s="174"/>
      <c r="AD149" s="177"/>
      <c r="AE149" s="177"/>
      <c r="AF149" s="177"/>
      <c r="AG149" s="177"/>
      <c r="AH149" s="177"/>
      <c r="AI149" s="177"/>
      <c r="AJ149" s="174"/>
      <c r="AK149" s="181"/>
      <c r="AL149" s="182" t="s">
        <v>250</v>
      </c>
      <c r="AM149" s="183"/>
      <c r="AN149" s="182"/>
      <c r="AO149" s="191"/>
      <c r="AP149" s="192"/>
      <c r="AQ149" s="193"/>
      <c r="AR149" s="186"/>
      <c r="AS149" s="187"/>
      <c r="AT149" s="188"/>
      <c r="AU149" s="187"/>
      <c r="AV149" s="187"/>
      <c r="AW149" s="177"/>
      <c r="AX149" s="177"/>
      <c r="AY149" s="177"/>
      <c r="AZ149" s="177"/>
      <c r="BA149" s="187"/>
      <c r="BB149" s="180"/>
      <c r="BC149" s="189"/>
      <c r="BD149" s="189"/>
      <c r="BE149" s="189"/>
      <c r="BF149" s="189"/>
      <c r="BG149" s="189"/>
      <c r="BH149" s="189"/>
      <c r="BI149" s="189"/>
      <c r="BJ149" s="189"/>
      <c r="BK149" s="189"/>
      <c r="BL149" s="189"/>
      <c r="BM149" s="189"/>
      <c r="BN149" s="189"/>
      <c r="BO149" s="189"/>
      <c r="BP149" s="189"/>
      <c r="BQ149" s="189"/>
      <c r="BR149" s="189"/>
    </row>
    <row r="150" spans="1:70">
      <c r="A150" s="108">
        <v>148</v>
      </c>
      <c r="F150" s="45">
        <v>43126.032835648148</v>
      </c>
      <c r="G150" s="45">
        <v>43126.074606481481</v>
      </c>
      <c r="H150" s="53">
        <f>G150-F150-'user time'!E118-'user time'!E119</f>
        <v>4.1018518518615536E-2</v>
      </c>
      <c r="I150" s="86">
        <v>33.479999999999997</v>
      </c>
      <c r="J150" s="109" t="s">
        <v>260</v>
      </c>
      <c r="K150" s="88" t="s">
        <v>72</v>
      </c>
      <c r="L150" s="88" t="s">
        <v>73</v>
      </c>
      <c r="M150" s="88">
        <v>-369</v>
      </c>
      <c r="N150" s="108">
        <v>1</v>
      </c>
      <c r="O150" s="108">
        <v>200</v>
      </c>
      <c r="P150" s="88">
        <v>347</v>
      </c>
      <c r="Q150" s="88" t="s">
        <v>75</v>
      </c>
      <c r="R150" s="88" t="s">
        <v>265</v>
      </c>
      <c r="S150" s="110">
        <v>6700</v>
      </c>
      <c r="T150" s="110">
        <v>600</v>
      </c>
      <c r="U150" s="88">
        <v>983</v>
      </c>
      <c r="V150" s="90">
        <v>1500</v>
      </c>
      <c r="W150" s="111">
        <v>10</v>
      </c>
      <c r="X150" s="110">
        <v>32504</v>
      </c>
      <c r="Y150" s="110">
        <v>584299</v>
      </c>
      <c r="Z150" s="110">
        <v>4585407</v>
      </c>
      <c r="AA150" s="110">
        <v>1432593</v>
      </c>
      <c r="AB150" s="112">
        <v>3200298</v>
      </c>
      <c r="AC150" s="109">
        <v>160</v>
      </c>
      <c r="AD150" s="110">
        <v>-110</v>
      </c>
      <c r="AE150" s="110">
        <v>4.1399999999999997</v>
      </c>
      <c r="AF150" s="110">
        <v>-0.57999999999999996</v>
      </c>
      <c r="AG150" s="110">
        <v>109.8</v>
      </c>
      <c r="AH150" s="110">
        <v>-110</v>
      </c>
      <c r="AI150" s="110">
        <v>3.62</v>
      </c>
      <c r="AJ150" s="109">
        <v>-0.4</v>
      </c>
      <c r="AK150" s="113" t="s">
        <v>59</v>
      </c>
      <c r="AL150" s="107" t="s">
        <v>181</v>
      </c>
      <c r="AN150" s="107">
        <v>0.93300000000000005</v>
      </c>
      <c r="AO150" s="48">
        <f>(HOUR(H150)*60*60+MINUTE(H150)*60+SECOND(H150))/5.2*AA150/W150*AN150</f>
        <v>91095062.487230778</v>
      </c>
      <c r="AP150" s="156">
        <f t="shared" ref="AP150:AP151" si="72">AO150*0.7</f>
        <v>63766543.741061538</v>
      </c>
      <c r="AQ150" s="161">
        <f>AP150+AQ134</f>
        <v>685516321.8682555</v>
      </c>
      <c r="AR150" s="163">
        <f>H150+AR134</f>
        <v>0.44328703702976119</v>
      </c>
      <c r="AS150" s="49">
        <f t="shared" ref="AS150:AS151" si="73">I150*(HOUR(H150)*60+MINUTE(H150))/60/(7*24)</f>
        <v>0.1959642857142857</v>
      </c>
      <c r="AT150" s="165">
        <f>AS150+AT134</f>
        <v>1.9940615079365078</v>
      </c>
      <c r="AU150" s="254">
        <f t="shared" ref="AU150:AU160" si="74">AA150/W150*AN150</f>
        <v>133660.92689999999</v>
      </c>
      <c r="AV150" s="255">
        <f t="shared" ref="AV150:AV160" si="75">AB150/W150+AA150/W150*(1-AN150)</f>
        <v>329628.17309999996</v>
      </c>
      <c r="AW150" s="256">
        <f t="shared" ref="AW150:AW160" si="76">AU150/AV150</f>
        <v>0.40548999693497378</v>
      </c>
    </row>
    <row r="151" spans="1:70">
      <c r="A151" s="108">
        <v>149</v>
      </c>
      <c r="F151" s="45">
        <v>43126.074664351851</v>
      </c>
      <c r="G151" s="45">
        <v>43126.078564814816</v>
      </c>
      <c r="H151" s="53">
        <f>G151-F151-'user time'!E120</f>
        <v>3.5300925948777845E-3</v>
      </c>
      <c r="I151" s="86">
        <v>33.549999999999997</v>
      </c>
      <c r="J151" s="109" t="s">
        <v>260</v>
      </c>
      <c r="K151" s="88" t="s">
        <v>72</v>
      </c>
      <c r="L151" s="88" t="s">
        <v>73</v>
      </c>
      <c r="M151" s="88">
        <v>-369</v>
      </c>
      <c r="N151" s="108">
        <v>1</v>
      </c>
      <c r="O151" s="108">
        <v>200</v>
      </c>
      <c r="P151" s="88">
        <v>347</v>
      </c>
      <c r="Q151" s="88" t="s">
        <v>75</v>
      </c>
      <c r="R151" s="88" t="s">
        <v>265</v>
      </c>
      <c r="S151" s="110">
        <v>6686</v>
      </c>
      <c r="T151" s="110">
        <v>714</v>
      </c>
      <c r="U151" s="88">
        <v>983</v>
      </c>
      <c r="V151" s="90">
        <v>1500</v>
      </c>
      <c r="W151" s="111">
        <v>10</v>
      </c>
      <c r="X151" s="110">
        <v>33151</v>
      </c>
      <c r="Y151" s="110">
        <v>583054</v>
      </c>
      <c r="Z151" s="110">
        <v>4650288</v>
      </c>
      <c r="AA151" s="110">
        <v>1451470</v>
      </c>
      <c r="AB151" s="112">
        <v>3208783</v>
      </c>
      <c r="AC151" s="109">
        <v>159.9</v>
      </c>
      <c r="AD151" s="110">
        <v>-110</v>
      </c>
      <c r="AE151" s="110">
        <v>4.1399999999999997</v>
      </c>
      <c r="AF151" s="110">
        <v>-0.57999999999999996</v>
      </c>
      <c r="AG151" s="110">
        <v>109.8</v>
      </c>
      <c r="AH151" s="110">
        <v>-110</v>
      </c>
      <c r="AI151" s="110">
        <v>3.62</v>
      </c>
      <c r="AJ151" s="109">
        <v>-0.4</v>
      </c>
      <c r="AK151" s="113" t="s">
        <v>59</v>
      </c>
      <c r="AL151" s="107" t="s">
        <v>271</v>
      </c>
      <c r="AN151" s="107">
        <v>0.95499999999999996</v>
      </c>
      <c r="AO151" s="48">
        <f t="shared" ref="AO151:AO161" si="77">(HOUR(H151)*60*60+MINUTE(H151)*60+SECOND(H151))/5.2*AA151/W151*AN151</f>
        <v>8130325.466346154</v>
      </c>
      <c r="AP151" s="156">
        <f t="shared" si="72"/>
        <v>5691227.8264423078</v>
      </c>
      <c r="AQ151" s="161">
        <f t="shared" ref="AQ151" si="78">AP151+AQ150</f>
        <v>691207549.69469786</v>
      </c>
      <c r="AR151" s="163">
        <f t="shared" ref="AR151" si="79">H151+AR150</f>
        <v>0.44681712962463899</v>
      </c>
      <c r="AS151" s="49">
        <f t="shared" si="73"/>
        <v>1.6641865079365079E-2</v>
      </c>
      <c r="AT151" s="165">
        <f t="shared" ref="AT151" si="80">AS151+AT150</f>
        <v>2.0107033730158728</v>
      </c>
      <c r="AU151" s="254">
        <f t="shared" si="74"/>
        <v>138615.38499999998</v>
      </c>
      <c r="AV151" s="255">
        <f t="shared" si="75"/>
        <v>327409.91499999998</v>
      </c>
      <c r="AW151" s="256">
        <f t="shared" si="76"/>
        <v>0.42336953967933438</v>
      </c>
    </row>
    <row r="152" spans="1:70">
      <c r="A152" s="108">
        <v>150</v>
      </c>
      <c r="F152" s="45">
        <v>43126.090682870374</v>
      </c>
      <c r="G152" s="45">
        <v>43126.109548611108</v>
      </c>
      <c r="H152" s="53">
        <f>G152-F152</f>
        <v>1.8865740734327119E-2</v>
      </c>
      <c r="I152" s="86">
        <v>33.51</v>
      </c>
      <c r="J152" s="109" t="s">
        <v>260</v>
      </c>
      <c r="K152" s="88" t="s">
        <v>72</v>
      </c>
      <c r="L152" s="88" t="s">
        <v>73</v>
      </c>
      <c r="M152" s="88">
        <v>-369</v>
      </c>
      <c r="N152" s="108">
        <v>1</v>
      </c>
      <c r="O152" s="108">
        <v>200</v>
      </c>
      <c r="P152" s="88">
        <v>347</v>
      </c>
      <c r="Q152" s="88" t="s">
        <v>75</v>
      </c>
      <c r="R152" s="88" t="s">
        <v>265</v>
      </c>
      <c r="S152" s="110">
        <v>7000</v>
      </c>
      <c r="T152" s="110">
        <v>710</v>
      </c>
      <c r="U152" s="88">
        <v>983</v>
      </c>
      <c r="V152" s="90">
        <v>1500</v>
      </c>
      <c r="W152" s="111">
        <v>10</v>
      </c>
      <c r="X152" s="110">
        <v>32942</v>
      </c>
      <c r="Y152" s="110">
        <v>584058</v>
      </c>
      <c r="Z152" s="110">
        <v>4641553</v>
      </c>
      <c r="AA152" s="110">
        <v>1438204</v>
      </c>
      <c r="AB152" s="112">
        <v>3213655</v>
      </c>
      <c r="AC152" s="109">
        <v>159.9</v>
      </c>
      <c r="AD152" s="110">
        <v>-110</v>
      </c>
      <c r="AE152" s="110">
        <v>4.1399999999999997</v>
      </c>
      <c r="AF152" s="110">
        <v>-0.59</v>
      </c>
      <c r="AG152" s="110">
        <v>109.8</v>
      </c>
      <c r="AH152" s="110">
        <v>-110</v>
      </c>
      <c r="AI152" s="110">
        <v>3.61</v>
      </c>
      <c r="AJ152" s="109">
        <v>-0.4</v>
      </c>
      <c r="AK152" s="113" t="s">
        <v>59</v>
      </c>
      <c r="AL152" s="107" t="s">
        <v>267</v>
      </c>
      <c r="AN152" s="107">
        <v>0.94699999999999995</v>
      </c>
      <c r="AO152" s="48">
        <f t="shared" si="77"/>
        <v>42692809.162307687</v>
      </c>
      <c r="AP152" s="156">
        <f t="shared" ref="AP152" si="81">AO152*0.7</f>
        <v>29884966.413615379</v>
      </c>
      <c r="AQ152" s="161">
        <f t="shared" ref="AQ152" si="82">AP152+AQ151</f>
        <v>721092516.1083132</v>
      </c>
      <c r="AR152" s="163">
        <f t="shared" ref="AR152" si="83">H152+AR151</f>
        <v>0.46568287035896611</v>
      </c>
      <c r="AS152" s="49">
        <f t="shared" ref="AS152" si="84">I152*(HOUR(H152)*60+MINUTE(H152))/60/(7*24)</f>
        <v>8.9758928571428573E-2</v>
      </c>
      <c r="AT152" s="165">
        <f t="shared" ref="AT152" si="85">AS152+AT151</f>
        <v>2.1004623015873012</v>
      </c>
      <c r="AU152" s="254">
        <f t="shared" si="74"/>
        <v>136197.91879999998</v>
      </c>
      <c r="AV152" s="255">
        <f t="shared" si="75"/>
        <v>328987.98119999998</v>
      </c>
      <c r="AW152" s="256">
        <f t="shared" si="76"/>
        <v>0.41399056069833107</v>
      </c>
    </row>
    <row r="153" spans="1:70">
      <c r="A153" s="108">
        <v>151</v>
      </c>
      <c r="F153" s="45">
        <v>43126.109907407408</v>
      </c>
      <c r="G153" s="45">
        <v>43126.126215277778</v>
      </c>
      <c r="H153" s="53">
        <f>G153-F153</f>
        <v>1.6307870369928423E-2</v>
      </c>
      <c r="I153" s="86">
        <v>33.520000000000003</v>
      </c>
      <c r="J153" s="109" t="s">
        <v>260</v>
      </c>
      <c r="K153" s="88" t="s">
        <v>72</v>
      </c>
      <c r="L153" s="88" t="s">
        <v>73</v>
      </c>
      <c r="M153" s="88">
        <v>-369</v>
      </c>
      <c r="N153" s="108">
        <v>1</v>
      </c>
      <c r="O153" s="108">
        <v>200</v>
      </c>
      <c r="P153" s="88">
        <v>347</v>
      </c>
      <c r="Q153" s="88" t="s">
        <v>75</v>
      </c>
      <c r="R153" s="88" t="s">
        <v>265</v>
      </c>
      <c r="S153" s="110">
        <v>7000</v>
      </c>
      <c r="T153" s="110">
        <v>710</v>
      </c>
      <c r="U153" s="88">
        <v>983</v>
      </c>
      <c r="V153" s="90">
        <v>1500</v>
      </c>
      <c r="W153" s="111">
        <v>10</v>
      </c>
      <c r="X153" s="110">
        <v>32989</v>
      </c>
      <c r="Y153" s="110">
        <v>583048</v>
      </c>
      <c r="Z153" s="110">
        <v>4657257</v>
      </c>
      <c r="AA153" s="110">
        <v>1427578</v>
      </c>
      <c r="AB153" s="112">
        <v>3240132</v>
      </c>
      <c r="AC153" s="109">
        <v>159.9</v>
      </c>
      <c r="AD153" s="110">
        <v>-110.1</v>
      </c>
      <c r="AE153" s="110">
        <v>4.1500000000000004</v>
      </c>
      <c r="AF153" s="110">
        <v>-0.59</v>
      </c>
      <c r="AG153" s="110">
        <v>109.8</v>
      </c>
      <c r="AH153" s="110">
        <v>-110</v>
      </c>
      <c r="AI153" s="110">
        <v>3.61</v>
      </c>
      <c r="AJ153" s="109">
        <v>-0.4</v>
      </c>
      <c r="AK153" s="113" t="s">
        <v>59</v>
      </c>
      <c r="AL153" s="107" t="s">
        <v>267</v>
      </c>
      <c r="AN153" s="107">
        <v>0.94199999999999995</v>
      </c>
      <c r="AO153" s="48">
        <f t="shared" si="77"/>
        <v>36438324.474692307</v>
      </c>
      <c r="AP153" s="156">
        <f t="shared" ref="AP153" si="86">AO153*0.7</f>
        <v>25506827.132284615</v>
      </c>
      <c r="AQ153" s="161">
        <f t="shared" ref="AQ153" si="87">AP153+AQ152</f>
        <v>746599343.24059784</v>
      </c>
      <c r="AR153" s="163">
        <f t="shared" ref="AR153" si="88">H153+AR152</f>
        <v>0.48199074072889453</v>
      </c>
      <c r="AS153" s="49">
        <f t="shared" ref="AS153" si="89">I153*(HOUR(H153)*60+MINUTE(H153))/60/(7*24)</f>
        <v>7.6484126984126988E-2</v>
      </c>
      <c r="AT153" s="165">
        <f t="shared" ref="AT153" si="90">AS153+AT152</f>
        <v>2.1769464285714282</v>
      </c>
      <c r="AU153" s="254">
        <f t="shared" si="74"/>
        <v>134477.84759999998</v>
      </c>
      <c r="AV153" s="255">
        <f t="shared" si="75"/>
        <v>332293.15240000002</v>
      </c>
      <c r="AW153" s="256">
        <f t="shared" si="76"/>
        <v>0.40469641528490302</v>
      </c>
    </row>
    <row r="154" spans="1:70">
      <c r="A154" s="108">
        <v>152</v>
      </c>
      <c r="F154" s="45">
        <v>43126.12667824074</v>
      </c>
      <c r="G154" s="45">
        <v>43126.16710648148</v>
      </c>
      <c r="H154" s="53">
        <f>G154-F154-'user time'!E122</f>
        <v>4.009259259170872E-2</v>
      </c>
      <c r="I154" s="86">
        <v>33.53</v>
      </c>
      <c r="J154" s="109" t="s">
        <v>260</v>
      </c>
      <c r="K154" s="88" t="s">
        <v>72</v>
      </c>
      <c r="L154" s="88" t="s">
        <v>73</v>
      </c>
      <c r="M154" s="88">
        <v>-369</v>
      </c>
      <c r="N154" s="108">
        <v>1</v>
      </c>
      <c r="O154" s="108">
        <v>200</v>
      </c>
      <c r="P154" s="88">
        <v>347</v>
      </c>
      <c r="Q154" s="88" t="s">
        <v>75</v>
      </c>
      <c r="R154" s="88" t="s">
        <v>265</v>
      </c>
      <c r="S154" s="110">
        <v>6900</v>
      </c>
      <c r="T154" s="110">
        <v>710</v>
      </c>
      <c r="U154" s="88">
        <v>983</v>
      </c>
      <c r="V154" s="90">
        <v>1500</v>
      </c>
      <c r="W154" s="111">
        <v>10</v>
      </c>
      <c r="X154" s="110">
        <v>32984</v>
      </c>
      <c r="Y154" s="110">
        <v>583656</v>
      </c>
      <c r="Z154" s="110">
        <v>4656317</v>
      </c>
      <c r="AA154" s="110">
        <v>1443498</v>
      </c>
      <c r="AB154" s="112">
        <v>3222904</v>
      </c>
      <c r="AC154" s="109">
        <v>159.9</v>
      </c>
      <c r="AD154" s="110">
        <v>-110.1</v>
      </c>
      <c r="AE154" s="110">
        <v>4.1500000000000004</v>
      </c>
      <c r="AF154" s="110">
        <v>-0.59</v>
      </c>
      <c r="AG154" s="110">
        <v>109.8</v>
      </c>
      <c r="AH154" s="110">
        <v>-110</v>
      </c>
      <c r="AI154" s="110">
        <v>3.61</v>
      </c>
      <c r="AJ154" s="109">
        <v>-0.4</v>
      </c>
      <c r="AK154" s="113" t="s">
        <v>59</v>
      </c>
      <c r="AL154" s="107" t="s">
        <v>273</v>
      </c>
      <c r="AN154" s="107">
        <v>0.94799999999999995</v>
      </c>
      <c r="AO154" s="48">
        <f t="shared" si="77"/>
        <v>91158897.389538452</v>
      </c>
      <c r="AP154" s="156">
        <f t="shared" ref="AP154" si="91">AO154*0.7</f>
        <v>63811228.172676913</v>
      </c>
      <c r="AQ154" s="161">
        <f t="shared" ref="AQ154" si="92">AP154+AQ153</f>
        <v>810410571.41327477</v>
      </c>
      <c r="AR154" s="163">
        <f t="shared" ref="AR154" si="93">H154+AR153</f>
        <v>0.52208333332060319</v>
      </c>
      <c r="AS154" s="49">
        <f t="shared" ref="AS154" si="94">I154*(HOUR(H154)*60+MINUTE(H154))/60/(7*24)</f>
        <v>0.18960416666666666</v>
      </c>
      <c r="AT154" s="165">
        <f t="shared" ref="AT154" si="95">AS154+AT153</f>
        <v>2.366550595238095</v>
      </c>
      <c r="AU154" s="254">
        <f t="shared" si="74"/>
        <v>136843.61039999998</v>
      </c>
      <c r="AV154" s="255">
        <f t="shared" si="75"/>
        <v>329796.58960000001</v>
      </c>
      <c r="AW154" s="256">
        <f t="shared" si="76"/>
        <v>0.41493337019031434</v>
      </c>
    </row>
    <row r="155" spans="1:70">
      <c r="A155" s="108">
        <v>153</v>
      </c>
      <c r="F155" s="45">
        <v>43126.167118055557</v>
      </c>
      <c r="G155" s="45">
        <v>43126.167372685188</v>
      </c>
      <c r="H155" s="53">
        <f>G155-F155</f>
        <v>2.546296309446916E-4</v>
      </c>
      <c r="I155" s="86">
        <v>33.47</v>
      </c>
      <c r="J155" s="109" t="s">
        <v>260</v>
      </c>
      <c r="K155" s="88" t="s">
        <v>72</v>
      </c>
      <c r="L155" s="88" t="s">
        <v>73</v>
      </c>
      <c r="M155" s="88">
        <v>-369</v>
      </c>
      <c r="N155" s="108">
        <v>1</v>
      </c>
      <c r="O155" s="108">
        <v>200</v>
      </c>
      <c r="P155" s="88">
        <v>347</v>
      </c>
      <c r="Q155" s="88" t="s">
        <v>75</v>
      </c>
      <c r="R155" s="88" t="s">
        <v>265</v>
      </c>
      <c r="U155" s="88">
        <v>983</v>
      </c>
      <c r="V155" s="90">
        <v>1500</v>
      </c>
      <c r="W155" s="111">
        <f>W154</f>
        <v>10</v>
      </c>
      <c r="AA155" s="110">
        <f>AA154</f>
        <v>1443498</v>
      </c>
      <c r="AB155" s="112">
        <f>AB154</f>
        <v>3222904</v>
      </c>
      <c r="AC155" s="109">
        <v>159.9</v>
      </c>
      <c r="AD155" s="110">
        <v>-110.1</v>
      </c>
      <c r="AE155" s="110">
        <v>4.1500000000000004</v>
      </c>
      <c r="AF155" s="110">
        <v>-0.59</v>
      </c>
      <c r="AG155" s="110">
        <v>109.8</v>
      </c>
      <c r="AH155" s="110">
        <v>-110</v>
      </c>
      <c r="AI155" s="110">
        <v>3.61</v>
      </c>
      <c r="AJ155" s="109">
        <v>-0.4</v>
      </c>
      <c r="AK155" s="113" t="s">
        <v>59</v>
      </c>
      <c r="AL155" s="107" t="s">
        <v>266</v>
      </c>
      <c r="AN155" s="107">
        <f>AN154</f>
        <v>0.94799999999999995</v>
      </c>
      <c r="AO155" s="48">
        <f t="shared" si="77"/>
        <v>578953.73630769225</v>
      </c>
      <c r="AP155" s="156">
        <f t="shared" ref="AP155" si="96">AO155*0.7</f>
        <v>405267.61541538453</v>
      </c>
      <c r="AQ155" s="161">
        <f t="shared" ref="AQ155" si="97">AP155+AQ154</f>
        <v>810815839.0286901</v>
      </c>
      <c r="AR155" s="163">
        <f t="shared" ref="AR155" si="98">H155+AR154</f>
        <v>0.52233796295154789</v>
      </c>
      <c r="AS155" s="49">
        <f t="shared" ref="AS155" si="99">I155*(HOUR(H155)*60+MINUTE(H155))/60/(7*24)</f>
        <v>0</v>
      </c>
      <c r="AT155" s="165">
        <f t="shared" ref="AT155" si="100">AS155+AT154</f>
        <v>2.366550595238095</v>
      </c>
      <c r="AU155" s="254">
        <f t="shared" si="74"/>
        <v>136843.61039999998</v>
      </c>
      <c r="AV155" s="255">
        <f t="shared" si="75"/>
        <v>329796.58960000001</v>
      </c>
      <c r="AW155" s="256">
        <f t="shared" si="76"/>
        <v>0.41493337019031434</v>
      </c>
    </row>
    <row r="156" spans="1:70">
      <c r="A156" s="108">
        <v>154</v>
      </c>
      <c r="F156" s="45">
        <v>43126.181620370371</v>
      </c>
      <c r="G156" s="45">
        <v>43126.222361111111</v>
      </c>
      <c r="H156" s="53">
        <f>G156-F156-'user time'!E124</f>
        <v>2.6273148147555297E-2</v>
      </c>
      <c r="I156" s="86">
        <v>33.450000000000003</v>
      </c>
      <c r="J156" s="109" t="s">
        <v>260</v>
      </c>
      <c r="K156" s="88" t="s">
        <v>72</v>
      </c>
      <c r="L156" s="88" t="s">
        <v>73</v>
      </c>
      <c r="M156" s="88">
        <v>-369</v>
      </c>
      <c r="N156" s="108">
        <v>1</v>
      </c>
      <c r="O156" s="108">
        <v>200</v>
      </c>
      <c r="P156" s="88">
        <v>347</v>
      </c>
      <c r="Q156" s="88" t="s">
        <v>75</v>
      </c>
      <c r="R156" s="88" t="s">
        <v>265</v>
      </c>
      <c r="S156" s="110">
        <v>6900</v>
      </c>
      <c r="T156" s="110">
        <v>700</v>
      </c>
      <c r="U156" s="88">
        <v>983</v>
      </c>
      <c r="V156" s="90">
        <v>1500</v>
      </c>
      <c r="W156" s="111">
        <v>10</v>
      </c>
      <c r="X156" s="110">
        <v>32876</v>
      </c>
      <c r="Y156" s="110">
        <v>584216</v>
      </c>
      <c r="Z156" s="110">
        <v>4625881</v>
      </c>
      <c r="AA156" s="110">
        <v>1435901</v>
      </c>
      <c r="AB156" s="112">
        <v>3199948</v>
      </c>
      <c r="AC156" s="109">
        <v>159.9</v>
      </c>
      <c r="AD156" s="110">
        <v>-110.1</v>
      </c>
      <c r="AE156" s="110">
        <v>4.1399999999999997</v>
      </c>
      <c r="AF156" s="110">
        <v>-0.59</v>
      </c>
      <c r="AG156" s="110">
        <v>109.8</v>
      </c>
      <c r="AH156" s="110">
        <v>-110</v>
      </c>
      <c r="AI156" s="110">
        <v>3.61</v>
      </c>
      <c r="AJ156" s="109">
        <v>-0.4</v>
      </c>
      <c r="AK156" s="113" t="s">
        <v>59</v>
      </c>
      <c r="AL156" s="107" t="s">
        <v>273</v>
      </c>
      <c r="AN156" s="107">
        <v>0.94699999999999995</v>
      </c>
      <c r="AO156" s="48">
        <f t="shared" si="77"/>
        <v>59360423.474807687</v>
      </c>
      <c r="AP156" s="156">
        <f t="shared" ref="AP156" si="101">AO156*0.7</f>
        <v>41552296.43236538</v>
      </c>
      <c r="AQ156" s="161">
        <f t="shared" ref="AQ156" si="102">AP156+AQ155</f>
        <v>852368135.46105552</v>
      </c>
      <c r="AR156" s="163">
        <f t="shared" ref="AR156" si="103">H156+AR155</f>
        <v>0.54861111109910321</v>
      </c>
      <c r="AS156" s="49">
        <f t="shared" ref="AS156" si="104">I156*(HOUR(H156)*60+MINUTE(H156))/60/(7*24)</f>
        <v>0.1227827380952381</v>
      </c>
      <c r="AT156" s="165">
        <f t="shared" ref="AT156" si="105">AS156+AT155</f>
        <v>2.4893333333333332</v>
      </c>
      <c r="AU156" s="254">
        <f t="shared" si="74"/>
        <v>135979.8247</v>
      </c>
      <c r="AV156" s="255">
        <f t="shared" si="75"/>
        <v>327605.07529999997</v>
      </c>
      <c r="AW156" s="256">
        <f t="shared" si="76"/>
        <v>0.41507239952091185</v>
      </c>
    </row>
    <row r="157" spans="1:70">
      <c r="A157" s="108">
        <v>155</v>
      </c>
      <c r="F157" s="45">
        <v>43126.222372685188</v>
      </c>
      <c r="G157" s="45">
        <v>43126.264606481483</v>
      </c>
      <c r="H157" s="53">
        <f>G157-F157-'user time'!E125-'user time'!E126-'user time'!E127</f>
        <v>3.8344907406588163E-2</v>
      </c>
      <c r="I157" s="86">
        <v>33.590000000000003</v>
      </c>
      <c r="J157" s="109" t="s">
        <v>260</v>
      </c>
      <c r="K157" s="88" t="s">
        <v>72</v>
      </c>
      <c r="L157" s="88" t="s">
        <v>73</v>
      </c>
      <c r="M157" s="88">
        <v>-369</v>
      </c>
      <c r="N157" s="108">
        <v>1</v>
      </c>
      <c r="O157" s="108">
        <v>200</v>
      </c>
      <c r="P157" s="88">
        <v>347</v>
      </c>
      <c r="Q157" s="88" t="s">
        <v>75</v>
      </c>
      <c r="R157" s="88" t="s">
        <v>265</v>
      </c>
      <c r="S157" s="110">
        <v>7100</v>
      </c>
      <c r="T157" s="110">
        <v>740</v>
      </c>
      <c r="U157" s="88">
        <v>983</v>
      </c>
      <c r="V157" s="90">
        <v>1500</v>
      </c>
      <c r="W157" s="111">
        <v>10</v>
      </c>
      <c r="X157" s="110">
        <v>33109</v>
      </c>
      <c r="Y157" s="110">
        <v>584166</v>
      </c>
      <c r="Z157" s="110">
        <v>4641155</v>
      </c>
      <c r="AA157" s="110">
        <v>1442514</v>
      </c>
      <c r="AB157" s="112">
        <v>3207769</v>
      </c>
      <c r="AC157" s="109">
        <v>159.9</v>
      </c>
      <c r="AD157" s="110">
        <v>-110</v>
      </c>
      <c r="AE157" s="110">
        <v>4.1399999999999997</v>
      </c>
      <c r="AF157" s="110">
        <v>-0.57999999999999996</v>
      </c>
      <c r="AG157" s="110">
        <v>109.8</v>
      </c>
      <c r="AH157" s="110">
        <v>-110</v>
      </c>
      <c r="AI157" s="110">
        <v>3.62</v>
      </c>
      <c r="AJ157" s="109">
        <v>-0.4</v>
      </c>
      <c r="AK157" s="113" t="s">
        <v>59</v>
      </c>
      <c r="AL157" s="107" t="s">
        <v>273</v>
      </c>
      <c r="AN157" s="107">
        <v>0.94799999999999995</v>
      </c>
      <c r="AO157" s="48">
        <f t="shared" si="77"/>
        <v>87125737.310307696</v>
      </c>
      <c r="AP157" s="156">
        <f t="shared" ref="AP157" si="106">AO157*0.7</f>
        <v>60988016.11721538</v>
      </c>
      <c r="AQ157" s="161">
        <f t="shared" ref="AQ157" si="107">AP157+AQ156</f>
        <v>913356151.57827091</v>
      </c>
      <c r="AR157" s="163">
        <f t="shared" ref="AR157" si="108">H157+AR156</f>
        <v>0.58695601850569135</v>
      </c>
      <c r="AS157" s="49">
        <f t="shared" ref="AS157" si="109">I157*(HOUR(H157)*60+MINUTE(H157))/60/(7*24)</f>
        <v>0.18327876984126987</v>
      </c>
      <c r="AT157" s="165">
        <f t="shared" ref="AT157" si="110">AS157+AT156</f>
        <v>2.6726121031746031</v>
      </c>
      <c r="AU157" s="254">
        <f t="shared" si="74"/>
        <v>136750.3272</v>
      </c>
      <c r="AV157" s="255">
        <f t="shared" si="75"/>
        <v>328277.97280000005</v>
      </c>
      <c r="AW157" s="256">
        <f t="shared" si="76"/>
        <v>0.4165686964422487</v>
      </c>
    </row>
    <row r="158" spans="1:70">
      <c r="A158" s="108">
        <v>156</v>
      </c>
      <c r="F158" s="45">
        <v>43126.264699074076</v>
      </c>
      <c r="G158" s="45">
        <v>43126.306087962963</v>
      </c>
      <c r="H158" s="53">
        <f>G158-F158</f>
        <v>4.1388888887013309E-2</v>
      </c>
      <c r="I158" s="86">
        <v>33.51</v>
      </c>
      <c r="J158" s="109" t="s">
        <v>260</v>
      </c>
      <c r="K158" s="88" t="s">
        <v>72</v>
      </c>
      <c r="L158" s="88" t="s">
        <v>73</v>
      </c>
      <c r="M158" s="88">
        <v>-369</v>
      </c>
      <c r="N158" s="108">
        <v>1</v>
      </c>
      <c r="O158" s="108">
        <v>200</v>
      </c>
      <c r="P158" s="88">
        <v>347</v>
      </c>
      <c r="Q158" s="88" t="s">
        <v>75</v>
      </c>
      <c r="R158" s="88" t="s">
        <v>265</v>
      </c>
      <c r="S158" s="110">
        <v>7068</v>
      </c>
      <c r="T158" s="110">
        <v>704</v>
      </c>
      <c r="U158" s="88">
        <v>983</v>
      </c>
      <c r="V158" s="90">
        <v>1500</v>
      </c>
      <c r="W158" s="111">
        <v>10</v>
      </c>
      <c r="X158" s="110">
        <v>32821</v>
      </c>
      <c r="Y158" s="110">
        <v>584044</v>
      </c>
      <c r="Z158" s="110">
        <v>4653105</v>
      </c>
      <c r="AA158" s="110">
        <v>1455875</v>
      </c>
      <c r="AB158" s="112">
        <v>3206713</v>
      </c>
      <c r="AC158" s="109">
        <v>160</v>
      </c>
      <c r="AD158" s="110">
        <v>-110</v>
      </c>
      <c r="AE158" s="110">
        <v>4.1399999999999997</v>
      </c>
      <c r="AF158" s="110">
        <v>-0.57999999999999996</v>
      </c>
      <c r="AG158" s="110">
        <v>109.8</v>
      </c>
      <c r="AH158" s="110">
        <v>-110</v>
      </c>
      <c r="AI158" s="110">
        <v>3.62</v>
      </c>
      <c r="AJ158" s="109">
        <v>-0.4</v>
      </c>
      <c r="AK158" s="113" t="s">
        <v>59</v>
      </c>
      <c r="AL158" s="107" t="s">
        <v>273</v>
      </c>
      <c r="AN158" s="107">
        <v>0.95299999999999996</v>
      </c>
      <c r="AO158" s="48">
        <f t="shared" si="77"/>
        <v>95413791.865384594</v>
      </c>
      <c r="AP158" s="156">
        <f t="shared" ref="AP158" si="111">AO158*0.7</f>
        <v>66789654.305769213</v>
      </c>
      <c r="AQ158" s="161">
        <f t="shared" ref="AQ158" si="112">AP158+AQ157</f>
        <v>980145805.88404012</v>
      </c>
      <c r="AR158" s="163">
        <f t="shared" ref="AR158" si="113">H158+AR157</f>
        <v>0.62834490739270465</v>
      </c>
      <c r="AS158" s="49">
        <f t="shared" ref="AS158" si="114">I158*(HOUR(H158)*60+MINUTE(H158))/60/(7*24)</f>
        <v>0.19613988095238094</v>
      </c>
      <c r="AT158" s="165">
        <f t="shared" ref="AT158" si="115">AS158+AT157</f>
        <v>2.868751984126984</v>
      </c>
      <c r="AU158" s="254">
        <f t="shared" si="74"/>
        <v>138744.88749999998</v>
      </c>
      <c r="AV158" s="255">
        <f t="shared" si="75"/>
        <v>327513.91249999998</v>
      </c>
      <c r="AW158" s="256">
        <f t="shared" si="76"/>
        <v>0.42363051523803585</v>
      </c>
    </row>
    <row r="159" spans="1:70">
      <c r="A159" s="108">
        <v>157</v>
      </c>
      <c r="F159" s="45">
        <v>43126.306111111109</v>
      </c>
      <c r="G159" s="45">
        <v>43126.348541666666</v>
      </c>
      <c r="H159" s="53">
        <f>G159-F159-SUM('user time'!E128:E130)</f>
        <v>4.1030092594112499E-2</v>
      </c>
      <c r="I159" s="86">
        <v>33.5</v>
      </c>
      <c r="J159" s="109" t="s">
        <v>260</v>
      </c>
      <c r="K159" s="88" t="s">
        <v>72</v>
      </c>
      <c r="L159" s="88" t="s">
        <v>73</v>
      </c>
      <c r="M159" s="88">
        <v>-369</v>
      </c>
      <c r="N159" s="108">
        <v>1</v>
      </c>
      <c r="O159" s="108">
        <v>200</v>
      </c>
      <c r="P159" s="88">
        <v>347</v>
      </c>
      <c r="Q159" s="88" t="s">
        <v>75</v>
      </c>
      <c r="R159" s="88" t="s">
        <v>265</v>
      </c>
      <c r="S159" s="110">
        <v>7100</v>
      </c>
      <c r="T159" s="110">
        <v>700</v>
      </c>
      <c r="U159" s="88">
        <v>983</v>
      </c>
      <c r="V159" s="90">
        <v>1500</v>
      </c>
      <c r="W159" s="111">
        <v>10</v>
      </c>
      <c r="X159" s="110">
        <v>32584</v>
      </c>
      <c r="Y159" s="110">
        <v>584209</v>
      </c>
      <c r="Z159" s="110">
        <v>4652227</v>
      </c>
      <c r="AA159" s="110">
        <v>1456099</v>
      </c>
      <c r="AB159" s="112">
        <v>3205447</v>
      </c>
      <c r="AC159" s="109">
        <v>160</v>
      </c>
      <c r="AD159" s="110">
        <v>-110</v>
      </c>
      <c r="AE159" s="110">
        <v>4.13</v>
      </c>
      <c r="AF159" s="110">
        <v>-0.57999999999999996</v>
      </c>
      <c r="AG159" s="110">
        <v>109.8</v>
      </c>
      <c r="AH159" s="110">
        <v>-110</v>
      </c>
      <c r="AI159" s="110">
        <v>3.62</v>
      </c>
      <c r="AJ159" s="109">
        <v>-0.4</v>
      </c>
      <c r="AK159" s="113" t="s">
        <v>59</v>
      </c>
      <c r="AL159" s="107" t="s">
        <v>266</v>
      </c>
      <c r="AN159" s="107">
        <v>0.95199999999999996</v>
      </c>
      <c r="AO159" s="48">
        <f t="shared" si="77"/>
        <v>94501945.176153839</v>
      </c>
      <c r="AP159" s="156">
        <f t="shared" ref="AP159" si="116">AO159*0.7</f>
        <v>66151361.623307683</v>
      </c>
      <c r="AQ159" s="161">
        <f>AP159+AQ158</f>
        <v>1046297167.5073478</v>
      </c>
      <c r="AR159" s="163">
        <f t="shared" ref="AR159" si="117">H159+AR158</f>
        <v>0.66937499998681715</v>
      </c>
      <c r="AS159" s="49">
        <f t="shared" ref="AS159" si="118">I159*(HOUR(H159)*60+MINUTE(H159))/60/(7*24)</f>
        <v>0.19608134920634923</v>
      </c>
      <c r="AT159" s="165">
        <f t="shared" ref="AT159" si="119">AS159+AT158</f>
        <v>3.0648333333333331</v>
      </c>
      <c r="AU159" s="254">
        <f t="shared" si="74"/>
        <v>138620.62479999999</v>
      </c>
      <c r="AV159" s="255">
        <f t="shared" si="75"/>
        <v>327533.97520000004</v>
      </c>
      <c r="AW159" s="256">
        <f t="shared" si="76"/>
        <v>0.42322517752656019</v>
      </c>
    </row>
    <row r="160" spans="1:70">
      <c r="A160" s="108">
        <v>158</v>
      </c>
      <c r="F160" s="45">
        <v>43126.353391203702</v>
      </c>
      <c r="G160" s="45">
        <v>43126.394363425927</v>
      </c>
      <c r="H160" s="53">
        <f>G160-F160-'user time'!E132</f>
        <v>4.0567129632216703E-2</v>
      </c>
      <c r="I160" s="86">
        <v>33.51</v>
      </c>
      <c r="J160" s="109" t="s">
        <v>260</v>
      </c>
      <c r="K160" s="88" t="s">
        <v>72</v>
      </c>
      <c r="L160" s="88" t="s">
        <v>73</v>
      </c>
      <c r="M160" s="88">
        <v>-369</v>
      </c>
      <c r="N160" s="108">
        <v>1</v>
      </c>
      <c r="O160" s="108">
        <v>200</v>
      </c>
      <c r="P160" s="88">
        <v>347</v>
      </c>
      <c r="Q160" s="88" t="s">
        <v>75</v>
      </c>
      <c r="R160" s="88" t="s">
        <v>265</v>
      </c>
      <c r="S160" s="110">
        <v>7000</v>
      </c>
      <c r="T160" s="110">
        <v>760</v>
      </c>
      <c r="U160" s="88">
        <v>983</v>
      </c>
      <c r="V160" s="90">
        <v>1500</v>
      </c>
      <c r="W160" s="111">
        <f>W159</f>
        <v>10</v>
      </c>
      <c r="AA160" s="110">
        <f>AA159</f>
        <v>1456099</v>
      </c>
      <c r="AB160" s="112">
        <f>AB159</f>
        <v>3205447</v>
      </c>
      <c r="AC160" s="109">
        <v>159.9</v>
      </c>
      <c r="AD160" s="110">
        <v>-110</v>
      </c>
      <c r="AE160" s="110">
        <v>4.1399999999999997</v>
      </c>
      <c r="AF160" s="110">
        <v>-0.57999999999999996</v>
      </c>
      <c r="AG160" s="110">
        <v>109.8</v>
      </c>
      <c r="AH160" s="110">
        <v>-110</v>
      </c>
      <c r="AI160" s="110">
        <v>3.62</v>
      </c>
      <c r="AJ160" s="109">
        <v>-0.4</v>
      </c>
      <c r="AK160" s="113" t="s">
        <v>59</v>
      </c>
      <c r="AL160" s="107" t="s">
        <v>273</v>
      </c>
      <c r="AN160" s="107">
        <v>0.95399999999999996</v>
      </c>
      <c r="AO160" s="48">
        <f t="shared" si="77"/>
        <v>93631926.02365385</v>
      </c>
      <c r="AP160" s="156">
        <f t="shared" ref="AP160" si="120">AO160*0.7</f>
        <v>65542348.216557689</v>
      </c>
      <c r="AQ160" s="161">
        <f>AP160+AQ159</f>
        <v>1111839515.7239056</v>
      </c>
      <c r="AR160" s="163">
        <f t="shared" ref="AR160" si="121">H160+AR159</f>
        <v>0.7099421296190338</v>
      </c>
      <c r="AS160" s="49">
        <f t="shared" ref="AS160" si="122">I160*(HOUR(H160)*60+MINUTE(H160))/60/(7*24)</f>
        <v>0.1928154761904762</v>
      </c>
      <c r="AT160" s="165">
        <f t="shared" ref="AT160" si="123">AS160+AT159</f>
        <v>3.2576488095238094</v>
      </c>
      <c r="AU160" s="254">
        <f t="shared" si="74"/>
        <v>138911.84459999998</v>
      </c>
      <c r="AV160" s="255">
        <f t="shared" si="75"/>
        <v>327242.75540000002</v>
      </c>
      <c r="AW160" s="256">
        <f t="shared" si="76"/>
        <v>0.42449173375955496</v>
      </c>
    </row>
    <row r="161" spans="1:70">
      <c r="A161" s="108">
        <v>159</v>
      </c>
      <c r="F161" s="45">
        <v>43126.39439814815</v>
      </c>
      <c r="G161" s="45">
        <v>43126.42759259259</v>
      </c>
      <c r="H161" s="53">
        <f>G161-F161-'user time'!E133</f>
        <v>3.2499999996151829E-2</v>
      </c>
      <c r="I161" s="86">
        <v>33.54</v>
      </c>
      <c r="J161" s="109" t="s">
        <v>260</v>
      </c>
      <c r="K161" s="88" t="s">
        <v>72</v>
      </c>
      <c r="L161" s="88" t="s">
        <v>73</v>
      </c>
      <c r="M161" s="88">
        <v>-369</v>
      </c>
      <c r="N161" s="108">
        <v>1</v>
      </c>
      <c r="O161" s="108">
        <v>200</v>
      </c>
      <c r="P161" s="88">
        <v>347</v>
      </c>
      <c r="Q161" s="88" t="s">
        <v>75</v>
      </c>
      <c r="R161" s="88" t="s">
        <v>265</v>
      </c>
      <c r="S161" s="110">
        <v>7100</v>
      </c>
      <c r="T161" s="110">
        <v>700</v>
      </c>
      <c r="U161" s="88">
        <v>983</v>
      </c>
      <c r="V161" s="90">
        <v>1500</v>
      </c>
      <c r="W161" s="111">
        <v>10</v>
      </c>
      <c r="X161" s="110">
        <v>32990</v>
      </c>
      <c r="Y161" s="110">
        <v>582977</v>
      </c>
      <c r="Z161" s="110">
        <v>4629964</v>
      </c>
      <c r="AA161" s="110">
        <v>1444610</v>
      </c>
      <c r="AB161" s="112">
        <v>3194983</v>
      </c>
      <c r="AC161" s="109">
        <v>159.9</v>
      </c>
      <c r="AD161" s="110">
        <v>-110</v>
      </c>
      <c r="AE161" s="110">
        <v>4.1399999999999997</v>
      </c>
      <c r="AF161" s="110">
        <v>-0.57999999999999996</v>
      </c>
      <c r="AG161" s="110">
        <v>109.8</v>
      </c>
      <c r="AH161" s="110">
        <v>-110</v>
      </c>
      <c r="AI161" s="110">
        <v>3.62</v>
      </c>
      <c r="AJ161" s="109">
        <v>-0.4</v>
      </c>
      <c r="AK161" s="113" t="s">
        <v>59</v>
      </c>
      <c r="AL161" s="107" t="s">
        <v>273</v>
      </c>
      <c r="AN161" s="107">
        <v>0.95199999999999996</v>
      </c>
      <c r="AO161" s="48">
        <f t="shared" si="77"/>
        <v>74264510.879999995</v>
      </c>
      <c r="AP161" s="156">
        <f t="shared" ref="AP161" si="124">AO161*0.7</f>
        <v>51985157.615999997</v>
      </c>
      <c r="AQ161" s="161">
        <f>AP161+AQ160</f>
        <v>1163824673.3399055</v>
      </c>
      <c r="AR161" s="163">
        <f t="shared" ref="AR161" si="125">H161+AR160</f>
        <v>0.74244212961518563</v>
      </c>
      <c r="AS161" s="49">
        <f t="shared" ref="AS161" si="126">I161*(HOUR(H161)*60+MINUTE(H161))/60/(7*24)</f>
        <v>0.15305952380952381</v>
      </c>
      <c r="AT161" s="165">
        <f t="shared" ref="AT161" si="127">AS161+AT160</f>
        <v>3.410708333333333</v>
      </c>
      <c r="AU161" s="254">
        <f>AA161/W161*AN161</f>
        <v>137526.872</v>
      </c>
      <c r="AV161" s="255">
        <f>AB161/W161+AA161/W161*(1-AN161)</f>
        <v>326432.42800000001</v>
      </c>
      <c r="AW161" s="256">
        <f>AU161/AV161</f>
        <v>0.42130272670091462</v>
      </c>
    </row>
    <row r="162" spans="1:70" s="149" customFormat="1">
      <c r="A162" s="138">
        <v>160</v>
      </c>
      <c r="F162" s="133"/>
      <c r="G162" s="133"/>
      <c r="H162" s="134"/>
      <c r="I162" s="135"/>
      <c r="J162" s="136"/>
      <c r="K162" s="137"/>
      <c r="L162" s="137"/>
      <c r="M162" s="137"/>
      <c r="N162" s="138"/>
      <c r="O162" s="138"/>
      <c r="P162" s="137"/>
      <c r="Q162" s="137"/>
      <c r="R162" s="137"/>
      <c r="S162" s="139"/>
      <c r="T162" s="139"/>
      <c r="U162" s="137"/>
      <c r="V162" s="140"/>
      <c r="W162" s="141"/>
      <c r="X162" s="139"/>
      <c r="Y162" s="139"/>
      <c r="Z162" s="139"/>
      <c r="AA162" s="139"/>
      <c r="AB162" s="142"/>
      <c r="AC162" s="136"/>
      <c r="AD162" s="139"/>
      <c r="AE162" s="139"/>
      <c r="AF162" s="139"/>
      <c r="AG162" s="139"/>
      <c r="AH162" s="139"/>
      <c r="AI162" s="139"/>
      <c r="AJ162" s="136"/>
      <c r="AK162" s="143"/>
      <c r="AL162" s="144" t="s">
        <v>280</v>
      </c>
      <c r="AM162" s="145" t="s">
        <v>279</v>
      </c>
      <c r="AN162" s="144"/>
      <c r="AO162" s="151"/>
      <c r="AP162" s="152"/>
      <c r="AQ162" s="160"/>
      <c r="AR162" s="162"/>
      <c r="AS162" s="147"/>
      <c r="AT162" s="164"/>
      <c r="AU162" s="147"/>
      <c r="AV162" s="147"/>
      <c r="AW162" s="139"/>
      <c r="AX162" s="139"/>
      <c r="AY162" s="139"/>
      <c r="AZ162" s="139"/>
      <c r="BA162" s="147"/>
      <c r="BB162" s="142"/>
      <c r="BC162" s="148"/>
      <c r="BD162" s="148"/>
      <c r="BE162" s="148"/>
      <c r="BF162" s="148"/>
      <c r="BG162" s="148"/>
      <c r="BH162" s="148"/>
      <c r="BI162" s="148"/>
      <c r="BJ162" s="148"/>
      <c r="BK162" s="148"/>
      <c r="BL162" s="148"/>
      <c r="BM162" s="148"/>
      <c r="BN162" s="148"/>
      <c r="BO162" s="148"/>
      <c r="BP162" s="148"/>
      <c r="BQ162" s="148"/>
      <c r="BR162" s="148"/>
    </row>
    <row r="163" spans="1:70" s="149" customFormat="1">
      <c r="A163" s="138">
        <v>161</v>
      </c>
      <c r="F163" s="133"/>
      <c r="G163" s="133"/>
      <c r="H163" s="134"/>
      <c r="I163" s="135"/>
      <c r="J163" s="136"/>
      <c r="K163" s="137"/>
      <c r="L163" s="137"/>
      <c r="M163" s="137"/>
      <c r="N163" s="138"/>
      <c r="O163" s="138"/>
      <c r="P163" s="137"/>
      <c r="Q163" s="137"/>
      <c r="R163" s="137"/>
      <c r="S163" s="139"/>
      <c r="T163" s="139"/>
      <c r="U163" s="137"/>
      <c r="V163" s="140"/>
      <c r="W163" s="141"/>
      <c r="X163" s="139"/>
      <c r="Y163" s="139"/>
      <c r="Z163" s="139"/>
      <c r="AA163" s="139"/>
      <c r="AB163" s="142"/>
      <c r="AC163" s="136"/>
      <c r="AD163" s="139"/>
      <c r="AE163" s="139"/>
      <c r="AF163" s="139"/>
      <c r="AG163" s="139"/>
      <c r="AH163" s="139"/>
      <c r="AI163" s="139"/>
      <c r="AJ163" s="136"/>
      <c r="AK163" s="143"/>
      <c r="AL163" s="144" t="s">
        <v>281</v>
      </c>
      <c r="AM163" s="145"/>
      <c r="AN163" s="144"/>
      <c r="AO163" s="151"/>
      <c r="AP163" s="152"/>
      <c r="AQ163" s="160"/>
      <c r="AR163" s="162"/>
      <c r="AS163" s="147"/>
      <c r="AT163" s="164"/>
      <c r="AU163" s="147"/>
      <c r="AV163" s="147"/>
      <c r="AW163" s="139"/>
      <c r="AX163" s="139"/>
      <c r="AY163" s="139"/>
      <c r="AZ163" s="139"/>
      <c r="BA163" s="147"/>
      <c r="BB163" s="142"/>
      <c r="BC163" s="148"/>
      <c r="BD163" s="148"/>
      <c r="BE163" s="148"/>
      <c r="BF163" s="148"/>
      <c r="BG163" s="148"/>
      <c r="BH163" s="148"/>
      <c r="BI163" s="148"/>
      <c r="BJ163" s="148"/>
      <c r="BK163" s="148"/>
      <c r="BL163" s="148"/>
      <c r="BM163" s="148"/>
      <c r="BN163" s="148"/>
      <c r="BO163" s="148"/>
      <c r="BP163" s="148"/>
      <c r="BQ163" s="148"/>
      <c r="BR163" s="148"/>
    </row>
    <row r="164" spans="1:70" s="149" customFormat="1">
      <c r="A164" s="138">
        <v>162</v>
      </c>
      <c r="F164" s="133"/>
      <c r="G164" s="133"/>
      <c r="H164" s="134"/>
      <c r="I164" s="135"/>
      <c r="J164" s="136"/>
      <c r="K164" s="137"/>
      <c r="L164" s="137"/>
      <c r="M164" s="137"/>
      <c r="N164" s="138"/>
      <c r="O164" s="138"/>
      <c r="P164" s="137"/>
      <c r="Q164" s="137"/>
      <c r="R164" s="137"/>
      <c r="S164" s="139"/>
      <c r="T164" s="139"/>
      <c r="U164" s="137"/>
      <c r="V164" s="140"/>
      <c r="W164" s="141"/>
      <c r="X164" s="139"/>
      <c r="Y164" s="139"/>
      <c r="Z164" s="139"/>
      <c r="AA164" s="139"/>
      <c r="AB164" s="142"/>
      <c r="AC164" s="136"/>
      <c r="AD164" s="139"/>
      <c r="AE164" s="139"/>
      <c r="AF164" s="139"/>
      <c r="AG164" s="139"/>
      <c r="AH164" s="139"/>
      <c r="AI164" s="139"/>
      <c r="AJ164" s="136"/>
      <c r="AK164" s="143"/>
      <c r="AL164" s="144" t="s">
        <v>281</v>
      </c>
      <c r="AM164" s="145"/>
      <c r="AN164" s="144"/>
      <c r="AO164" s="151"/>
      <c r="AP164" s="152"/>
      <c r="AQ164" s="160"/>
      <c r="AR164" s="162"/>
      <c r="AS164" s="147"/>
      <c r="AT164" s="164"/>
      <c r="AU164" s="147"/>
      <c r="AV164" s="147"/>
      <c r="AW164" s="139"/>
      <c r="AX164" s="139"/>
      <c r="AY164" s="139"/>
      <c r="AZ164" s="139"/>
      <c r="BA164" s="147"/>
      <c r="BB164" s="142"/>
      <c r="BC164" s="148"/>
      <c r="BD164" s="148"/>
      <c r="BE164" s="148"/>
      <c r="BF164" s="148"/>
      <c r="BG164" s="148"/>
      <c r="BH164" s="148"/>
      <c r="BI164" s="148"/>
      <c r="BJ164" s="148"/>
      <c r="BK164" s="148"/>
      <c r="BL164" s="148"/>
      <c r="BM164" s="148"/>
      <c r="BN164" s="148"/>
      <c r="BO164" s="148"/>
      <c r="BP164" s="148"/>
      <c r="BQ164" s="148"/>
      <c r="BR164" s="148"/>
    </row>
    <row r="165" spans="1:70" s="190" customFormat="1">
      <c r="A165" s="176">
        <v>163</v>
      </c>
      <c r="F165" s="171">
        <v>43126.806504629632</v>
      </c>
      <c r="G165" s="171">
        <v>43126.809074074074</v>
      </c>
      <c r="H165" s="172">
        <f t="shared" ref="H165:H171" si="128">G165-F165</f>
        <v>2.5694444411783479E-3</v>
      </c>
      <c r="I165" s="173"/>
      <c r="J165" s="174"/>
      <c r="K165" s="175"/>
      <c r="L165" s="175"/>
      <c r="M165" s="175"/>
      <c r="N165" s="176"/>
      <c r="O165" s="176"/>
      <c r="P165" s="175"/>
      <c r="Q165" s="175"/>
      <c r="R165" s="175" t="s">
        <v>282</v>
      </c>
      <c r="S165" s="177"/>
      <c r="T165" s="177"/>
      <c r="U165" s="175"/>
      <c r="V165" s="178"/>
      <c r="W165" s="179"/>
      <c r="X165" s="177"/>
      <c r="Y165" s="177"/>
      <c r="Z165" s="177"/>
      <c r="AA165" s="177"/>
      <c r="AB165" s="180"/>
      <c r="AC165" s="174"/>
      <c r="AD165" s="177"/>
      <c r="AE165" s="177"/>
      <c r="AF165" s="177"/>
      <c r="AG165" s="177"/>
      <c r="AH165" s="177"/>
      <c r="AI165" s="177"/>
      <c r="AJ165" s="174"/>
      <c r="AK165" s="181"/>
      <c r="AL165" s="182" t="s">
        <v>283</v>
      </c>
      <c r="AM165" s="183"/>
      <c r="AN165" s="182"/>
      <c r="AO165" s="191"/>
      <c r="AP165" s="192"/>
      <c r="AQ165" s="193"/>
      <c r="AR165" s="186"/>
      <c r="AS165" s="187"/>
      <c r="AT165" s="188"/>
      <c r="AU165" s="187"/>
      <c r="AV165" s="187"/>
      <c r="AW165" s="177"/>
      <c r="AX165" s="177"/>
      <c r="AY165" s="177"/>
      <c r="AZ165" s="177"/>
      <c r="BA165" s="187"/>
      <c r="BB165" s="180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</row>
    <row r="166" spans="1:70" s="190" customFormat="1">
      <c r="A166" s="176">
        <v>164</v>
      </c>
      <c r="F166" s="171">
        <v>43126.856111111112</v>
      </c>
      <c r="G166" s="171">
        <v>43126.859490740739</v>
      </c>
      <c r="H166" s="172">
        <f t="shared" si="128"/>
        <v>3.379629626579117E-3</v>
      </c>
      <c r="I166" s="173"/>
      <c r="J166" s="174"/>
      <c r="K166" s="175"/>
      <c r="L166" s="175"/>
      <c r="M166" s="175"/>
      <c r="N166" s="176"/>
      <c r="O166" s="176"/>
      <c r="P166" s="175"/>
      <c r="Q166" s="175"/>
      <c r="R166" s="175" t="s">
        <v>282</v>
      </c>
      <c r="S166" s="177"/>
      <c r="T166" s="177"/>
      <c r="U166" s="175"/>
      <c r="V166" s="178"/>
      <c r="W166" s="179"/>
      <c r="X166" s="177"/>
      <c r="Y166" s="177"/>
      <c r="Z166" s="177"/>
      <c r="AA166" s="177"/>
      <c r="AB166" s="180"/>
      <c r="AC166" s="174"/>
      <c r="AD166" s="177"/>
      <c r="AE166" s="177"/>
      <c r="AF166" s="177"/>
      <c r="AG166" s="177"/>
      <c r="AH166" s="177"/>
      <c r="AI166" s="177"/>
      <c r="AJ166" s="174"/>
      <c r="AK166" s="181"/>
      <c r="AL166" s="182" t="s">
        <v>284</v>
      </c>
      <c r="AM166" s="183"/>
      <c r="AN166" s="182"/>
      <c r="AO166" s="191"/>
      <c r="AP166" s="192"/>
      <c r="AQ166" s="193"/>
      <c r="AR166" s="186"/>
      <c r="AS166" s="187"/>
      <c r="AT166" s="188"/>
      <c r="AU166" s="187"/>
      <c r="AV166" s="187"/>
      <c r="AW166" s="177"/>
      <c r="AX166" s="177"/>
      <c r="AY166" s="177"/>
      <c r="AZ166" s="177"/>
      <c r="BA166" s="187"/>
      <c r="BB166" s="180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</row>
    <row r="167" spans="1:70" s="190" customFormat="1">
      <c r="A167" s="176">
        <v>165</v>
      </c>
      <c r="F167" s="171">
        <v>43126.861585648148</v>
      </c>
      <c r="G167" s="171">
        <v>43126.867349537039</v>
      </c>
      <c r="H167" s="172">
        <f t="shared" si="128"/>
        <v>5.7638888902147301E-3</v>
      </c>
      <c r="I167" s="173"/>
      <c r="J167" s="174"/>
      <c r="K167" s="175"/>
      <c r="L167" s="175"/>
      <c r="M167" s="175"/>
      <c r="N167" s="176"/>
      <c r="O167" s="176"/>
      <c r="P167" s="175"/>
      <c r="Q167" s="175"/>
      <c r="R167" s="175" t="s">
        <v>282</v>
      </c>
      <c r="S167" s="177"/>
      <c r="T167" s="177"/>
      <c r="U167" s="175"/>
      <c r="V167" s="178"/>
      <c r="W167" s="179"/>
      <c r="X167" s="177"/>
      <c r="Y167" s="177"/>
      <c r="Z167" s="177"/>
      <c r="AA167" s="177"/>
      <c r="AB167" s="180"/>
      <c r="AC167" s="174"/>
      <c r="AD167" s="177"/>
      <c r="AE167" s="177"/>
      <c r="AF167" s="177"/>
      <c r="AG167" s="177"/>
      <c r="AH167" s="177"/>
      <c r="AI167" s="177"/>
      <c r="AJ167" s="174"/>
      <c r="AK167" s="181"/>
      <c r="AL167" s="182" t="s">
        <v>285</v>
      </c>
      <c r="AM167" s="183"/>
      <c r="AN167" s="182"/>
      <c r="AO167" s="191"/>
      <c r="AP167" s="192"/>
      <c r="AQ167" s="193"/>
      <c r="AR167" s="186"/>
      <c r="AS167" s="187"/>
      <c r="AT167" s="188"/>
      <c r="AU167" s="187"/>
      <c r="AV167" s="187"/>
      <c r="AW167" s="177"/>
      <c r="AX167" s="177"/>
      <c r="AY167" s="177"/>
      <c r="AZ167" s="177"/>
      <c r="BA167" s="187"/>
      <c r="BB167" s="180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</row>
    <row r="168" spans="1:70" s="190" customFormat="1">
      <c r="A168" s="176">
        <v>166</v>
      </c>
      <c r="F168" s="171">
        <v>43126.98159722222</v>
      </c>
      <c r="G168" s="171">
        <v>43126.98333333333</v>
      </c>
      <c r="H168" s="172">
        <f t="shared" si="128"/>
        <v>1.7361111094942316E-3</v>
      </c>
      <c r="I168" s="173">
        <v>44.56</v>
      </c>
      <c r="J168" s="174" t="s">
        <v>260</v>
      </c>
      <c r="K168" s="175" t="s">
        <v>72</v>
      </c>
      <c r="L168" s="175" t="s">
        <v>73</v>
      </c>
      <c r="M168" s="175">
        <v>-369</v>
      </c>
      <c r="N168" s="176">
        <v>1</v>
      </c>
      <c r="O168" s="176">
        <v>200</v>
      </c>
      <c r="P168" s="175">
        <v>347</v>
      </c>
      <c r="Q168" s="175" t="s">
        <v>75</v>
      </c>
      <c r="R168" s="175" t="s">
        <v>286</v>
      </c>
      <c r="S168" s="177"/>
      <c r="T168" s="177"/>
      <c r="U168" s="175">
        <v>983</v>
      </c>
      <c r="V168" s="178">
        <v>1500</v>
      </c>
      <c r="W168" s="179">
        <v>10</v>
      </c>
      <c r="X168" s="177">
        <v>43677</v>
      </c>
      <c r="Y168" s="177">
        <v>769696</v>
      </c>
      <c r="Z168" s="177">
        <v>6248225</v>
      </c>
      <c r="AA168" s="177">
        <v>1937323</v>
      </c>
      <c r="AB168" s="180">
        <v>4330818</v>
      </c>
      <c r="AC168" s="174">
        <v>160.1</v>
      </c>
      <c r="AD168" s="177">
        <v>-109.9</v>
      </c>
      <c r="AE168" s="177">
        <v>4.1500000000000004</v>
      </c>
      <c r="AF168" s="177">
        <v>-0.56999999999999995</v>
      </c>
      <c r="AG168" s="177">
        <v>109.8</v>
      </c>
      <c r="AH168" s="177">
        <v>-110</v>
      </c>
      <c r="AI168" s="177">
        <v>3.62</v>
      </c>
      <c r="AJ168" s="174">
        <v>-0.45</v>
      </c>
      <c r="AK168" s="181"/>
      <c r="AL168" s="182" t="s">
        <v>287</v>
      </c>
      <c r="AM168" s="183"/>
      <c r="AN168" s="182"/>
      <c r="AO168" s="191"/>
      <c r="AP168" s="192"/>
      <c r="AQ168" s="193"/>
      <c r="AR168" s="186"/>
      <c r="AS168" s="187"/>
      <c r="AT168" s="188"/>
      <c r="AU168" s="187"/>
      <c r="AV168" s="187"/>
      <c r="AW168" s="177"/>
      <c r="AX168" s="177"/>
      <c r="AY168" s="177"/>
      <c r="AZ168" s="177"/>
      <c r="BA168" s="187"/>
      <c r="BB168" s="180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</row>
    <row r="169" spans="1:70" s="190" customFormat="1">
      <c r="A169" s="176">
        <v>167</v>
      </c>
      <c r="F169" s="171">
        <v>43126.983807870369</v>
      </c>
      <c r="G169" s="171">
        <v>43127.004699074074</v>
      </c>
      <c r="H169" s="172">
        <f t="shared" si="128"/>
        <v>2.0891203705104999E-2</v>
      </c>
      <c r="I169" s="173">
        <v>44.56</v>
      </c>
      <c r="J169" s="174" t="s">
        <v>260</v>
      </c>
      <c r="K169" s="175" t="s">
        <v>72</v>
      </c>
      <c r="L169" s="175" t="s">
        <v>73</v>
      </c>
      <c r="M169" s="175">
        <v>-369</v>
      </c>
      <c r="N169" s="176">
        <v>1</v>
      </c>
      <c r="O169" s="176">
        <v>200</v>
      </c>
      <c r="P169" s="175">
        <v>347</v>
      </c>
      <c r="Q169" s="175" t="s">
        <v>75</v>
      </c>
      <c r="R169" s="230" t="s">
        <v>288</v>
      </c>
      <c r="S169" s="177"/>
      <c r="T169" s="177"/>
      <c r="U169" s="175">
        <v>983</v>
      </c>
      <c r="V169" s="178">
        <v>1500</v>
      </c>
      <c r="W169" s="179"/>
      <c r="X169" s="177"/>
      <c r="Y169" s="177"/>
      <c r="Z169" s="177"/>
      <c r="AA169" s="177"/>
      <c r="AB169" s="180"/>
      <c r="AC169" s="174">
        <v>160.1</v>
      </c>
      <c r="AD169" s="177">
        <v>-109.9</v>
      </c>
      <c r="AE169" s="177">
        <v>4.1500000000000004</v>
      </c>
      <c r="AF169" s="177">
        <v>-0.56999999999999995</v>
      </c>
      <c r="AG169" s="177">
        <v>109.8</v>
      </c>
      <c r="AH169" s="177">
        <v>-110</v>
      </c>
      <c r="AI169" s="177">
        <v>3.62</v>
      </c>
      <c r="AJ169" s="174">
        <v>-0.45</v>
      </c>
      <c r="AK169" s="181"/>
      <c r="AL169" s="182" t="s">
        <v>289</v>
      </c>
      <c r="AM169" s="183"/>
      <c r="AN169" s="182"/>
      <c r="AO169" s="191"/>
      <c r="AP169" s="192"/>
      <c r="AQ169" s="193"/>
      <c r="AR169" s="186"/>
      <c r="AS169" s="187"/>
      <c r="AT169" s="188"/>
      <c r="AU169" s="187"/>
      <c r="AV169" s="187"/>
      <c r="AW169" s="177"/>
      <c r="AX169" s="177"/>
      <c r="AY169" s="177"/>
      <c r="AZ169" s="177"/>
      <c r="BA169" s="187"/>
      <c r="BB169" s="180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</row>
    <row r="170" spans="1:70" s="190" customFormat="1">
      <c r="A170" s="176">
        <v>168</v>
      </c>
      <c r="F170" s="171">
        <v>43127.004930555559</v>
      </c>
      <c r="G170" s="171">
        <v>43127.007372685184</v>
      </c>
      <c r="H170" s="172">
        <f t="shared" si="128"/>
        <v>2.4421296257060021E-3</v>
      </c>
      <c r="I170" s="173">
        <v>44.56</v>
      </c>
      <c r="J170" s="174" t="s">
        <v>260</v>
      </c>
      <c r="K170" s="175" t="s">
        <v>72</v>
      </c>
      <c r="L170" s="175" t="s">
        <v>73</v>
      </c>
      <c r="M170" s="175">
        <v>-369</v>
      </c>
      <c r="N170" s="176">
        <v>1</v>
      </c>
      <c r="O170" s="176">
        <v>200</v>
      </c>
      <c r="P170" s="175">
        <v>347</v>
      </c>
      <c r="Q170" s="175" t="s">
        <v>75</v>
      </c>
      <c r="R170" s="230" t="s">
        <v>288</v>
      </c>
      <c r="S170" s="177"/>
      <c r="T170" s="177"/>
      <c r="U170" s="175">
        <v>983</v>
      </c>
      <c r="V170" s="178">
        <v>1500</v>
      </c>
      <c r="W170" s="179"/>
      <c r="X170" s="177"/>
      <c r="Y170" s="177"/>
      <c r="Z170" s="177"/>
      <c r="AA170" s="177"/>
      <c r="AB170" s="180"/>
      <c r="AC170" s="174">
        <v>160.1</v>
      </c>
      <c r="AD170" s="177">
        <v>-109.9</v>
      </c>
      <c r="AE170" s="177">
        <v>4.1500000000000004</v>
      </c>
      <c r="AF170" s="177">
        <v>-0.56999999999999995</v>
      </c>
      <c r="AG170" s="177">
        <v>109.8</v>
      </c>
      <c r="AH170" s="177">
        <v>-110</v>
      </c>
      <c r="AI170" s="177">
        <v>3.62</v>
      </c>
      <c r="AJ170" s="174">
        <v>-0.45</v>
      </c>
      <c r="AK170" s="181"/>
      <c r="AL170" s="182" t="s">
        <v>290</v>
      </c>
      <c r="AM170" s="183"/>
      <c r="AN170" s="182"/>
      <c r="AO170" s="191"/>
      <c r="AP170" s="192"/>
      <c r="AQ170" s="193"/>
      <c r="AR170" s="186"/>
      <c r="AS170" s="187"/>
      <c r="AT170" s="188"/>
      <c r="AU170" s="187"/>
      <c r="AV170" s="187"/>
      <c r="AW170" s="177"/>
      <c r="AX170" s="177"/>
      <c r="AY170" s="177"/>
      <c r="AZ170" s="177"/>
      <c r="BA170" s="187"/>
      <c r="BB170" s="180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</row>
    <row r="171" spans="1:70" s="190" customFormat="1">
      <c r="A171" s="176">
        <v>169</v>
      </c>
      <c r="F171" s="171">
        <v>43127.008275462962</v>
      </c>
      <c r="G171" s="171">
        <v>43127.009155092594</v>
      </c>
      <c r="H171" s="172">
        <f t="shared" si="128"/>
        <v>8.7962963152676821E-4</v>
      </c>
      <c r="I171" s="173">
        <v>44.55</v>
      </c>
      <c r="J171" s="174" t="s">
        <v>260</v>
      </c>
      <c r="K171" s="175" t="s">
        <v>72</v>
      </c>
      <c r="L171" s="175" t="s">
        <v>73</v>
      </c>
      <c r="M171" s="175">
        <v>-369</v>
      </c>
      <c r="N171" s="176">
        <v>1</v>
      </c>
      <c r="O171" s="176">
        <v>200</v>
      </c>
      <c r="P171" s="175">
        <v>355</v>
      </c>
      <c r="Q171" s="175" t="s">
        <v>75</v>
      </c>
      <c r="R171" s="175" t="s">
        <v>286</v>
      </c>
      <c r="S171" s="177"/>
      <c r="T171" s="177"/>
      <c r="U171" s="175">
        <v>983</v>
      </c>
      <c r="V171" s="178">
        <v>1500</v>
      </c>
      <c r="W171" s="179"/>
      <c r="X171" s="177"/>
      <c r="Y171" s="177"/>
      <c r="Z171" s="177"/>
      <c r="AA171" s="177"/>
      <c r="AB171" s="180"/>
      <c r="AC171" s="174">
        <v>160</v>
      </c>
      <c r="AD171" s="177">
        <v>-109.9</v>
      </c>
      <c r="AE171" s="177">
        <v>4.1500000000000004</v>
      </c>
      <c r="AF171" s="177">
        <v>-0.56999999999999995</v>
      </c>
      <c r="AG171" s="177">
        <v>109.8</v>
      </c>
      <c r="AH171" s="177">
        <v>-110</v>
      </c>
      <c r="AI171" s="177">
        <v>2.64</v>
      </c>
      <c r="AJ171" s="174">
        <v>0.67</v>
      </c>
      <c r="AK171" s="181"/>
      <c r="AL171" s="182" t="s">
        <v>291</v>
      </c>
      <c r="AM171" s="183"/>
      <c r="AN171" s="182"/>
      <c r="AO171" s="191"/>
      <c r="AP171" s="192"/>
      <c r="AQ171" s="193"/>
      <c r="AR171" s="186"/>
      <c r="AS171" s="187"/>
      <c r="AT171" s="188"/>
      <c r="AU171" s="187"/>
      <c r="AV171" s="187"/>
      <c r="AW171" s="177"/>
      <c r="AX171" s="177"/>
      <c r="AY171" s="177"/>
      <c r="AZ171" s="177"/>
      <c r="BA171" s="187"/>
      <c r="BB171" s="180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</row>
    <row r="172" spans="1:70" s="190" customFormat="1">
      <c r="A172" s="176">
        <v>170</v>
      </c>
      <c r="F172" s="171">
        <v>43127.009340277778</v>
      </c>
      <c r="G172" s="171">
        <v>43127.010208333333</v>
      </c>
      <c r="H172" s="172">
        <f t="shared" ref="H172:H174" si="129">G172-F172</f>
        <v>8.6805555474711582E-4</v>
      </c>
      <c r="I172" s="173">
        <v>44.55</v>
      </c>
      <c r="J172" s="174" t="s">
        <v>260</v>
      </c>
      <c r="K172" s="175" t="s">
        <v>72</v>
      </c>
      <c r="L172" s="175" t="s">
        <v>73</v>
      </c>
      <c r="M172" s="175">
        <v>-369</v>
      </c>
      <c r="N172" s="176">
        <v>1</v>
      </c>
      <c r="O172" s="176">
        <v>200</v>
      </c>
      <c r="P172" s="175">
        <v>350</v>
      </c>
      <c r="Q172" s="175" t="s">
        <v>75</v>
      </c>
      <c r="R172" s="175" t="s">
        <v>286</v>
      </c>
      <c r="S172" s="177"/>
      <c r="T172" s="177"/>
      <c r="U172" s="175">
        <v>983</v>
      </c>
      <c r="V172" s="178">
        <v>1500</v>
      </c>
      <c r="W172" s="179"/>
      <c r="X172" s="177"/>
      <c r="Y172" s="177"/>
      <c r="Z172" s="177"/>
      <c r="AA172" s="177"/>
      <c r="AB172" s="180"/>
      <c r="AC172" s="174">
        <v>160</v>
      </c>
      <c r="AD172" s="177">
        <v>-109.9</v>
      </c>
      <c r="AE172" s="177">
        <v>4.1500000000000004</v>
      </c>
      <c r="AF172" s="177">
        <v>-0.56999999999999995</v>
      </c>
      <c r="AG172" s="177">
        <v>109.8</v>
      </c>
      <c r="AH172" s="177">
        <v>-110</v>
      </c>
      <c r="AI172" s="177">
        <v>2.64</v>
      </c>
      <c r="AJ172" s="174">
        <v>0.67</v>
      </c>
      <c r="AK172" s="181"/>
      <c r="AL172" s="182" t="s">
        <v>292</v>
      </c>
      <c r="AM172" s="183"/>
      <c r="AN172" s="182">
        <v>0.9879</v>
      </c>
      <c r="AO172" s="191"/>
      <c r="AP172" s="192"/>
      <c r="AQ172" s="193"/>
      <c r="AR172" s="186"/>
      <c r="AS172" s="187"/>
      <c r="AT172" s="188"/>
      <c r="AU172" s="187"/>
      <c r="AV172" s="187"/>
      <c r="AW172" s="177"/>
      <c r="AX172" s="177"/>
      <c r="AY172" s="177"/>
      <c r="AZ172" s="177"/>
      <c r="BA172" s="187"/>
      <c r="BB172" s="180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</row>
    <row r="173" spans="1:70" s="190" customFormat="1">
      <c r="A173" s="176">
        <v>171</v>
      </c>
      <c r="F173" s="171">
        <v>43127.010474537034</v>
      </c>
      <c r="G173" s="171">
        <v>43127.010960648149</v>
      </c>
      <c r="H173" s="172">
        <f t="shared" si="129"/>
        <v>4.8611111560603604E-4</v>
      </c>
      <c r="I173" s="173">
        <v>44.55</v>
      </c>
      <c r="J173" s="174" t="s">
        <v>260</v>
      </c>
      <c r="K173" s="175" t="s">
        <v>72</v>
      </c>
      <c r="L173" s="175" t="s">
        <v>73</v>
      </c>
      <c r="M173" s="175">
        <v>-369</v>
      </c>
      <c r="N173" s="176">
        <v>1</v>
      </c>
      <c r="O173" s="176">
        <v>200</v>
      </c>
      <c r="P173" s="175">
        <v>345</v>
      </c>
      <c r="Q173" s="175" t="s">
        <v>75</v>
      </c>
      <c r="R173" s="175" t="s">
        <v>286</v>
      </c>
      <c r="S173" s="177"/>
      <c r="T173" s="177"/>
      <c r="U173" s="175">
        <v>983</v>
      </c>
      <c r="V173" s="178">
        <v>1500</v>
      </c>
      <c r="W173" s="179"/>
      <c r="X173" s="177"/>
      <c r="Y173" s="177"/>
      <c r="Z173" s="177"/>
      <c r="AA173" s="177"/>
      <c r="AB173" s="180"/>
      <c r="AC173" s="174">
        <v>160</v>
      </c>
      <c r="AD173" s="177">
        <v>-109.9</v>
      </c>
      <c r="AE173" s="177">
        <v>4.1500000000000004</v>
      </c>
      <c r="AF173" s="177">
        <v>-0.56999999999999995</v>
      </c>
      <c r="AG173" s="177">
        <v>109.8</v>
      </c>
      <c r="AH173" s="177">
        <v>-110</v>
      </c>
      <c r="AI173" s="177">
        <v>2.64</v>
      </c>
      <c r="AJ173" s="174">
        <v>0.67</v>
      </c>
      <c r="AK173" s="181"/>
      <c r="AL173" s="182" t="s">
        <v>293</v>
      </c>
      <c r="AM173" s="183"/>
      <c r="AN173" s="182">
        <v>0.98599999999999999</v>
      </c>
      <c r="AO173" s="191"/>
      <c r="AP173" s="192"/>
      <c r="AQ173" s="193"/>
      <c r="AR173" s="186"/>
      <c r="AS173" s="187"/>
      <c r="AT173" s="188"/>
      <c r="AU173" s="187"/>
      <c r="AV173" s="187"/>
      <c r="AW173" s="177"/>
      <c r="AX173" s="177"/>
      <c r="AY173" s="177"/>
      <c r="AZ173" s="177"/>
      <c r="BA173" s="187"/>
      <c r="BB173" s="180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</row>
    <row r="174" spans="1:70" s="190" customFormat="1">
      <c r="A174" s="176">
        <v>172</v>
      </c>
      <c r="F174" s="171">
        <v>43127.011122685188</v>
      </c>
      <c r="G174" s="171">
        <v>43127.011122685188</v>
      </c>
      <c r="H174" s="172">
        <f t="shared" si="129"/>
        <v>0</v>
      </c>
      <c r="I174" s="173">
        <v>44.55</v>
      </c>
      <c r="J174" s="174" t="s">
        <v>260</v>
      </c>
      <c r="K174" s="175" t="s">
        <v>72</v>
      </c>
      <c r="L174" s="175" t="s">
        <v>73</v>
      </c>
      <c r="M174" s="175">
        <v>-369</v>
      </c>
      <c r="N174" s="176">
        <v>1</v>
      </c>
      <c r="O174" s="176">
        <v>200</v>
      </c>
      <c r="P174" s="175">
        <v>340</v>
      </c>
      <c r="Q174" s="175" t="s">
        <v>75</v>
      </c>
      <c r="R174" s="175" t="s">
        <v>286</v>
      </c>
      <c r="S174" s="177"/>
      <c r="T174" s="177"/>
      <c r="U174" s="175">
        <v>983</v>
      </c>
      <c r="V174" s="178">
        <v>1500</v>
      </c>
      <c r="W174" s="179"/>
      <c r="X174" s="177"/>
      <c r="Y174" s="177"/>
      <c r="Z174" s="177"/>
      <c r="AA174" s="177"/>
      <c r="AB174" s="180"/>
      <c r="AC174" s="174">
        <v>160</v>
      </c>
      <c r="AD174" s="177">
        <v>-109.9</v>
      </c>
      <c r="AE174" s="177">
        <v>4.1500000000000004</v>
      </c>
      <c r="AF174" s="177">
        <v>-0.56999999999999995</v>
      </c>
      <c r="AG174" s="177">
        <v>109.8</v>
      </c>
      <c r="AH174" s="177">
        <v>-110</v>
      </c>
      <c r="AI174" s="177">
        <v>2.64</v>
      </c>
      <c r="AJ174" s="174">
        <v>0.67</v>
      </c>
      <c r="AK174" s="181"/>
      <c r="AL174" s="182" t="s">
        <v>294</v>
      </c>
      <c r="AM174" s="183"/>
      <c r="AN174" s="182">
        <v>0.96</v>
      </c>
      <c r="AO174" s="191"/>
      <c r="AP174" s="192"/>
      <c r="AQ174" s="193"/>
      <c r="AR174" s="186"/>
      <c r="AS174" s="187"/>
      <c r="AT174" s="188"/>
      <c r="AU174" s="187"/>
      <c r="AV174" s="187"/>
      <c r="AW174" s="177"/>
      <c r="AX174" s="177"/>
      <c r="AY174" s="177"/>
      <c r="AZ174" s="177"/>
      <c r="BA174" s="187"/>
      <c r="BB174" s="180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</row>
    <row r="175" spans="1:70" s="190" customFormat="1">
      <c r="A175" s="176">
        <v>173</v>
      </c>
      <c r="F175" s="171">
        <v>43127.011122685188</v>
      </c>
      <c r="G175" s="171">
        <v>43127.011122685188</v>
      </c>
      <c r="H175" s="172">
        <f t="shared" ref="H175:H176" si="130">G175-F175</f>
        <v>0</v>
      </c>
      <c r="I175" s="173">
        <v>44.55</v>
      </c>
      <c r="J175" s="174" t="s">
        <v>260</v>
      </c>
      <c r="K175" s="175" t="s">
        <v>72</v>
      </c>
      <c r="L175" s="175" t="s">
        <v>73</v>
      </c>
      <c r="M175" s="175">
        <v>-369</v>
      </c>
      <c r="N175" s="176">
        <v>1</v>
      </c>
      <c r="O175" s="176">
        <v>200</v>
      </c>
      <c r="P175" s="175">
        <v>335</v>
      </c>
      <c r="Q175" s="175" t="s">
        <v>75</v>
      </c>
      <c r="R175" s="175" t="s">
        <v>286</v>
      </c>
      <c r="S175" s="177"/>
      <c r="T175" s="177"/>
      <c r="U175" s="175">
        <v>983</v>
      </c>
      <c r="V175" s="178">
        <v>1500</v>
      </c>
      <c r="W175" s="179"/>
      <c r="X175" s="177"/>
      <c r="Y175" s="177"/>
      <c r="Z175" s="177"/>
      <c r="AA175" s="177"/>
      <c r="AB175" s="180"/>
      <c r="AC175" s="174">
        <v>160</v>
      </c>
      <c r="AD175" s="177">
        <v>-109.9</v>
      </c>
      <c r="AE175" s="177">
        <v>4.1500000000000004</v>
      </c>
      <c r="AF175" s="177">
        <v>-0.56999999999999995</v>
      </c>
      <c r="AG175" s="177">
        <v>109.8</v>
      </c>
      <c r="AH175" s="177">
        <v>-110</v>
      </c>
      <c r="AI175" s="177">
        <v>2.64</v>
      </c>
      <c r="AJ175" s="174">
        <v>0.67</v>
      </c>
      <c r="AK175" s="181"/>
      <c r="AL175" s="182" t="s">
        <v>295</v>
      </c>
      <c r="AM175" s="183"/>
      <c r="AN175" s="182">
        <v>0.81</v>
      </c>
      <c r="AO175" s="191"/>
      <c r="AP175" s="192"/>
      <c r="AQ175" s="193"/>
      <c r="AR175" s="186"/>
      <c r="AS175" s="187"/>
      <c r="AT175" s="188"/>
      <c r="AU175" s="187"/>
      <c r="AV175" s="187"/>
      <c r="AW175" s="177"/>
      <c r="AX175" s="177"/>
      <c r="AY175" s="177"/>
      <c r="AZ175" s="177"/>
      <c r="BA175" s="187"/>
      <c r="BB175" s="180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</row>
    <row r="176" spans="1:70" s="190" customFormat="1">
      <c r="A176" s="176">
        <v>174</v>
      </c>
      <c r="F176" s="171">
        <v>43127.011122685188</v>
      </c>
      <c r="G176" s="171">
        <v>43127.011122685188</v>
      </c>
      <c r="H176" s="172">
        <f t="shared" si="130"/>
        <v>0</v>
      </c>
      <c r="I176" s="173">
        <v>44.55</v>
      </c>
      <c r="J176" s="174" t="s">
        <v>260</v>
      </c>
      <c r="K176" s="175" t="s">
        <v>72</v>
      </c>
      <c r="L176" s="175" t="s">
        <v>73</v>
      </c>
      <c r="M176" s="175">
        <v>-369</v>
      </c>
      <c r="N176" s="176">
        <v>1</v>
      </c>
      <c r="O176" s="176">
        <v>200</v>
      </c>
      <c r="P176" s="175">
        <v>347</v>
      </c>
      <c r="Q176" s="175" t="s">
        <v>75</v>
      </c>
      <c r="R176" s="175" t="s">
        <v>286</v>
      </c>
      <c r="S176" s="177"/>
      <c r="T176" s="177"/>
      <c r="U176" s="175">
        <v>983</v>
      </c>
      <c r="V176" s="178">
        <v>1500</v>
      </c>
      <c r="W176" s="179"/>
      <c r="X176" s="177"/>
      <c r="Y176" s="177"/>
      <c r="Z176" s="177"/>
      <c r="AA176" s="177"/>
      <c r="AB176" s="180"/>
      <c r="AC176" s="174">
        <v>160</v>
      </c>
      <c r="AD176" s="177">
        <v>-109.9</v>
      </c>
      <c r="AE176" s="177">
        <v>4.1500000000000004</v>
      </c>
      <c r="AF176" s="177">
        <v>-0.56999999999999995</v>
      </c>
      <c r="AG176" s="177">
        <v>109.8</v>
      </c>
      <c r="AH176" s="177">
        <v>-110</v>
      </c>
      <c r="AI176" s="177">
        <v>2.64</v>
      </c>
      <c r="AJ176" s="174">
        <v>0.67</v>
      </c>
      <c r="AK176" s="181"/>
      <c r="AL176" s="182" t="s">
        <v>296</v>
      </c>
      <c r="AM176" s="183"/>
      <c r="AN176" s="182">
        <v>0.98399999999999999</v>
      </c>
      <c r="AO176" s="191"/>
      <c r="AP176" s="192"/>
      <c r="AQ176" s="193"/>
      <c r="AR176" s="186"/>
      <c r="AS176" s="187"/>
      <c r="AT176" s="188"/>
      <c r="AU176" s="187"/>
      <c r="AV176" s="187"/>
      <c r="AW176" s="177"/>
      <c r="AX176" s="177"/>
      <c r="AY176" s="177"/>
      <c r="AZ176" s="177"/>
      <c r="BA176" s="187"/>
      <c r="BB176" s="180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</row>
    <row r="177" spans="1:70" s="190" customFormat="1">
      <c r="A177" s="176">
        <v>175</v>
      </c>
      <c r="F177" s="171">
        <v>43127.015219907407</v>
      </c>
      <c r="G177" s="171">
        <v>43127.015219907407</v>
      </c>
      <c r="H177" s="172">
        <f t="shared" ref="H177" si="131">G177-F177</f>
        <v>0</v>
      </c>
      <c r="I177" s="173">
        <v>44.55</v>
      </c>
      <c r="J177" s="174" t="s">
        <v>260</v>
      </c>
      <c r="K177" s="175" t="s">
        <v>72</v>
      </c>
      <c r="L177" s="175" t="s">
        <v>73</v>
      </c>
      <c r="M177" s="175">
        <v>-369</v>
      </c>
      <c r="N177" s="176">
        <v>1</v>
      </c>
      <c r="O177" s="176">
        <v>200</v>
      </c>
      <c r="P177" s="175">
        <v>347</v>
      </c>
      <c r="Q177" s="175" t="s">
        <v>75</v>
      </c>
      <c r="R177" s="175" t="s">
        <v>286</v>
      </c>
      <c r="S177" s="177"/>
      <c r="T177" s="177"/>
      <c r="U177" s="175">
        <v>983</v>
      </c>
      <c r="V177" s="178">
        <v>1500</v>
      </c>
      <c r="W177" s="179"/>
      <c r="X177" s="177"/>
      <c r="Y177" s="177"/>
      <c r="Z177" s="177"/>
      <c r="AA177" s="177"/>
      <c r="AB177" s="180"/>
      <c r="AC177" s="174">
        <v>160</v>
      </c>
      <c r="AD177" s="177">
        <v>-109.9</v>
      </c>
      <c r="AE177" s="177">
        <v>4.1500000000000004</v>
      </c>
      <c r="AF177" s="177">
        <v>-0.56999999999999995</v>
      </c>
      <c r="AG177" s="177">
        <v>109.8</v>
      </c>
      <c r="AH177" s="177">
        <v>-110</v>
      </c>
      <c r="AI177" s="177">
        <v>0.5</v>
      </c>
      <c r="AJ177" s="174">
        <v>0</v>
      </c>
      <c r="AK177" s="181"/>
      <c r="AL177" s="182" t="s">
        <v>297</v>
      </c>
      <c r="AM177" s="183"/>
      <c r="AN177" s="182">
        <v>0.88160000000000005</v>
      </c>
      <c r="AO177" s="191"/>
      <c r="AP177" s="192"/>
      <c r="AQ177" s="193"/>
      <c r="AR177" s="186"/>
      <c r="AS177" s="187"/>
      <c r="AT177" s="188"/>
      <c r="AU177" s="187"/>
      <c r="AV177" s="187"/>
      <c r="AW177" s="177"/>
      <c r="AX177" s="177"/>
      <c r="AY177" s="177"/>
      <c r="AZ177" s="177"/>
      <c r="BA177" s="187"/>
      <c r="BB177" s="180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</row>
    <row r="178" spans="1:70" s="190" customFormat="1">
      <c r="A178" s="176">
        <v>176</v>
      </c>
      <c r="F178" s="171">
        <v>43127.015219907407</v>
      </c>
      <c r="G178" s="171">
        <v>43127.015219907407</v>
      </c>
      <c r="H178" s="172">
        <f t="shared" ref="H178:H182" si="132">G178-F178</f>
        <v>0</v>
      </c>
      <c r="I178" s="173">
        <v>44.55</v>
      </c>
      <c r="J178" s="174" t="s">
        <v>260</v>
      </c>
      <c r="K178" s="175" t="s">
        <v>72</v>
      </c>
      <c r="L178" s="175" t="s">
        <v>73</v>
      </c>
      <c r="M178" s="175">
        <v>-369</v>
      </c>
      <c r="N178" s="176">
        <v>1</v>
      </c>
      <c r="O178" s="176">
        <v>200</v>
      </c>
      <c r="P178" s="175">
        <v>347</v>
      </c>
      <c r="Q178" s="175" t="s">
        <v>75</v>
      </c>
      <c r="R178" s="175" t="s">
        <v>286</v>
      </c>
      <c r="S178" s="177"/>
      <c r="T178" s="177"/>
      <c r="U178" s="175">
        <v>983</v>
      </c>
      <c r="V178" s="178">
        <v>1500</v>
      </c>
      <c r="W178" s="179"/>
      <c r="X178" s="177"/>
      <c r="Y178" s="177"/>
      <c r="Z178" s="177"/>
      <c r="AA178" s="177"/>
      <c r="AB178" s="180"/>
      <c r="AC178" s="174">
        <v>160</v>
      </c>
      <c r="AD178" s="177">
        <v>-109.9</v>
      </c>
      <c r="AE178" s="177">
        <v>4.1500000000000004</v>
      </c>
      <c r="AF178" s="177">
        <v>-0.56999999999999995</v>
      </c>
      <c r="AG178" s="177">
        <v>109.8</v>
      </c>
      <c r="AH178" s="177">
        <v>-110</v>
      </c>
      <c r="AI178" s="177">
        <v>1</v>
      </c>
      <c r="AJ178" s="174">
        <v>0.7</v>
      </c>
      <c r="AK178" s="181"/>
      <c r="AL178" s="182" t="s">
        <v>298</v>
      </c>
      <c r="AM178" s="183"/>
      <c r="AN178" s="182">
        <v>0.96899999999999997</v>
      </c>
      <c r="AO178" s="191"/>
      <c r="AP178" s="192"/>
      <c r="AQ178" s="193"/>
      <c r="AR178" s="186"/>
      <c r="AS178" s="187"/>
      <c r="AT178" s="188"/>
      <c r="AU178" s="187"/>
      <c r="AV178" s="187"/>
      <c r="AW178" s="177"/>
      <c r="AX178" s="177"/>
      <c r="AY178" s="177"/>
      <c r="AZ178" s="177"/>
      <c r="BA178" s="187"/>
      <c r="BB178" s="180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</row>
    <row r="179" spans="1:70" s="190" customFormat="1">
      <c r="A179" s="176">
        <v>177</v>
      </c>
      <c r="F179" s="171">
        <v>43127.015219907407</v>
      </c>
      <c r="G179" s="171">
        <v>43127.015219907407</v>
      </c>
      <c r="H179" s="172">
        <f t="shared" si="132"/>
        <v>0</v>
      </c>
      <c r="I179" s="173">
        <v>44.55</v>
      </c>
      <c r="J179" s="174" t="s">
        <v>260</v>
      </c>
      <c r="K179" s="175" t="s">
        <v>72</v>
      </c>
      <c r="L179" s="175" t="s">
        <v>73</v>
      </c>
      <c r="M179" s="175">
        <v>-369</v>
      </c>
      <c r="N179" s="176">
        <v>1</v>
      </c>
      <c r="O179" s="176">
        <v>200</v>
      </c>
      <c r="P179" s="175">
        <v>347</v>
      </c>
      <c r="Q179" s="175" t="s">
        <v>75</v>
      </c>
      <c r="R179" s="175" t="s">
        <v>286</v>
      </c>
      <c r="S179" s="177"/>
      <c r="T179" s="177"/>
      <c r="U179" s="175">
        <v>983</v>
      </c>
      <c r="V179" s="178">
        <v>1500</v>
      </c>
      <c r="W179" s="179"/>
      <c r="X179" s="177"/>
      <c r="Y179" s="177"/>
      <c r="Z179" s="177"/>
      <c r="AA179" s="177"/>
      <c r="AB179" s="180"/>
      <c r="AC179" s="174">
        <v>160</v>
      </c>
      <c r="AD179" s="177">
        <v>-109.9</v>
      </c>
      <c r="AE179" s="177">
        <v>4.1500000000000004</v>
      </c>
      <c r="AF179" s="177">
        <v>-0.56999999999999995</v>
      </c>
      <c r="AG179" s="177">
        <v>109.8</v>
      </c>
      <c r="AH179" s="177">
        <v>-110</v>
      </c>
      <c r="AI179" s="177">
        <v>1.5</v>
      </c>
      <c r="AJ179" s="174">
        <v>1.2</v>
      </c>
      <c r="AK179" s="181"/>
      <c r="AL179" s="182" t="s">
        <v>299</v>
      </c>
      <c r="AM179" s="183"/>
      <c r="AN179" s="182">
        <v>0.96140000000000003</v>
      </c>
      <c r="AO179" s="191"/>
      <c r="AP179" s="192"/>
      <c r="AQ179" s="193"/>
      <c r="AR179" s="186"/>
      <c r="AS179" s="187"/>
      <c r="AT179" s="188"/>
      <c r="AU179" s="187"/>
      <c r="AV179" s="187"/>
      <c r="AW179" s="177"/>
      <c r="AX179" s="177"/>
      <c r="AY179" s="177"/>
      <c r="AZ179" s="177"/>
      <c r="BA179" s="187"/>
      <c r="BB179" s="180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</row>
    <row r="180" spans="1:70" s="190" customFormat="1">
      <c r="A180" s="176">
        <v>178</v>
      </c>
      <c r="F180" s="171">
        <v>43127.015219907407</v>
      </c>
      <c r="G180" s="171">
        <v>43127.015219907407</v>
      </c>
      <c r="H180" s="172">
        <f t="shared" si="132"/>
        <v>0</v>
      </c>
      <c r="I180" s="173">
        <v>44.55</v>
      </c>
      <c r="J180" s="174" t="s">
        <v>260</v>
      </c>
      <c r="K180" s="175" t="s">
        <v>72</v>
      </c>
      <c r="L180" s="175" t="s">
        <v>73</v>
      </c>
      <c r="M180" s="175">
        <v>-369</v>
      </c>
      <c r="N180" s="176">
        <v>1</v>
      </c>
      <c r="O180" s="176">
        <v>200</v>
      </c>
      <c r="P180" s="175">
        <v>347</v>
      </c>
      <c r="Q180" s="175" t="s">
        <v>75</v>
      </c>
      <c r="R180" s="175" t="s">
        <v>286</v>
      </c>
      <c r="S180" s="177"/>
      <c r="T180" s="177"/>
      <c r="U180" s="175">
        <v>983</v>
      </c>
      <c r="V180" s="178">
        <v>1500</v>
      </c>
      <c r="W180" s="179"/>
      <c r="X180" s="177"/>
      <c r="Y180" s="177"/>
      <c r="Z180" s="177"/>
      <c r="AA180" s="177"/>
      <c r="AB180" s="180"/>
      <c r="AC180" s="174">
        <v>160</v>
      </c>
      <c r="AD180" s="177">
        <v>-109.9</v>
      </c>
      <c r="AE180" s="177">
        <v>4.1500000000000004</v>
      </c>
      <c r="AF180" s="177">
        <v>-0.56999999999999995</v>
      </c>
      <c r="AG180" s="177">
        <v>109.8</v>
      </c>
      <c r="AH180" s="177">
        <v>-110</v>
      </c>
      <c r="AI180" s="177">
        <v>2</v>
      </c>
      <c r="AJ180" s="174">
        <v>1.7</v>
      </c>
      <c r="AK180" s="181"/>
      <c r="AL180" s="182" t="s">
        <v>300</v>
      </c>
      <c r="AM180" s="183"/>
      <c r="AN180" s="182">
        <v>0.97170000000000001</v>
      </c>
      <c r="AO180" s="191"/>
      <c r="AP180" s="192"/>
      <c r="AQ180" s="193"/>
      <c r="AR180" s="186"/>
      <c r="AS180" s="187"/>
      <c r="AT180" s="188"/>
      <c r="AU180" s="187"/>
      <c r="AV180" s="187"/>
      <c r="AW180" s="177"/>
      <c r="AX180" s="177"/>
      <c r="AY180" s="177"/>
      <c r="AZ180" s="177"/>
      <c r="BA180" s="187"/>
      <c r="BB180" s="180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</row>
    <row r="181" spans="1:70" s="190" customFormat="1">
      <c r="A181" s="176">
        <v>179</v>
      </c>
      <c r="F181" s="171">
        <v>43127.015219907407</v>
      </c>
      <c r="G181" s="171">
        <v>43127.015219907407</v>
      </c>
      <c r="H181" s="172">
        <f t="shared" si="132"/>
        <v>0</v>
      </c>
      <c r="I181" s="173">
        <v>44.55</v>
      </c>
      <c r="J181" s="174" t="s">
        <v>260</v>
      </c>
      <c r="K181" s="175" t="s">
        <v>72</v>
      </c>
      <c r="L181" s="175" t="s">
        <v>73</v>
      </c>
      <c r="M181" s="175">
        <v>-369</v>
      </c>
      <c r="N181" s="176">
        <v>1</v>
      </c>
      <c r="O181" s="176">
        <v>200</v>
      </c>
      <c r="P181" s="175">
        <v>347</v>
      </c>
      <c r="Q181" s="175" t="s">
        <v>75</v>
      </c>
      <c r="R181" s="175" t="s">
        <v>286</v>
      </c>
      <c r="S181" s="177"/>
      <c r="T181" s="177"/>
      <c r="U181" s="175">
        <v>983</v>
      </c>
      <c r="V181" s="178">
        <v>1500</v>
      </c>
      <c r="W181" s="179"/>
      <c r="X181" s="177"/>
      <c r="Y181" s="177"/>
      <c r="Z181" s="177"/>
      <c r="AA181" s="177"/>
      <c r="AB181" s="180"/>
      <c r="AC181" s="174">
        <v>160</v>
      </c>
      <c r="AD181" s="177">
        <v>-109.9</v>
      </c>
      <c r="AE181" s="177">
        <v>4.1500000000000004</v>
      </c>
      <c r="AF181" s="177">
        <v>-0.56999999999999995</v>
      </c>
      <c r="AG181" s="177">
        <v>109.8</v>
      </c>
      <c r="AH181" s="177">
        <v>-110</v>
      </c>
      <c r="AI181" s="177">
        <v>2.5</v>
      </c>
      <c r="AJ181" s="174">
        <v>2.2000000000000002</v>
      </c>
      <c r="AK181" s="181"/>
      <c r="AL181" s="182" t="s">
        <v>301</v>
      </c>
      <c r="AM181" s="183"/>
      <c r="AN181" s="182">
        <v>0.94499999999999995</v>
      </c>
      <c r="AO181" s="191"/>
      <c r="AP181" s="192"/>
      <c r="AQ181" s="193"/>
      <c r="AR181" s="186"/>
      <c r="AS181" s="187"/>
      <c r="AT181" s="188"/>
      <c r="AU181" s="187"/>
      <c r="AV181" s="187"/>
      <c r="AW181" s="177"/>
      <c r="AX181" s="177"/>
      <c r="AY181" s="177"/>
      <c r="AZ181" s="177"/>
      <c r="BA181" s="187"/>
      <c r="BB181" s="180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</row>
    <row r="182" spans="1:70" s="190" customFormat="1">
      <c r="A182" s="176">
        <v>180</v>
      </c>
      <c r="F182" s="171">
        <v>43127.015219907407</v>
      </c>
      <c r="G182" s="171">
        <v>43127.015219907407</v>
      </c>
      <c r="H182" s="172">
        <f t="shared" si="132"/>
        <v>0</v>
      </c>
      <c r="I182" s="173">
        <v>44.55</v>
      </c>
      <c r="J182" s="174" t="s">
        <v>260</v>
      </c>
      <c r="K182" s="175" t="s">
        <v>72</v>
      </c>
      <c r="L182" s="175" t="s">
        <v>73</v>
      </c>
      <c r="M182" s="175">
        <v>-369</v>
      </c>
      <c r="N182" s="176">
        <v>1</v>
      </c>
      <c r="O182" s="176">
        <v>200</v>
      </c>
      <c r="P182" s="175">
        <v>347</v>
      </c>
      <c r="Q182" s="175" t="s">
        <v>75</v>
      </c>
      <c r="R182" s="175" t="s">
        <v>286</v>
      </c>
      <c r="S182" s="177"/>
      <c r="T182" s="177"/>
      <c r="U182" s="175">
        <v>983</v>
      </c>
      <c r="V182" s="178">
        <v>1500</v>
      </c>
      <c r="W182" s="179"/>
      <c r="X182" s="177"/>
      <c r="Y182" s="177"/>
      <c r="Z182" s="177"/>
      <c r="AA182" s="177"/>
      <c r="AB182" s="180"/>
      <c r="AC182" s="174">
        <v>160</v>
      </c>
      <c r="AD182" s="177">
        <v>-109.9</v>
      </c>
      <c r="AE182" s="177">
        <v>4.1500000000000004</v>
      </c>
      <c r="AF182" s="177">
        <v>-0.56999999999999995</v>
      </c>
      <c r="AG182" s="177">
        <v>109.8</v>
      </c>
      <c r="AH182" s="177">
        <v>-110</v>
      </c>
      <c r="AI182" s="177">
        <v>3</v>
      </c>
      <c r="AJ182" s="174">
        <v>2.8</v>
      </c>
      <c r="AK182" s="181"/>
      <c r="AL182" s="182" t="s">
        <v>302</v>
      </c>
      <c r="AM182" s="183"/>
      <c r="AN182" s="182">
        <v>0.84370000000000001</v>
      </c>
      <c r="AO182" s="191"/>
      <c r="AP182" s="192"/>
      <c r="AQ182" s="193"/>
      <c r="AR182" s="186"/>
      <c r="AS182" s="187"/>
      <c r="AT182" s="188"/>
      <c r="AU182" s="187"/>
      <c r="AV182" s="187"/>
      <c r="AW182" s="177"/>
      <c r="AX182" s="177"/>
      <c r="AY182" s="177"/>
      <c r="AZ182" s="177"/>
      <c r="BA182" s="187"/>
      <c r="BB182" s="180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</row>
    <row r="183" spans="1:70" s="190" customFormat="1">
      <c r="A183" s="176">
        <v>181</v>
      </c>
      <c r="F183" s="171">
        <v>43127.015219907407</v>
      </c>
      <c r="G183" s="171">
        <v>43127.015219907407</v>
      </c>
      <c r="H183" s="172">
        <f t="shared" ref="H183:H188" si="133">G183-F183</f>
        <v>0</v>
      </c>
      <c r="I183" s="173">
        <v>44.6</v>
      </c>
      <c r="J183" s="174" t="s">
        <v>260</v>
      </c>
      <c r="K183" s="175" t="s">
        <v>72</v>
      </c>
      <c r="L183" s="175" t="s">
        <v>73</v>
      </c>
      <c r="M183" s="175">
        <v>-369</v>
      </c>
      <c r="N183" s="176">
        <v>1</v>
      </c>
      <c r="O183" s="176">
        <v>200</v>
      </c>
      <c r="P183" s="175">
        <v>347</v>
      </c>
      <c r="Q183" s="175" t="s">
        <v>75</v>
      </c>
      <c r="R183" s="175" t="s">
        <v>286</v>
      </c>
      <c r="S183" s="177"/>
      <c r="T183" s="177"/>
      <c r="U183" s="175">
        <v>983</v>
      </c>
      <c r="V183" s="178">
        <v>1500</v>
      </c>
      <c r="W183" s="179"/>
      <c r="X183" s="177"/>
      <c r="Y183" s="177"/>
      <c r="Z183" s="177"/>
      <c r="AA183" s="177"/>
      <c r="AB183" s="180"/>
      <c r="AC183" s="174">
        <v>160</v>
      </c>
      <c r="AD183" s="177">
        <v>-109.9</v>
      </c>
      <c r="AE183" s="177">
        <v>0.01</v>
      </c>
      <c r="AF183" s="177">
        <v>-0.92</v>
      </c>
      <c r="AG183" s="177">
        <v>109.8</v>
      </c>
      <c r="AH183" s="177">
        <v>-110</v>
      </c>
      <c r="AI183" s="177">
        <v>2.35</v>
      </c>
      <c r="AJ183" s="174">
        <v>0.54</v>
      </c>
      <c r="AK183" s="181"/>
      <c r="AL183" s="182" t="s">
        <v>303</v>
      </c>
      <c r="AM183" s="183"/>
      <c r="AN183" s="182">
        <v>0.92359999999999998</v>
      </c>
      <c r="AO183" s="191"/>
      <c r="AP183" s="192"/>
      <c r="AQ183" s="193"/>
      <c r="AR183" s="186"/>
      <c r="AS183" s="187"/>
      <c r="AT183" s="188"/>
      <c r="AU183" s="187"/>
      <c r="AV183" s="187"/>
      <c r="AW183" s="177"/>
      <c r="AX183" s="177"/>
      <c r="AY183" s="177"/>
      <c r="AZ183" s="177"/>
      <c r="BA183" s="187"/>
      <c r="BB183" s="180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</row>
    <row r="184" spans="1:70" s="190" customFormat="1">
      <c r="A184" s="176">
        <v>182</v>
      </c>
      <c r="F184" s="171">
        <v>43127.015219907407</v>
      </c>
      <c r="G184" s="171">
        <v>43127.015219907407</v>
      </c>
      <c r="H184" s="172">
        <f t="shared" si="133"/>
        <v>0</v>
      </c>
      <c r="I184" s="173">
        <v>44.6</v>
      </c>
      <c r="J184" s="174" t="s">
        <v>260</v>
      </c>
      <c r="K184" s="175" t="s">
        <v>72</v>
      </c>
      <c r="L184" s="175" t="s">
        <v>73</v>
      </c>
      <c r="M184" s="175">
        <v>-369</v>
      </c>
      <c r="N184" s="176">
        <v>1</v>
      </c>
      <c r="O184" s="176">
        <v>200</v>
      </c>
      <c r="P184" s="175">
        <v>347</v>
      </c>
      <c r="Q184" s="175" t="s">
        <v>75</v>
      </c>
      <c r="R184" s="175" t="s">
        <v>286</v>
      </c>
      <c r="S184" s="177"/>
      <c r="T184" s="177"/>
      <c r="U184" s="175">
        <v>983</v>
      </c>
      <c r="V184" s="178">
        <v>1500</v>
      </c>
      <c r="W184" s="179"/>
      <c r="X184" s="177"/>
      <c r="Y184" s="177"/>
      <c r="Z184" s="177"/>
      <c r="AA184" s="177"/>
      <c r="AB184" s="180"/>
      <c r="AC184" s="174">
        <v>160</v>
      </c>
      <c r="AD184" s="177">
        <v>-109.9</v>
      </c>
      <c r="AE184" s="177">
        <v>1.04</v>
      </c>
      <c r="AF184" s="177">
        <v>0.16</v>
      </c>
      <c r="AG184" s="177">
        <v>109.8</v>
      </c>
      <c r="AH184" s="177">
        <v>-110</v>
      </c>
      <c r="AI184" s="177">
        <v>2.35</v>
      </c>
      <c r="AJ184" s="174">
        <v>0.54</v>
      </c>
      <c r="AK184" s="181"/>
      <c r="AL184" s="182" t="s">
        <v>304</v>
      </c>
      <c r="AM184" s="183"/>
      <c r="AN184" s="182">
        <v>0.99629999999999996</v>
      </c>
      <c r="AO184" s="191"/>
      <c r="AP184" s="192"/>
      <c r="AQ184" s="193"/>
      <c r="AR184" s="186"/>
      <c r="AS184" s="187"/>
      <c r="AT184" s="188"/>
      <c r="AU184" s="187"/>
      <c r="AV184" s="187"/>
      <c r="AW184" s="177"/>
      <c r="AX184" s="177"/>
      <c r="AY184" s="177"/>
      <c r="AZ184" s="177"/>
      <c r="BA184" s="187"/>
      <c r="BB184" s="180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</row>
    <row r="185" spans="1:70" s="190" customFormat="1">
      <c r="A185" s="176">
        <v>183</v>
      </c>
      <c r="F185" s="171">
        <v>43127.015219907407</v>
      </c>
      <c r="G185" s="171">
        <v>43127.015219907407</v>
      </c>
      <c r="H185" s="172">
        <f t="shared" si="133"/>
        <v>0</v>
      </c>
      <c r="I185" s="173">
        <v>44.6</v>
      </c>
      <c r="J185" s="174" t="s">
        <v>260</v>
      </c>
      <c r="K185" s="175" t="s">
        <v>72</v>
      </c>
      <c r="L185" s="175" t="s">
        <v>73</v>
      </c>
      <c r="M185" s="175">
        <v>-369</v>
      </c>
      <c r="N185" s="176">
        <v>1</v>
      </c>
      <c r="O185" s="176">
        <v>200</v>
      </c>
      <c r="P185" s="175">
        <v>347</v>
      </c>
      <c r="Q185" s="175" t="s">
        <v>75</v>
      </c>
      <c r="R185" s="175" t="s">
        <v>286</v>
      </c>
      <c r="S185" s="177"/>
      <c r="T185" s="177"/>
      <c r="U185" s="175">
        <v>983</v>
      </c>
      <c r="V185" s="178">
        <v>1500</v>
      </c>
      <c r="W185" s="179"/>
      <c r="X185" s="177"/>
      <c r="Y185" s="177"/>
      <c r="Z185" s="177"/>
      <c r="AA185" s="177"/>
      <c r="AB185" s="180"/>
      <c r="AC185" s="174">
        <v>160</v>
      </c>
      <c r="AD185" s="177">
        <v>-109.9</v>
      </c>
      <c r="AE185" s="177">
        <v>1.99</v>
      </c>
      <c r="AF185" s="177">
        <v>1.1000000000000001</v>
      </c>
      <c r="AG185" s="177">
        <v>109.8</v>
      </c>
      <c r="AH185" s="177">
        <v>-110</v>
      </c>
      <c r="AI185" s="177">
        <v>2.35</v>
      </c>
      <c r="AJ185" s="174">
        <v>0.54</v>
      </c>
      <c r="AK185" s="181"/>
      <c r="AL185" s="182" t="s">
        <v>305</v>
      </c>
      <c r="AM185" s="183"/>
      <c r="AN185" s="182">
        <v>0.99439999999999995</v>
      </c>
      <c r="AO185" s="191"/>
      <c r="AP185" s="192"/>
      <c r="AQ185" s="193"/>
      <c r="AR185" s="186"/>
      <c r="AS185" s="187"/>
      <c r="AT185" s="188"/>
      <c r="AU185" s="187"/>
      <c r="AV185" s="187"/>
      <c r="AW185" s="177"/>
      <c r="AX185" s="177"/>
      <c r="AY185" s="177"/>
      <c r="AZ185" s="177"/>
      <c r="BA185" s="187"/>
      <c r="BB185" s="180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</row>
    <row r="186" spans="1:70" s="190" customFormat="1">
      <c r="A186" s="176">
        <v>184</v>
      </c>
      <c r="F186" s="171">
        <v>43127.015219907407</v>
      </c>
      <c r="G186" s="171">
        <v>43127.015219907407</v>
      </c>
      <c r="H186" s="172">
        <f t="shared" si="133"/>
        <v>0</v>
      </c>
      <c r="I186" s="173">
        <v>44.6</v>
      </c>
      <c r="J186" s="174" t="s">
        <v>260</v>
      </c>
      <c r="K186" s="175" t="s">
        <v>72</v>
      </c>
      <c r="L186" s="175" t="s">
        <v>73</v>
      </c>
      <c r="M186" s="175">
        <v>-369</v>
      </c>
      <c r="N186" s="176">
        <v>1</v>
      </c>
      <c r="O186" s="176">
        <v>200</v>
      </c>
      <c r="P186" s="175">
        <v>347</v>
      </c>
      <c r="Q186" s="175" t="s">
        <v>75</v>
      </c>
      <c r="R186" s="175" t="s">
        <v>286</v>
      </c>
      <c r="S186" s="177"/>
      <c r="T186" s="177"/>
      <c r="U186" s="175">
        <v>983</v>
      </c>
      <c r="V186" s="178">
        <v>1500</v>
      </c>
      <c r="W186" s="179"/>
      <c r="X186" s="177"/>
      <c r="Y186" s="177"/>
      <c r="Z186" s="177"/>
      <c r="AA186" s="177"/>
      <c r="AB186" s="180"/>
      <c r="AC186" s="174">
        <v>160</v>
      </c>
      <c r="AD186" s="177">
        <v>-109.9</v>
      </c>
      <c r="AE186" s="177">
        <v>3.02</v>
      </c>
      <c r="AF186" s="177">
        <v>2.15</v>
      </c>
      <c r="AG186" s="177">
        <v>109.8</v>
      </c>
      <c r="AH186" s="177">
        <v>-110</v>
      </c>
      <c r="AI186" s="177">
        <v>2.35</v>
      </c>
      <c r="AJ186" s="174">
        <v>0.54</v>
      </c>
      <c r="AK186" s="181"/>
      <c r="AL186" s="182" t="s">
        <v>306</v>
      </c>
      <c r="AM186" s="183"/>
      <c r="AN186" s="182">
        <v>0.99460000000000004</v>
      </c>
      <c r="AO186" s="191"/>
      <c r="AP186" s="192"/>
      <c r="AQ186" s="193"/>
      <c r="AR186" s="186"/>
      <c r="AS186" s="187"/>
      <c r="AT186" s="188"/>
      <c r="AU186" s="187"/>
      <c r="AV186" s="187"/>
      <c r="AW186" s="177"/>
      <c r="AX186" s="177"/>
      <c r="AY186" s="177"/>
      <c r="AZ186" s="177"/>
      <c r="BA186" s="187"/>
      <c r="BB186" s="180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</row>
    <row r="187" spans="1:70" s="190" customFormat="1">
      <c r="A187" s="176">
        <v>185</v>
      </c>
      <c r="F187" s="171">
        <v>43127.015219907407</v>
      </c>
      <c r="G187" s="171">
        <v>43127.015219907407</v>
      </c>
      <c r="H187" s="172">
        <f t="shared" si="133"/>
        <v>0</v>
      </c>
      <c r="I187" s="173">
        <v>44.6</v>
      </c>
      <c r="J187" s="174" t="s">
        <v>260</v>
      </c>
      <c r="K187" s="175" t="s">
        <v>72</v>
      </c>
      <c r="L187" s="175" t="s">
        <v>73</v>
      </c>
      <c r="M187" s="175">
        <v>-369</v>
      </c>
      <c r="N187" s="176">
        <v>1</v>
      </c>
      <c r="O187" s="176">
        <v>200</v>
      </c>
      <c r="P187" s="175">
        <v>347</v>
      </c>
      <c r="Q187" s="175" t="s">
        <v>75</v>
      </c>
      <c r="R187" s="175" t="s">
        <v>286</v>
      </c>
      <c r="S187" s="177"/>
      <c r="T187" s="177"/>
      <c r="U187" s="175">
        <v>983</v>
      </c>
      <c r="V187" s="178">
        <v>1500</v>
      </c>
      <c r="W187" s="179"/>
      <c r="X187" s="177"/>
      <c r="Y187" s="177"/>
      <c r="Z187" s="177"/>
      <c r="AA187" s="177"/>
      <c r="AB187" s="180"/>
      <c r="AC187" s="174">
        <v>160</v>
      </c>
      <c r="AD187" s="177">
        <v>-109.9</v>
      </c>
      <c r="AE187" s="177">
        <v>4</v>
      </c>
      <c r="AF187" s="177">
        <v>3.12</v>
      </c>
      <c r="AG187" s="177">
        <v>109.8</v>
      </c>
      <c r="AH187" s="177">
        <v>-110</v>
      </c>
      <c r="AI187" s="177">
        <v>2.35</v>
      </c>
      <c r="AJ187" s="174">
        <v>0.54</v>
      </c>
      <c r="AK187" s="181"/>
      <c r="AL187" s="182" t="s">
        <v>307</v>
      </c>
      <c r="AM187" s="183"/>
      <c r="AN187" s="182">
        <v>0.98619999999999997</v>
      </c>
      <c r="AO187" s="191"/>
      <c r="AP187" s="192"/>
      <c r="AQ187" s="193"/>
      <c r="AR187" s="186"/>
      <c r="AS187" s="187"/>
      <c r="AT187" s="188"/>
      <c r="AU187" s="187"/>
      <c r="AV187" s="187"/>
      <c r="AW187" s="177"/>
      <c r="AX187" s="177"/>
      <c r="AY187" s="177"/>
      <c r="AZ187" s="177"/>
      <c r="BA187" s="187"/>
      <c r="BB187" s="180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</row>
    <row r="188" spans="1:70" s="190" customFormat="1">
      <c r="A188" s="176">
        <v>186</v>
      </c>
      <c r="F188" s="171">
        <v>43127.015219907407</v>
      </c>
      <c r="G188" s="171">
        <v>43127.015219907407</v>
      </c>
      <c r="H188" s="172">
        <f t="shared" si="133"/>
        <v>0</v>
      </c>
      <c r="I188" s="173">
        <v>44.6</v>
      </c>
      <c r="J188" s="174" t="s">
        <v>260</v>
      </c>
      <c r="K188" s="175" t="s">
        <v>72</v>
      </c>
      <c r="L188" s="175" t="s">
        <v>73</v>
      </c>
      <c r="M188" s="175">
        <v>-369</v>
      </c>
      <c r="N188" s="176">
        <v>1</v>
      </c>
      <c r="O188" s="176">
        <v>200</v>
      </c>
      <c r="P188" s="175">
        <v>347</v>
      </c>
      <c r="Q188" s="175" t="s">
        <v>75</v>
      </c>
      <c r="R188" s="175" t="s">
        <v>286</v>
      </c>
      <c r="S188" s="177"/>
      <c r="T188" s="177"/>
      <c r="U188" s="175">
        <v>983</v>
      </c>
      <c r="V188" s="178">
        <v>1500</v>
      </c>
      <c r="W188" s="179"/>
      <c r="X188" s="177"/>
      <c r="Y188" s="177"/>
      <c r="Z188" s="177"/>
      <c r="AA188" s="177"/>
      <c r="AB188" s="180"/>
      <c r="AC188" s="174">
        <v>160</v>
      </c>
      <c r="AD188" s="177">
        <v>-109.9</v>
      </c>
      <c r="AE188" s="177">
        <v>2.5299999999999998</v>
      </c>
      <c r="AF188" s="177">
        <v>1.68</v>
      </c>
      <c r="AG188" s="177">
        <v>109.8</v>
      </c>
      <c r="AH188" s="177">
        <v>-110</v>
      </c>
      <c r="AI188" s="177">
        <v>2.35</v>
      </c>
      <c r="AJ188" s="174">
        <v>0.54</v>
      </c>
      <c r="AK188" s="181"/>
      <c r="AL188" s="182" t="s">
        <v>308</v>
      </c>
      <c r="AM188" s="183"/>
      <c r="AN188" s="182">
        <v>0.99650000000000005</v>
      </c>
      <c r="AO188" s="191"/>
      <c r="AP188" s="192"/>
      <c r="AQ188" s="193"/>
      <c r="AR188" s="186"/>
      <c r="AS188" s="187"/>
      <c r="AT188" s="188"/>
      <c r="AU188" s="187"/>
      <c r="AV188" s="187"/>
      <c r="AW188" s="177"/>
      <c r="AX188" s="177"/>
      <c r="AY188" s="177"/>
      <c r="AZ188" s="177"/>
      <c r="BA188" s="187"/>
      <c r="BB188" s="180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</row>
    <row r="189" spans="1:70" s="190" customFormat="1">
      <c r="A189" s="176">
        <v>187</v>
      </c>
      <c r="F189" s="171">
        <v>43127.027754629627</v>
      </c>
      <c r="G189" s="171">
        <v>43127.030775462961</v>
      </c>
      <c r="H189" s="172">
        <f t="shared" ref="H189" si="134">G189-F189</f>
        <v>3.0208333337213844E-3</v>
      </c>
      <c r="I189" s="173">
        <v>44.59</v>
      </c>
      <c r="J189" s="174" t="s">
        <v>260</v>
      </c>
      <c r="K189" s="175" t="s">
        <v>72</v>
      </c>
      <c r="L189" s="175" t="s">
        <v>73</v>
      </c>
      <c r="M189" s="175">
        <v>-369</v>
      </c>
      <c r="N189" s="176">
        <v>1</v>
      </c>
      <c r="O189" s="176">
        <v>200</v>
      </c>
      <c r="P189" s="175">
        <v>347</v>
      </c>
      <c r="Q189" s="175" t="s">
        <v>75</v>
      </c>
      <c r="R189" s="175" t="s">
        <v>286</v>
      </c>
      <c r="S189" s="177"/>
      <c r="T189" s="177"/>
      <c r="U189" s="175">
        <v>983</v>
      </c>
      <c r="V189" s="178">
        <v>1500</v>
      </c>
      <c r="W189" s="179">
        <v>10</v>
      </c>
      <c r="X189" s="177">
        <v>43761</v>
      </c>
      <c r="Y189" s="177">
        <v>772287</v>
      </c>
      <c r="Z189" s="177">
        <v>6147498</v>
      </c>
      <c r="AA189" s="177">
        <v>1849330</v>
      </c>
      <c r="AB189" s="180">
        <v>4318488</v>
      </c>
      <c r="AC189" s="174">
        <v>160.19999999999999</v>
      </c>
      <c r="AD189" s="177">
        <v>-110</v>
      </c>
      <c r="AE189" s="177">
        <v>4.1500000000000004</v>
      </c>
      <c r="AF189" s="177">
        <v>-0.56999999999999995</v>
      </c>
      <c r="AG189" s="177">
        <v>109.8</v>
      </c>
      <c r="AH189" s="177">
        <v>-110</v>
      </c>
      <c r="AI189" s="177">
        <v>3.49</v>
      </c>
      <c r="AJ189" s="174">
        <v>-0.52</v>
      </c>
      <c r="AK189" s="181"/>
      <c r="AL189" s="182" t="s">
        <v>287</v>
      </c>
      <c r="AM189" s="183"/>
      <c r="AN189" s="182">
        <v>0.96870000000000001</v>
      </c>
      <c r="AO189" s="191"/>
      <c r="AP189" s="192"/>
      <c r="AQ189" s="193"/>
      <c r="AR189" s="186"/>
      <c r="AS189" s="187"/>
      <c r="AT189" s="188"/>
      <c r="AU189" s="187"/>
      <c r="AV189" s="187"/>
      <c r="AW189" s="177"/>
      <c r="AX189" s="177"/>
      <c r="AY189" s="177"/>
      <c r="AZ189" s="177"/>
      <c r="BA189" s="187"/>
      <c r="BB189" s="180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</row>
    <row r="190" spans="1:70">
      <c r="A190" s="108">
        <v>188</v>
      </c>
      <c r="F190" s="45">
        <v>43127.032465277778</v>
      </c>
      <c r="G190" s="45">
        <v>43127.038888888892</v>
      </c>
      <c r="H190" s="53">
        <f t="shared" ref="H190" si="135">G190-F190</f>
        <v>6.4236111138598062E-3</v>
      </c>
      <c r="I190" s="86">
        <v>44.56</v>
      </c>
      <c r="J190" s="109" t="s">
        <v>260</v>
      </c>
      <c r="K190" s="88" t="s">
        <v>72</v>
      </c>
      <c r="L190" s="88" t="s">
        <v>73</v>
      </c>
      <c r="M190" s="88">
        <v>-369</v>
      </c>
      <c r="N190" s="108">
        <v>1</v>
      </c>
      <c r="O190" s="108">
        <v>200</v>
      </c>
      <c r="P190" s="88">
        <v>347</v>
      </c>
      <c r="Q190" s="88" t="s">
        <v>75</v>
      </c>
      <c r="R190" s="88" t="s">
        <v>348</v>
      </c>
      <c r="S190" s="110">
        <v>9200</v>
      </c>
      <c r="T190" s="110">
        <v>850</v>
      </c>
      <c r="U190" s="88">
        <v>983</v>
      </c>
      <c r="V190" s="90">
        <v>1500</v>
      </c>
      <c r="W190" s="111">
        <v>10</v>
      </c>
      <c r="X190" s="110">
        <v>44048</v>
      </c>
      <c r="Y190" s="110">
        <v>768626</v>
      </c>
      <c r="Z190" s="110">
        <v>6117105</v>
      </c>
      <c r="AA190" s="110">
        <v>1845785</v>
      </c>
      <c r="AB190" s="112">
        <v>4291324</v>
      </c>
      <c r="AC190" s="109">
        <v>160.19999999999999</v>
      </c>
      <c r="AD190" s="110">
        <v>-109.9</v>
      </c>
      <c r="AE190" s="110">
        <v>4.1500000000000004</v>
      </c>
      <c r="AF190" s="110">
        <v>-0.56999999999999995</v>
      </c>
      <c r="AG190" s="110">
        <v>109.8</v>
      </c>
      <c r="AH190" s="110">
        <v>-110</v>
      </c>
      <c r="AI190" s="110">
        <v>3.49</v>
      </c>
      <c r="AJ190" s="109">
        <v>-0.52</v>
      </c>
      <c r="AK190" s="113" t="s">
        <v>309</v>
      </c>
      <c r="AL190" s="107" t="s">
        <v>350</v>
      </c>
      <c r="AN190" s="107">
        <f>AN189</f>
        <v>0.96870000000000001</v>
      </c>
      <c r="AO190" s="48">
        <f t="shared" ref="AO190:AO194" si="136">(HOUR(H190)*60*60+MINUTE(H190)*60+SECOND(H190))/5.2*AA190/W190*AN190</f>
        <v>19083588.862932689</v>
      </c>
      <c r="AP190" s="156">
        <f t="shared" ref="AP190:AP191" si="137">AO190*0.7</f>
        <v>13358512.204052882</v>
      </c>
      <c r="AQ190" s="161">
        <f>AP190+AQ161</f>
        <v>1177183185.5439584</v>
      </c>
      <c r="AR190" s="163">
        <f>H190+AR161</f>
        <v>0.74886574072904544</v>
      </c>
      <c r="AS190" s="49">
        <f t="shared" ref="AS190:AS191" si="138">I190*(HOUR(H190)*60+MINUTE(H190))/60/(7*24)</f>
        <v>3.9785714285714285E-2</v>
      </c>
      <c r="AT190" s="165">
        <f>AS190+AT161</f>
        <v>3.4504940476190473</v>
      </c>
      <c r="AU190" s="254">
        <f t="shared" ref="AU190:AU194" si="139">AA190/W190*AN190</f>
        <v>178801.19295</v>
      </c>
      <c r="AV190" s="255">
        <f t="shared" ref="AV190:AV194" si="140">AB190/W190+AA190/W190*(1-AN190)</f>
        <v>434909.70705000003</v>
      </c>
      <c r="AW190" s="256">
        <f t="shared" ref="AW190:AW194" si="141">AU190/AV190</f>
        <v>0.41112256188258373</v>
      </c>
    </row>
    <row r="191" spans="1:70">
      <c r="A191" s="108">
        <v>189</v>
      </c>
      <c r="F191" s="45">
        <v>43127.039537037039</v>
      </c>
      <c r="G191" s="45">
        <v>43127.080358796295</v>
      </c>
      <c r="H191" s="53">
        <f t="shared" ref="H191" si="142">G191-F191</f>
        <v>4.0821759255777579E-2</v>
      </c>
      <c r="I191" s="86">
        <v>44.55</v>
      </c>
      <c r="J191" s="109" t="s">
        <v>260</v>
      </c>
      <c r="K191" s="88" t="s">
        <v>72</v>
      </c>
      <c r="L191" s="88" t="s">
        <v>73</v>
      </c>
      <c r="M191" s="88">
        <v>-369</v>
      </c>
      <c r="N191" s="108">
        <v>1</v>
      </c>
      <c r="O191" s="108">
        <v>200</v>
      </c>
      <c r="P191" s="88">
        <v>347</v>
      </c>
      <c r="Q191" s="88" t="s">
        <v>75</v>
      </c>
      <c r="R191" s="88" t="s">
        <v>348</v>
      </c>
      <c r="S191" s="110">
        <v>9200</v>
      </c>
      <c r="T191" s="110">
        <v>840</v>
      </c>
      <c r="U191" s="88">
        <v>983</v>
      </c>
      <c r="V191" s="90">
        <v>1500</v>
      </c>
      <c r="W191" s="111">
        <v>10</v>
      </c>
      <c r="X191" s="110">
        <v>43638</v>
      </c>
      <c r="Y191" s="110">
        <v>771372</v>
      </c>
      <c r="Z191" s="110">
        <v>6223473</v>
      </c>
      <c r="AA191" s="110">
        <v>1827446</v>
      </c>
      <c r="AB191" s="112">
        <v>4416884</v>
      </c>
      <c r="AC191" s="109">
        <v>160.19999999999999</v>
      </c>
      <c r="AD191" s="110">
        <v>-110</v>
      </c>
      <c r="AE191" s="110">
        <v>4.1500000000000004</v>
      </c>
      <c r="AF191" s="110">
        <v>-0.56999999999999995</v>
      </c>
      <c r="AG191" s="110">
        <v>109.8</v>
      </c>
      <c r="AH191" s="110">
        <v>-110</v>
      </c>
      <c r="AI191" s="110">
        <v>3.49</v>
      </c>
      <c r="AJ191" s="109">
        <v>-0.52</v>
      </c>
      <c r="AK191" s="113" t="s">
        <v>309</v>
      </c>
      <c r="AL191" s="107" t="s">
        <v>310</v>
      </c>
      <c r="AN191" s="107">
        <v>0.92900000000000005</v>
      </c>
      <c r="AO191" s="48">
        <f t="shared" si="136"/>
        <v>115149586.48111539</v>
      </c>
      <c r="AP191" s="156">
        <f t="shared" si="137"/>
        <v>80604710.53678076</v>
      </c>
      <c r="AQ191" s="161">
        <f>AP191+AQ190</f>
        <v>1257787896.0807393</v>
      </c>
      <c r="AR191" s="163">
        <f t="shared" ref="AR191" si="143">H191+AR190</f>
        <v>0.78968749998482302</v>
      </c>
      <c r="AS191" s="49">
        <f t="shared" si="138"/>
        <v>0.25633928571428566</v>
      </c>
      <c r="AT191" s="165">
        <f t="shared" ref="AT191" si="144">AS191+AT190</f>
        <v>3.706833333333333</v>
      </c>
      <c r="AU191" s="254">
        <f t="shared" si="139"/>
        <v>169769.73340000003</v>
      </c>
      <c r="AV191" s="255">
        <f t="shared" si="140"/>
        <v>454663.26660000003</v>
      </c>
      <c r="AW191" s="256">
        <f t="shared" si="141"/>
        <v>0.37339663410582641</v>
      </c>
    </row>
    <row r="192" spans="1:70">
      <c r="A192" s="108">
        <v>190</v>
      </c>
      <c r="F192" s="45">
        <v>43127.080370370371</v>
      </c>
      <c r="G192" s="45">
        <v>43127.114386574074</v>
      </c>
      <c r="H192" s="53">
        <f>G192-F192-'user time'!E142-'user time'!E143</f>
        <v>3.3101851850924846E-2</v>
      </c>
      <c r="I192" s="86">
        <v>44.53</v>
      </c>
      <c r="J192" s="109" t="s">
        <v>260</v>
      </c>
      <c r="K192" s="88" t="s">
        <v>72</v>
      </c>
      <c r="L192" s="88" t="s">
        <v>73</v>
      </c>
      <c r="M192" s="88">
        <v>-369</v>
      </c>
      <c r="N192" s="108">
        <v>1</v>
      </c>
      <c r="O192" s="108">
        <v>200</v>
      </c>
      <c r="P192" s="88">
        <v>347</v>
      </c>
      <c r="Q192" s="88" t="s">
        <v>75</v>
      </c>
      <c r="R192" s="88" t="s">
        <v>348</v>
      </c>
      <c r="S192" s="110">
        <v>9749</v>
      </c>
      <c r="T192" s="110">
        <v>852</v>
      </c>
      <c r="U192" s="88">
        <v>983</v>
      </c>
      <c r="V192" s="90">
        <v>1500</v>
      </c>
      <c r="W192" s="111">
        <v>10</v>
      </c>
      <c r="X192" s="110">
        <v>44241</v>
      </c>
      <c r="Y192" s="110">
        <v>772668</v>
      </c>
      <c r="Z192" s="110">
        <v>6080332</v>
      </c>
      <c r="AA192" s="110">
        <v>1884051</v>
      </c>
      <c r="AB192" s="112">
        <v>4215725</v>
      </c>
      <c r="AC192" s="109">
        <v>160.19999999999999</v>
      </c>
      <c r="AD192" s="110">
        <v>-110</v>
      </c>
      <c r="AE192" s="110">
        <v>4.1500000000000004</v>
      </c>
      <c r="AF192" s="110">
        <v>-0.56999999999999995</v>
      </c>
      <c r="AG192" s="110">
        <v>109.8</v>
      </c>
      <c r="AH192" s="110">
        <v>-110</v>
      </c>
      <c r="AI192" s="110">
        <v>3.49</v>
      </c>
      <c r="AJ192" s="109">
        <v>-0.52</v>
      </c>
      <c r="AK192" s="113" t="s">
        <v>309</v>
      </c>
      <c r="AL192" s="107" t="s">
        <v>313</v>
      </c>
      <c r="AN192" s="107">
        <v>0.94399999999999995</v>
      </c>
      <c r="AO192" s="48">
        <f t="shared" si="136"/>
        <v>97819927.920000002</v>
      </c>
      <c r="AP192" s="156">
        <f t="shared" ref="AP192" si="145">AO192*0.7</f>
        <v>68473949.544</v>
      </c>
      <c r="AQ192" s="161">
        <f>AP192+AQ191</f>
        <v>1326261845.6247392</v>
      </c>
      <c r="AR192" s="163">
        <f t="shared" ref="AR192" si="146">H192+AR191</f>
        <v>0.82278935183574786</v>
      </c>
      <c r="AS192" s="49">
        <f t="shared" ref="AS192" si="147">I192*(HOUR(H192)*60+MINUTE(H192))/60/(7*24)</f>
        <v>0.20762996031746031</v>
      </c>
      <c r="AT192" s="165">
        <f t="shared" ref="AT192" si="148">AS192+AT191</f>
        <v>3.9144632936507935</v>
      </c>
      <c r="AU192" s="254">
        <f t="shared" si="139"/>
        <v>177854.41440000001</v>
      </c>
      <c r="AV192" s="255">
        <f t="shared" si="140"/>
        <v>432123.18560000003</v>
      </c>
      <c r="AW192" s="256">
        <f t="shared" si="141"/>
        <v>0.41158266977285746</v>
      </c>
    </row>
    <row r="193" spans="1:70">
      <c r="A193" s="108">
        <v>191</v>
      </c>
      <c r="F193" s="45">
        <v>43127.126342592594</v>
      </c>
      <c r="G193" s="45">
        <v>43127.149733796294</v>
      </c>
      <c r="H193" s="53">
        <f>G193-F193-'user time'!E145</f>
        <v>2.2893518514972178E-2</v>
      </c>
      <c r="I193" s="86">
        <v>44.63</v>
      </c>
      <c r="J193" s="109" t="s">
        <v>260</v>
      </c>
      <c r="K193" s="88" t="s">
        <v>72</v>
      </c>
      <c r="L193" s="88" t="s">
        <v>73</v>
      </c>
      <c r="M193" s="88">
        <v>-369</v>
      </c>
      <c r="N193" s="108">
        <v>1</v>
      </c>
      <c r="O193" s="108">
        <v>200</v>
      </c>
      <c r="P193" s="88">
        <v>347</v>
      </c>
      <c r="Q193" s="88" t="s">
        <v>75</v>
      </c>
      <c r="R193" s="88" t="s">
        <v>348</v>
      </c>
      <c r="S193" s="110">
        <v>8938</v>
      </c>
      <c r="T193" s="110">
        <v>794</v>
      </c>
      <c r="U193" s="88">
        <v>983</v>
      </c>
      <c r="V193" s="90">
        <v>1500</v>
      </c>
      <c r="W193" s="111">
        <v>10</v>
      </c>
      <c r="X193" s="110">
        <v>43737</v>
      </c>
      <c r="Y193" s="110">
        <v>775008</v>
      </c>
      <c r="Z193" s="110">
        <v>6120038</v>
      </c>
      <c r="AA193" s="110">
        <v>1906416</v>
      </c>
      <c r="AB193" s="112">
        <v>4233006</v>
      </c>
      <c r="AC193" s="109">
        <v>160.19999999999999</v>
      </c>
      <c r="AD193" s="110">
        <v>-109.9</v>
      </c>
      <c r="AE193" s="110">
        <v>4.1500000000000004</v>
      </c>
      <c r="AF193" s="110">
        <v>-0.56999999999999995</v>
      </c>
      <c r="AG193" s="110">
        <v>109.8</v>
      </c>
      <c r="AH193" s="110">
        <v>-110</v>
      </c>
      <c r="AI193" s="110">
        <v>3.49</v>
      </c>
      <c r="AJ193" s="109">
        <v>-0.52</v>
      </c>
      <c r="AK193" s="113" t="s">
        <v>309</v>
      </c>
      <c r="AL193" s="107" t="s">
        <v>313</v>
      </c>
      <c r="AN193" s="107">
        <v>0.95</v>
      </c>
      <c r="AO193" s="48">
        <f t="shared" si="136"/>
        <v>68891275.107692286</v>
      </c>
      <c r="AP193" s="156">
        <f t="shared" ref="AP193" si="149">AO193*0.7</f>
        <v>48223892.575384595</v>
      </c>
      <c r="AQ193" s="161">
        <f>AP193+AQ192</f>
        <v>1374485738.2001238</v>
      </c>
      <c r="AR193" s="163">
        <f t="shared" ref="AR193" si="150">H193+AR192</f>
        <v>0.84568287035071998</v>
      </c>
      <c r="AS193" s="49">
        <f t="shared" ref="AS193" si="151">I193*(HOUR(H193)*60+MINUTE(H193))/60/(7*24)</f>
        <v>0.14168253968253969</v>
      </c>
      <c r="AT193" s="165">
        <f t="shared" ref="AT193" si="152">AS193+AT192</f>
        <v>4.0561458333333329</v>
      </c>
      <c r="AU193" s="254">
        <f t="shared" si="139"/>
        <v>181109.52</v>
      </c>
      <c r="AV193" s="255">
        <f t="shared" si="140"/>
        <v>432832.68</v>
      </c>
      <c r="AW193" s="256">
        <f t="shared" si="141"/>
        <v>0.41842847910652214</v>
      </c>
    </row>
    <row r="194" spans="1:70">
      <c r="A194" s="108">
        <v>192</v>
      </c>
      <c r="F194" s="45">
        <v>43127.158472222225</v>
      </c>
      <c r="G194" s="45">
        <v>43127.189282407409</v>
      </c>
      <c r="H194" s="53">
        <f>G194-F194</f>
        <v>3.0810185184236616E-2</v>
      </c>
      <c r="I194" s="86">
        <v>44.58</v>
      </c>
      <c r="J194" s="109" t="s">
        <v>260</v>
      </c>
      <c r="K194" s="88" t="s">
        <v>72</v>
      </c>
      <c r="L194" s="88" t="s">
        <v>73</v>
      </c>
      <c r="M194" s="88">
        <v>-369</v>
      </c>
      <c r="N194" s="108">
        <v>1</v>
      </c>
      <c r="O194" s="108">
        <v>200</v>
      </c>
      <c r="P194" s="88">
        <v>347</v>
      </c>
      <c r="Q194" s="88" t="s">
        <v>75</v>
      </c>
      <c r="R194" s="88" t="s">
        <v>348</v>
      </c>
      <c r="S194" s="110">
        <v>9502</v>
      </c>
      <c r="T194" s="110">
        <v>929</v>
      </c>
      <c r="U194" s="88">
        <v>983</v>
      </c>
      <c r="V194" s="90">
        <v>1500</v>
      </c>
      <c r="W194" s="111">
        <v>10</v>
      </c>
      <c r="X194" s="110">
        <v>44067</v>
      </c>
      <c r="Y194" s="110">
        <v>773320</v>
      </c>
      <c r="Z194" s="110">
        <v>6112740</v>
      </c>
      <c r="AA194" s="110">
        <v>1901672</v>
      </c>
      <c r="AB194" s="112">
        <v>4230519</v>
      </c>
      <c r="AC194" s="109">
        <v>160.19999999999999</v>
      </c>
      <c r="AD194" s="110">
        <v>-110</v>
      </c>
      <c r="AE194" s="110">
        <v>4.1500000000000004</v>
      </c>
      <c r="AF194" s="110">
        <v>-0.56999999999999995</v>
      </c>
      <c r="AG194" s="110">
        <v>109.8</v>
      </c>
      <c r="AH194" s="110">
        <v>-110</v>
      </c>
      <c r="AI194" s="110">
        <v>3.49</v>
      </c>
      <c r="AJ194" s="109">
        <v>-0.52</v>
      </c>
      <c r="AK194" s="113" t="s">
        <v>309</v>
      </c>
      <c r="AL194" s="107" t="s">
        <v>267</v>
      </c>
      <c r="AN194" s="107">
        <v>0.95</v>
      </c>
      <c r="AO194" s="48">
        <f t="shared" si="136"/>
        <v>92483429.246153831</v>
      </c>
      <c r="AP194" s="156">
        <f t="shared" ref="AP194" si="153">AO194*0.7</f>
        <v>64738400.472307675</v>
      </c>
      <c r="AQ194" s="161">
        <f>AP194+AQ193</f>
        <v>1439224138.6724315</v>
      </c>
      <c r="AR194" s="163">
        <f t="shared" ref="AR194" si="154">H194+AR193</f>
        <v>0.8764930555349566</v>
      </c>
      <c r="AS194" s="49">
        <f t="shared" ref="AS194" si="155">I194*(HOUR(H194)*60+MINUTE(H194))/60/(7*24)</f>
        <v>0.1945952380952381</v>
      </c>
      <c r="AT194" s="165">
        <f t="shared" ref="AT194" si="156">AS194+AT193</f>
        <v>4.2507410714285712</v>
      </c>
      <c r="AU194" s="254">
        <f t="shared" si="139"/>
        <v>180658.84</v>
      </c>
      <c r="AV194" s="255">
        <f t="shared" si="140"/>
        <v>432560.26</v>
      </c>
      <c r="AW194" s="256">
        <f t="shared" si="141"/>
        <v>0.41765010960553794</v>
      </c>
    </row>
    <row r="195" spans="1:70" s="149" customFormat="1">
      <c r="A195" s="138">
        <v>193</v>
      </c>
      <c r="F195" s="133"/>
      <c r="G195" s="133"/>
      <c r="H195" s="134"/>
      <c r="I195" s="135"/>
      <c r="J195" s="136"/>
      <c r="K195" s="137"/>
      <c r="L195" s="137"/>
      <c r="M195" s="137"/>
      <c r="N195" s="138"/>
      <c r="O195" s="138"/>
      <c r="P195" s="137"/>
      <c r="Q195" s="137"/>
      <c r="R195" s="137"/>
      <c r="S195" s="139"/>
      <c r="T195" s="139"/>
      <c r="U195" s="137"/>
      <c r="V195" s="140"/>
      <c r="W195" s="141"/>
      <c r="X195" s="139"/>
      <c r="Y195" s="139"/>
      <c r="Z195" s="139"/>
      <c r="AA195" s="139"/>
      <c r="AB195" s="142"/>
      <c r="AC195" s="136"/>
      <c r="AD195" s="139"/>
      <c r="AE195" s="139"/>
      <c r="AF195" s="139"/>
      <c r="AG195" s="139"/>
      <c r="AH195" s="139"/>
      <c r="AI195" s="139"/>
      <c r="AJ195" s="136"/>
      <c r="AK195" s="143"/>
      <c r="AL195" s="144" t="s">
        <v>280</v>
      </c>
      <c r="AM195" s="145"/>
      <c r="AN195" s="144"/>
      <c r="AO195" s="151"/>
      <c r="AP195" s="152"/>
      <c r="AQ195" s="160"/>
      <c r="AR195" s="162"/>
      <c r="AS195" s="147"/>
      <c r="AT195" s="164"/>
      <c r="AU195" s="147"/>
      <c r="AV195" s="147"/>
      <c r="AW195" s="139"/>
      <c r="AX195" s="139"/>
      <c r="AY195" s="139"/>
      <c r="AZ195" s="139"/>
      <c r="BA195" s="147"/>
      <c r="BB195" s="142"/>
      <c r="BC195" s="148"/>
      <c r="BD195" s="148"/>
      <c r="BE195" s="148"/>
      <c r="BF195" s="148"/>
      <c r="BG195" s="148"/>
      <c r="BH195" s="148"/>
      <c r="BI195" s="148"/>
      <c r="BJ195" s="148"/>
      <c r="BK195" s="148"/>
      <c r="BL195" s="148"/>
      <c r="BM195" s="148"/>
      <c r="BN195" s="148"/>
      <c r="BO195" s="148"/>
      <c r="BP195" s="148"/>
      <c r="BQ195" s="148"/>
      <c r="BR195" s="148"/>
    </row>
    <row r="196" spans="1:70">
      <c r="A196" s="108">
        <v>194</v>
      </c>
      <c r="F196" s="45">
        <v>43127.191041666665</v>
      </c>
      <c r="G196" s="45">
        <v>43127.198622685188</v>
      </c>
      <c r="H196" s="53">
        <f>G196-F196-'user time'!E147</f>
        <v>7.2106481522442034E-3</v>
      </c>
      <c r="I196" s="86">
        <v>44.56</v>
      </c>
      <c r="J196" s="109" t="s">
        <v>260</v>
      </c>
      <c r="K196" s="88" t="s">
        <v>72</v>
      </c>
      <c r="L196" s="88" t="s">
        <v>73</v>
      </c>
      <c r="M196" s="88">
        <v>-369</v>
      </c>
      <c r="N196" s="108">
        <v>1</v>
      </c>
      <c r="O196" s="108">
        <v>200</v>
      </c>
      <c r="P196" s="88">
        <v>347</v>
      </c>
      <c r="Q196" s="88" t="s">
        <v>75</v>
      </c>
      <c r="R196" s="88" t="s">
        <v>348</v>
      </c>
      <c r="S196" s="110">
        <v>9245</v>
      </c>
      <c r="T196" s="110">
        <v>843</v>
      </c>
      <c r="U196" s="88">
        <v>983</v>
      </c>
      <c r="V196" s="90">
        <v>1500</v>
      </c>
      <c r="W196" s="111">
        <v>10</v>
      </c>
      <c r="X196" s="110">
        <v>43860</v>
      </c>
      <c r="Y196" s="110">
        <v>771560</v>
      </c>
      <c r="Z196" s="110">
        <v>6089927</v>
      </c>
      <c r="AA196" s="110">
        <v>1887965</v>
      </c>
      <c r="AB196" s="112">
        <v>4222191</v>
      </c>
      <c r="AC196" s="109">
        <v>160.19999999999999</v>
      </c>
      <c r="AD196" s="110">
        <v>-110</v>
      </c>
      <c r="AE196" s="110">
        <v>4.1500000000000004</v>
      </c>
      <c r="AF196" s="110">
        <v>-0.56999999999999995</v>
      </c>
      <c r="AG196" s="110">
        <v>109.8</v>
      </c>
      <c r="AH196" s="110">
        <v>-110</v>
      </c>
      <c r="AI196" s="110">
        <v>3.49</v>
      </c>
      <c r="AJ196" s="109">
        <v>-0.52</v>
      </c>
      <c r="AK196" s="113" t="s">
        <v>309</v>
      </c>
      <c r="AL196" s="107" t="s">
        <v>267</v>
      </c>
      <c r="AN196" s="107">
        <v>0.94</v>
      </c>
      <c r="AO196" s="48">
        <f t="shared" ref="AO196:AO204" si="157">(HOUR(H196)*60*60+MINUTE(H196)*60+SECOND(H196))/5.2*AA196/W196*AN196</f>
        <v>21262116.601923078</v>
      </c>
      <c r="AP196" s="156">
        <f t="shared" ref="AP196:AP197" si="158">AO196*0.7</f>
        <v>14883481.621346153</v>
      </c>
      <c r="AQ196" s="161">
        <f>AP196+AQ194</f>
        <v>1454107620.2937777</v>
      </c>
      <c r="AR196" s="163">
        <f>H196+AR194</f>
        <v>0.88370370368720086</v>
      </c>
      <c r="AS196" s="49">
        <f t="shared" ref="AS196:AS197" si="159">I196*(HOUR(H196)*60+MINUTE(H196))/60/(7*24)</f>
        <v>4.4206349206349208E-2</v>
      </c>
      <c r="AT196" s="165">
        <f>AS196+AT194</f>
        <v>4.2949474206349203</v>
      </c>
      <c r="AU196" s="254">
        <f t="shared" ref="AU196:AU204" si="160">AA196/W196*AN196</f>
        <v>177468.71</v>
      </c>
      <c r="AV196" s="255">
        <f t="shared" ref="AV196:AV204" si="161">AB196/W196+AA196/W196*(1-AN196)</f>
        <v>433546.89</v>
      </c>
      <c r="AW196" s="256">
        <f t="shared" ref="AW196:AW204" si="162">AU196/AV196</f>
        <v>0.40934144401312622</v>
      </c>
    </row>
    <row r="197" spans="1:70">
      <c r="A197" s="108">
        <v>195</v>
      </c>
      <c r="F197" s="45">
        <v>43127.199293981481</v>
      </c>
      <c r="G197" s="45">
        <v>43127.206053240741</v>
      </c>
      <c r="H197" s="53">
        <f>G197-F197</f>
        <v>6.7592592604341917E-3</v>
      </c>
      <c r="I197" s="86">
        <v>44.57</v>
      </c>
      <c r="J197" s="109" t="s">
        <v>260</v>
      </c>
      <c r="K197" s="88" t="s">
        <v>72</v>
      </c>
      <c r="L197" s="88" t="s">
        <v>73</v>
      </c>
      <c r="M197" s="88">
        <v>-369</v>
      </c>
      <c r="N197" s="108">
        <v>1</v>
      </c>
      <c r="O197" s="108">
        <v>200</v>
      </c>
      <c r="P197" s="88">
        <v>347</v>
      </c>
      <c r="Q197" s="88" t="s">
        <v>75</v>
      </c>
      <c r="R197" s="88" t="s">
        <v>348</v>
      </c>
      <c r="S197" s="110">
        <v>9285</v>
      </c>
      <c r="T197" s="110">
        <v>840</v>
      </c>
      <c r="U197" s="88">
        <v>983</v>
      </c>
      <c r="V197" s="90">
        <v>1500</v>
      </c>
      <c r="W197" s="111">
        <v>10</v>
      </c>
      <c r="X197" s="110">
        <v>43936</v>
      </c>
      <c r="Y197" s="110">
        <v>771997</v>
      </c>
      <c r="Z197" s="110">
        <v>6086500</v>
      </c>
      <c r="AA197" s="110">
        <v>1876756</v>
      </c>
      <c r="AB197" s="112">
        <v>4229756</v>
      </c>
      <c r="AC197" s="109">
        <v>160.1</v>
      </c>
      <c r="AD197" s="110">
        <v>-110</v>
      </c>
      <c r="AE197" s="110">
        <v>4.1500000000000004</v>
      </c>
      <c r="AF197" s="110">
        <v>-0.56999999999999995</v>
      </c>
      <c r="AG197" s="110">
        <v>109.8</v>
      </c>
      <c r="AH197" s="110">
        <v>-110</v>
      </c>
      <c r="AI197" s="110">
        <v>3.49</v>
      </c>
      <c r="AJ197" s="109">
        <v>-0.52</v>
      </c>
      <c r="AK197" s="113" t="s">
        <v>309</v>
      </c>
      <c r="AL197" s="107" t="s">
        <v>267</v>
      </c>
      <c r="AN197" s="107">
        <v>0.94499999999999995</v>
      </c>
      <c r="AO197" s="48">
        <f t="shared" si="157"/>
        <v>19918155.793846153</v>
      </c>
      <c r="AP197" s="156">
        <f t="shared" si="158"/>
        <v>13942709.055692306</v>
      </c>
      <c r="AQ197" s="161">
        <f t="shared" ref="AQ197:AQ204" si="163">AP197+AQ196</f>
        <v>1468050329.3494699</v>
      </c>
      <c r="AR197" s="163">
        <f t="shared" ref="AR197" si="164">H197+AR196</f>
        <v>0.89046296294763505</v>
      </c>
      <c r="AS197" s="49">
        <f t="shared" si="159"/>
        <v>3.9794642857142862E-2</v>
      </c>
      <c r="AT197" s="165">
        <f t="shared" ref="AT197" si="165">AS197+AT196</f>
        <v>4.3347420634920635</v>
      </c>
      <c r="AU197" s="254">
        <f t="shared" si="160"/>
        <v>177353.44200000001</v>
      </c>
      <c r="AV197" s="255">
        <f t="shared" si="161"/>
        <v>433297.75799999997</v>
      </c>
      <c r="AW197" s="256">
        <f t="shared" si="162"/>
        <v>0.40931077700152796</v>
      </c>
    </row>
    <row r="198" spans="1:70">
      <c r="A198" s="108">
        <v>196</v>
      </c>
      <c r="F198" s="45">
        <v>43127.207175925927</v>
      </c>
      <c r="G198" s="45">
        <v>43127.213229166664</v>
      </c>
      <c r="H198" s="53">
        <f>G198-F198-'user time'!E148</f>
        <v>5.6365740702797873E-3</v>
      </c>
      <c r="I198" s="86">
        <v>44.51</v>
      </c>
      <c r="J198" s="109" t="s">
        <v>260</v>
      </c>
      <c r="K198" s="88" t="s">
        <v>72</v>
      </c>
      <c r="L198" s="88" t="s">
        <v>73</v>
      </c>
      <c r="M198" s="88">
        <v>-369</v>
      </c>
      <c r="N198" s="108">
        <v>1</v>
      </c>
      <c r="O198" s="108">
        <v>200</v>
      </c>
      <c r="P198" s="88">
        <v>347</v>
      </c>
      <c r="Q198" s="88" t="s">
        <v>75</v>
      </c>
      <c r="R198" s="88" t="s">
        <v>348</v>
      </c>
      <c r="S198" s="110">
        <v>9264</v>
      </c>
      <c r="T198" s="110">
        <v>838</v>
      </c>
      <c r="U198" s="88">
        <v>983</v>
      </c>
      <c r="V198" s="90">
        <v>1500</v>
      </c>
      <c r="W198" s="111">
        <v>10</v>
      </c>
      <c r="X198" s="110">
        <v>43653</v>
      </c>
      <c r="Y198" s="110">
        <v>773451</v>
      </c>
      <c r="Z198" s="110">
        <v>6099653</v>
      </c>
      <c r="AA198" s="110">
        <v>1878409</v>
      </c>
      <c r="AB198" s="112">
        <v>4241253</v>
      </c>
      <c r="AC198" s="109">
        <v>160.1</v>
      </c>
      <c r="AD198" s="110">
        <v>-110</v>
      </c>
      <c r="AE198" s="110">
        <v>4.1500000000000004</v>
      </c>
      <c r="AF198" s="110">
        <v>-0.56999999999999995</v>
      </c>
      <c r="AG198" s="110">
        <v>109.8</v>
      </c>
      <c r="AH198" s="110">
        <v>-110</v>
      </c>
      <c r="AI198" s="110">
        <v>3.49</v>
      </c>
      <c r="AJ198" s="109">
        <v>-0.52</v>
      </c>
      <c r="AK198" s="113" t="s">
        <v>309</v>
      </c>
      <c r="AL198" s="107" t="s">
        <v>319</v>
      </c>
      <c r="AN198" s="107">
        <f>AN197</f>
        <v>0.94499999999999995</v>
      </c>
      <c r="AO198" s="48">
        <f t="shared" si="157"/>
        <v>16624461.498749999</v>
      </c>
      <c r="AP198" s="156">
        <f t="shared" ref="AP198" si="166">AO198*0.7</f>
        <v>11637123.049124999</v>
      </c>
      <c r="AQ198" s="161">
        <f t="shared" si="163"/>
        <v>1479687452.3985949</v>
      </c>
      <c r="AR198" s="163">
        <f t="shared" ref="AR198" si="167">H198+AR197</f>
        <v>0.89609953701791478</v>
      </c>
      <c r="AS198" s="49">
        <f t="shared" ref="AS198" si="168">I198*(HOUR(H198)*60+MINUTE(H198))/60/(7*24)</f>
        <v>3.5325396825396829E-2</v>
      </c>
      <c r="AT198" s="165">
        <f t="shared" ref="AT198" si="169">AS198+AT197</f>
        <v>4.3700674603174603</v>
      </c>
      <c r="AU198" s="254">
        <f t="shared" si="160"/>
        <v>177509.65049999999</v>
      </c>
      <c r="AV198" s="255">
        <f t="shared" si="161"/>
        <v>434456.54950000002</v>
      </c>
      <c r="AW198" s="256">
        <f t="shared" si="162"/>
        <v>0.40857860401526752</v>
      </c>
    </row>
    <row r="199" spans="1:70">
      <c r="A199" s="108">
        <v>197</v>
      </c>
      <c r="F199" s="45">
        <v>43127.213229166664</v>
      </c>
      <c r="G199" s="45">
        <v>43127.234803240739</v>
      </c>
      <c r="H199" s="53">
        <f>G199-F199</f>
        <v>2.1574074075033423E-2</v>
      </c>
      <c r="I199" s="86">
        <v>44.57</v>
      </c>
      <c r="J199" s="109" t="s">
        <v>260</v>
      </c>
      <c r="K199" s="88" t="s">
        <v>72</v>
      </c>
      <c r="L199" s="88" t="s">
        <v>73</v>
      </c>
      <c r="M199" s="88">
        <v>-369</v>
      </c>
      <c r="N199" s="108">
        <v>1</v>
      </c>
      <c r="O199" s="108">
        <v>200</v>
      </c>
      <c r="P199" s="88">
        <v>347</v>
      </c>
      <c r="Q199" s="88" t="s">
        <v>75</v>
      </c>
      <c r="R199" s="88" t="s">
        <v>348</v>
      </c>
      <c r="S199" s="110">
        <v>9118</v>
      </c>
      <c r="T199" s="110">
        <v>868</v>
      </c>
      <c r="U199" s="88">
        <v>983</v>
      </c>
      <c r="V199" s="90">
        <v>1500</v>
      </c>
      <c r="W199" s="111">
        <v>10</v>
      </c>
      <c r="X199" s="110">
        <v>44272</v>
      </c>
      <c r="Y199" s="110">
        <v>773034</v>
      </c>
      <c r="Z199" s="110">
        <v>6108263</v>
      </c>
      <c r="AA199" s="110">
        <v>1884803</v>
      </c>
      <c r="AB199" s="112">
        <v>4243953</v>
      </c>
      <c r="AC199" s="109">
        <v>160.1</v>
      </c>
      <c r="AD199" s="110">
        <v>-110</v>
      </c>
      <c r="AE199" s="110">
        <v>4.1500000000000004</v>
      </c>
      <c r="AF199" s="110">
        <v>-0.56999999999999995</v>
      </c>
      <c r="AG199" s="110">
        <v>109.8</v>
      </c>
      <c r="AH199" s="110">
        <v>-110</v>
      </c>
      <c r="AI199" s="110">
        <v>3.49</v>
      </c>
      <c r="AJ199" s="109">
        <v>-0.52</v>
      </c>
      <c r="AK199" s="113" t="s">
        <v>309</v>
      </c>
      <c r="AL199" s="107" t="s">
        <v>313</v>
      </c>
      <c r="AN199" s="107">
        <v>0.94499999999999995</v>
      </c>
      <c r="AO199" s="48">
        <f t="shared" si="157"/>
        <v>63846976.700769223</v>
      </c>
      <c r="AP199" s="156">
        <f t="shared" ref="AP199" si="170">AO199*0.7</f>
        <v>44692883.690538451</v>
      </c>
      <c r="AQ199" s="161">
        <f t="shared" si="163"/>
        <v>1524380336.0891333</v>
      </c>
      <c r="AR199" s="163">
        <f t="shared" ref="AR199" si="171">H199+AR198</f>
        <v>0.9176736110929482</v>
      </c>
      <c r="AS199" s="49">
        <f t="shared" ref="AS199" si="172">I199*(HOUR(H199)*60+MINUTE(H199))/60/(7*24)</f>
        <v>0.13707043650793652</v>
      </c>
      <c r="AT199" s="165">
        <f t="shared" ref="AT199" si="173">AS199+AT198</f>
        <v>4.5071378968253972</v>
      </c>
      <c r="AU199" s="254">
        <f t="shared" si="160"/>
        <v>178113.88349999997</v>
      </c>
      <c r="AV199" s="255">
        <f t="shared" si="161"/>
        <v>434761.71649999998</v>
      </c>
      <c r="AW199" s="256">
        <f t="shared" si="162"/>
        <v>0.40968161809159659</v>
      </c>
    </row>
    <row r="200" spans="1:70">
      <c r="A200" s="108">
        <v>198</v>
      </c>
      <c r="F200" s="45">
        <v>43127.24559027778</v>
      </c>
      <c r="G200" s="45">
        <v>43127.252986111111</v>
      </c>
      <c r="H200" s="53">
        <f>G200-F200</f>
        <v>7.3958333305199631E-3</v>
      </c>
      <c r="I200" s="86">
        <v>44.54</v>
      </c>
      <c r="J200" s="109" t="s">
        <v>260</v>
      </c>
      <c r="K200" s="88" t="s">
        <v>72</v>
      </c>
      <c r="L200" s="88" t="s">
        <v>73</v>
      </c>
      <c r="M200" s="88">
        <v>-369</v>
      </c>
      <c r="N200" s="108">
        <v>1</v>
      </c>
      <c r="O200" s="108">
        <v>200</v>
      </c>
      <c r="P200" s="88">
        <v>347</v>
      </c>
      <c r="Q200" s="88" t="s">
        <v>75</v>
      </c>
      <c r="R200" s="88" t="s">
        <v>348</v>
      </c>
      <c r="S200" s="110">
        <v>9099</v>
      </c>
      <c r="T200" s="110">
        <v>874</v>
      </c>
      <c r="U200" s="88">
        <v>983</v>
      </c>
      <c r="V200" s="90">
        <v>1500</v>
      </c>
      <c r="W200" s="111">
        <v>10</v>
      </c>
      <c r="X200" s="110">
        <v>44117</v>
      </c>
      <c r="Y200" s="110">
        <v>772302</v>
      </c>
      <c r="Z200" s="110">
        <v>6090787</v>
      </c>
      <c r="AA200" s="110">
        <v>1897925</v>
      </c>
      <c r="AB200" s="112">
        <v>4212947</v>
      </c>
      <c r="AC200" s="109">
        <v>160.1</v>
      </c>
      <c r="AD200" s="110">
        <v>-110</v>
      </c>
      <c r="AE200" s="110">
        <v>4.1500000000000004</v>
      </c>
      <c r="AF200" s="110">
        <v>-0.56999999999999995</v>
      </c>
      <c r="AG200" s="110">
        <v>109.8</v>
      </c>
      <c r="AH200" s="110">
        <v>-110</v>
      </c>
      <c r="AI200" s="110">
        <v>3.49</v>
      </c>
      <c r="AJ200" s="109">
        <v>-0.52</v>
      </c>
      <c r="AK200" s="113" t="s">
        <v>309</v>
      </c>
      <c r="AL200" s="107" t="s">
        <v>313</v>
      </c>
      <c r="AN200" s="107">
        <v>0.95</v>
      </c>
      <c r="AO200" s="48">
        <f t="shared" si="157"/>
        <v>22156449.447115384</v>
      </c>
      <c r="AP200" s="156">
        <f t="shared" ref="AP200" si="174">AO200*0.7</f>
        <v>15509514.612980768</v>
      </c>
      <c r="AQ200" s="161">
        <f t="shared" si="163"/>
        <v>1539889850.7021141</v>
      </c>
      <c r="AR200" s="163">
        <f t="shared" ref="AR200" si="175">H200+AR199</f>
        <v>0.92506944442346817</v>
      </c>
      <c r="AS200" s="49">
        <f t="shared" ref="AS200" si="176">I200*(HOUR(H200)*60+MINUTE(H200))/60/(7*24)</f>
        <v>4.4186507936507934E-2</v>
      </c>
      <c r="AT200" s="165">
        <f t="shared" ref="AT200" si="177">AS200+AT199</f>
        <v>4.551324404761905</v>
      </c>
      <c r="AU200" s="254">
        <f t="shared" si="160"/>
        <v>180302.875</v>
      </c>
      <c r="AV200" s="255">
        <f t="shared" si="161"/>
        <v>430784.32500000001</v>
      </c>
      <c r="AW200" s="256">
        <f t="shared" si="162"/>
        <v>0.41854557962386396</v>
      </c>
    </row>
    <row r="201" spans="1:70">
      <c r="A201" s="108">
        <v>199</v>
      </c>
      <c r="F201" s="45">
        <v>43127.264490740738</v>
      </c>
      <c r="G201" s="45">
        <v>43127.307141203702</v>
      </c>
      <c r="H201" s="53">
        <f>G201-F201-'user time'!E151</f>
        <v>4.2129629631623811E-2</v>
      </c>
      <c r="I201" s="86">
        <v>44.62</v>
      </c>
      <c r="J201" s="109" t="s">
        <v>260</v>
      </c>
      <c r="K201" s="88" t="s">
        <v>72</v>
      </c>
      <c r="L201" s="88" t="s">
        <v>73</v>
      </c>
      <c r="M201" s="88">
        <v>-369</v>
      </c>
      <c r="N201" s="108">
        <v>1</v>
      </c>
      <c r="O201" s="108">
        <v>200</v>
      </c>
      <c r="P201" s="88">
        <v>347</v>
      </c>
      <c r="Q201" s="88" t="s">
        <v>75</v>
      </c>
      <c r="R201" s="88" t="s">
        <v>348</v>
      </c>
      <c r="S201" s="110">
        <v>8971</v>
      </c>
      <c r="T201" s="110">
        <v>804</v>
      </c>
      <c r="U201" s="88">
        <v>983</v>
      </c>
      <c r="V201" s="90">
        <v>1500</v>
      </c>
      <c r="W201" s="111">
        <v>10</v>
      </c>
      <c r="X201" s="110">
        <v>44117</v>
      </c>
      <c r="Y201" s="110">
        <v>772302</v>
      </c>
      <c r="Z201" s="110">
        <v>6090787</v>
      </c>
      <c r="AA201" s="110">
        <v>1897925</v>
      </c>
      <c r="AB201" s="112">
        <v>4212947</v>
      </c>
      <c r="AC201" s="109">
        <v>160.1</v>
      </c>
      <c r="AD201" s="110">
        <v>-110</v>
      </c>
      <c r="AE201" s="110">
        <v>4.1500000000000004</v>
      </c>
      <c r="AF201" s="110">
        <v>-0.56999999999999995</v>
      </c>
      <c r="AG201" s="110">
        <v>109.8</v>
      </c>
      <c r="AH201" s="110">
        <v>-110</v>
      </c>
      <c r="AI201" s="110">
        <v>3.49</v>
      </c>
      <c r="AJ201" s="109">
        <v>-0.52</v>
      </c>
      <c r="AK201" s="113" t="s">
        <v>309</v>
      </c>
      <c r="AL201" s="107" t="s">
        <v>310</v>
      </c>
      <c r="AN201" s="107">
        <v>0.95</v>
      </c>
      <c r="AO201" s="48">
        <f t="shared" si="157"/>
        <v>126212012.5</v>
      </c>
      <c r="AP201" s="156">
        <f t="shared" ref="AP201" si="178">AO201*0.7</f>
        <v>88348408.75</v>
      </c>
      <c r="AQ201" s="161">
        <f t="shared" si="163"/>
        <v>1628238259.4521141</v>
      </c>
      <c r="AR201" s="163">
        <f t="shared" ref="AR201" si="179">H201+AR200</f>
        <v>0.96719907405509198</v>
      </c>
      <c r="AS201" s="49">
        <f t="shared" ref="AS201" si="180">I201*(HOUR(H201)*60+MINUTE(H201))/60/(7*24)</f>
        <v>0.26559523809523811</v>
      </c>
      <c r="AT201" s="165">
        <f t="shared" ref="AT201" si="181">AS201+AT200</f>
        <v>4.816919642857143</v>
      </c>
      <c r="AU201" s="254">
        <f t="shared" si="160"/>
        <v>180302.875</v>
      </c>
      <c r="AV201" s="255">
        <f t="shared" si="161"/>
        <v>430784.32500000001</v>
      </c>
      <c r="AW201" s="256">
        <f t="shared" si="162"/>
        <v>0.41854557962386396</v>
      </c>
    </row>
    <row r="202" spans="1:70">
      <c r="A202" s="108">
        <v>200</v>
      </c>
      <c r="F202" s="45">
        <v>43127.307210648149</v>
      </c>
      <c r="G202" s="45">
        <v>43127.35015046296</v>
      </c>
      <c r="H202" s="53">
        <f>G202-F202-'user time'!E152-'user time'!E153</f>
        <v>4.2141203700577667E-2</v>
      </c>
      <c r="I202" s="86">
        <v>44.56</v>
      </c>
      <c r="J202" s="109" t="s">
        <v>260</v>
      </c>
      <c r="K202" s="88" t="s">
        <v>72</v>
      </c>
      <c r="L202" s="88" t="s">
        <v>73</v>
      </c>
      <c r="M202" s="88">
        <v>-369</v>
      </c>
      <c r="N202" s="108">
        <v>1</v>
      </c>
      <c r="O202" s="108">
        <v>200</v>
      </c>
      <c r="P202" s="88">
        <v>347</v>
      </c>
      <c r="Q202" s="88" t="s">
        <v>75</v>
      </c>
      <c r="R202" s="88" t="s">
        <v>348</v>
      </c>
      <c r="S202" s="110">
        <v>9379</v>
      </c>
      <c r="T202" s="110">
        <v>852</v>
      </c>
      <c r="U202" s="88">
        <v>983</v>
      </c>
      <c r="V202" s="90">
        <v>1500</v>
      </c>
      <c r="W202" s="111">
        <v>10</v>
      </c>
      <c r="X202" s="110">
        <v>44215</v>
      </c>
      <c r="Y202" s="110">
        <v>770770</v>
      </c>
      <c r="Z202" s="110">
        <v>6117637</v>
      </c>
      <c r="AA202" s="110">
        <v>1904972</v>
      </c>
      <c r="AB202" s="112">
        <v>4232450</v>
      </c>
      <c r="AC202" s="109">
        <v>160.1</v>
      </c>
      <c r="AD202" s="110">
        <v>-110</v>
      </c>
      <c r="AE202" s="110">
        <v>4.1500000000000004</v>
      </c>
      <c r="AF202" s="110">
        <v>-0.56999999999999995</v>
      </c>
      <c r="AG202" s="110">
        <v>109.8</v>
      </c>
      <c r="AH202" s="110">
        <v>-110</v>
      </c>
      <c r="AI202" s="110">
        <v>3.49</v>
      </c>
      <c r="AJ202" s="109">
        <v>-0.52</v>
      </c>
      <c r="AK202" s="113" t="s">
        <v>309</v>
      </c>
      <c r="AL202" s="107" t="s">
        <v>310</v>
      </c>
      <c r="AN202" s="107">
        <v>0.94599999999999995</v>
      </c>
      <c r="AO202" s="48">
        <f t="shared" si="157"/>
        <v>126181901.67676921</v>
      </c>
      <c r="AP202" s="156">
        <f t="shared" ref="AP202" si="182">AO202*0.7</f>
        <v>88327331.17373845</v>
      </c>
      <c r="AQ202" s="161">
        <f t="shared" si="163"/>
        <v>1716565590.6258526</v>
      </c>
      <c r="AR202" s="163">
        <f t="shared" ref="AR202" si="183">H202+AR201</f>
        <v>1.0093402777556697</v>
      </c>
      <c r="AS202" s="49">
        <f t="shared" ref="AS202" si="184">I202*(HOUR(H202)*60+MINUTE(H202))/60/(7*24)</f>
        <v>0.26523809523809527</v>
      </c>
      <c r="AT202" s="165">
        <f t="shared" ref="AT202" si="185">AS202+AT201</f>
        <v>5.0821577380952387</v>
      </c>
      <c r="AU202" s="254">
        <f t="shared" si="160"/>
        <v>180210.3512</v>
      </c>
      <c r="AV202" s="255">
        <f t="shared" si="161"/>
        <v>433531.84880000004</v>
      </c>
      <c r="AW202" s="256">
        <f t="shared" si="162"/>
        <v>0.41567961315602425</v>
      </c>
    </row>
    <row r="203" spans="1:70">
      <c r="A203" s="108">
        <v>201</v>
      </c>
      <c r="F203" s="45">
        <v>43127.35019675926</v>
      </c>
      <c r="G203" s="45">
        <v>43127.438877314817</v>
      </c>
      <c r="H203" s="53">
        <f>G203-F203-SUM('user time'!E154:E158)</f>
        <v>5.5902777778715718E-2</v>
      </c>
      <c r="I203" s="86">
        <v>44.57</v>
      </c>
      <c r="J203" s="109" t="s">
        <v>260</v>
      </c>
      <c r="K203" s="88" t="s">
        <v>72</v>
      </c>
      <c r="L203" s="88" t="s">
        <v>73</v>
      </c>
      <c r="M203" s="88">
        <v>-369</v>
      </c>
      <c r="N203" s="108">
        <v>1</v>
      </c>
      <c r="O203" s="108">
        <v>200</v>
      </c>
      <c r="P203" s="88">
        <v>347</v>
      </c>
      <c r="Q203" s="88" t="s">
        <v>75</v>
      </c>
      <c r="R203" s="88" t="s">
        <v>348</v>
      </c>
      <c r="S203" s="110">
        <v>8468</v>
      </c>
      <c r="T203" s="110">
        <v>796</v>
      </c>
      <c r="U203" s="88">
        <v>983</v>
      </c>
      <c r="V203" s="90">
        <v>1500</v>
      </c>
      <c r="W203" s="111">
        <v>10</v>
      </c>
      <c r="X203" s="110">
        <v>43824</v>
      </c>
      <c r="Y203" s="110">
        <v>772555</v>
      </c>
      <c r="Z203" s="110">
        <v>6104858</v>
      </c>
      <c r="AA203" s="110">
        <v>1904969</v>
      </c>
      <c r="AB203" s="112">
        <v>4219915</v>
      </c>
      <c r="AC203" s="109">
        <v>160.1</v>
      </c>
      <c r="AD203" s="110">
        <v>-110</v>
      </c>
      <c r="AE203" s="110">
        <v>4.1500000000000004</v>
      </c>
      <c r="AF203" s="110">
        <v>-0.56999999999999995</v>
      </c>
      <c r="AG203" s="110">
        <v>109.8</v>
      </c>
      <c r="AH203" s="110">
        <v>-110</v>
      </c>
      <c r="AI203" s="110">
        <v>3.49</v>
      </c>
      <c r="AJ203" s="109">
        <v>-0.52</v>
      </c>
      <c r="AK203" s="113" t="s">
        <v>309</v>
      </c>
      <c r="AL203" s="107" t="s">
        <v>310</v>
      </c>
      <c r="AN203" s="107">
        <v>0.95</v>
      </c>
      <c r="AO203" s="48">
        <f t="shared" si="157"/>
        <v>168095197.24038458</v>
      </c>
      <c r="AP203" s="156">
        <f t="shared" ref="AP203" si="186">AO203*0.7</f>
        <v>117666638.06826919</v>
      </c>
      <c r="AQ203" s="161">
        <f t="shared" si="163"/>
        <v>1834232228.6941218</v>
      </c>
      <c r="AR203" s="163">
        <f t="shared" ref="AR203" si="187">H203+AR202</f>
        <v>1.0652430555343855</v>
      </c>
      <c r="AS203" s="49">
        <f t="shared" ref="AS203" si="188">I203*(HOUR(H203)*60+MINUTE(H203))/60/(7*24)</f>
        <v>0.35373015873015873</v>
      </c>
      <c r="AT203" s="165">
        <f t="shared" ref="AT203" si="189">AS203+AT202</f>
        <v>5.4358878968253972</v>
      </c>
      <c r="AU203" s="254">
        <f t="shared" si="160"/>
        <v>180972.05499999999</v>
      </c>
      <c r="AV203" s="255">
        <f t="shared" si="161"/>
        <v>431516.34500000003</v>
      </c>
      <c r="AW203" s="256">
        <f t="shared" si="162"/>
        <v>0.41938632706948792</v>
      </c>
    </row>
    <row r="204" spans="1:70">
      <c r="A204" s="108">
        <v>202</v>
      </c>
      <c r="F204" s="45">
        <v>43127.438900462963</v>
      </c>
      <c r="G204" s="45">
        <v>43127.445706018516</v>
      </c>
      <c r="H204" s="53">
        <f>G204-F204</f>
        <v>6.805555553000886E-3</v>
      </c>
      <c r="I204" s="86">
        <v>44.5</v>
      </c>
      <c r="J204" s="109" t="s">
        <v>260</v>
      </c>
      <c r="K204" s="88" t="s">
        <v>72</v>
      </c>
      <c r="L204" s="88" t="s">
        <v>73</v>
      </c>
      <c r="M204" s="88">
        <v>-369</v>
      </c>
      <c r="N204" s="108">
        <v>1</v>
      </c>
      <c r="O204" s="108">
        <v>200</v>
      </c>
      <c r="P204" s="88">
        <v>347</v>
      </c>
      <c r="Q204" s="88" t="s">
        <v>75</v>
      </c>
      <c r="R204" s="88" t="s">
        <v>348</v>
      </c>
      <c r="S204" s="110">
        <v>9000</v>
      </c>
      <c r="T204" s="110">
        <v>820</v>
      </c>
      <c r="U204" s="88">
        <v>983</v>
      </c>
      <c r="V204" s="90">
        <v>1500</v>
      </c>
      <c r="W204" s="111">
        <v>10</v>
      </c>
      <c r="X204" s="110">
        <v>44148</v>
      </c>
      <c r="Y204" s="110">
        <v>771867</v>
      </c>
      <c r="Z204" s="110">
        <v>6082643</v>
      </c>
      <c r="AA204" s="110">
        <v>1891895</v>
      </c>
      <c r="AB204" s="112">
        <v>4209734</v>
      </c>
      <c r="AC204" s="109">
        <v>160.1</v>
      </c>
      <c r="AD204" s="110">
        <v>-110</v>
      </c>
      <c r="AE204" s="110">
        <v>4.1500000000000004</v>
      </c>
      <c r="AF204" s="110">
        <v>-0.56999999999999995</v>
      </c>
      <c r="AG204" s="110">
        <v>109.8</v>
      </c>
      <c r="AH204" s="110">
        <v>-110</v>
      </c>
      <c r="AI204" s="110">
        <v>3.49</v>
      </c>
      <c r="AJ204" s="109">
        <v>-0.52</v>
      </c>
      <c r="AK204" s="113" t="s">
        <v>309</v>
      </c>
      <c r="AL204" s="107" t="s">
        <v>310</v>
      </c>
      <c r="AN204" s="107">
        <v>0.94799999999999995</v>
      </c>
      <c r="AO204" s="48">
        <f t="shared" si="157"/>
        <v>20280532.278461535</v>
      </c>
      <c r="AP204" s="156">
        <f t="shared" ref="AP204" si="190">AO204*0.7</f>
        <v>14196372.594923073</v>
      </c>
      <c r="AQ204" s="161">
        <f t="shared" si="163"/>
        <v>1848428601.2890449</v>
      </c>
      <c r="AR204" s="163">
        <f t="shared" ref="AR204" si="191">H204+AR203</f>
        <v>1.0720486110873864</v>
      </c>
      <c r="AS204" s="49">
        <f t="shared" ref="AS204" si="192">I204*(HOUR(H204)*60+MINUTE(H204))/60/(7*24)</f>
        <v>3.9732142857142855E-2</v>
      </c>
      <c r="AT204" s="165">
        <f t="shared" ref="AT204" si="193">AS204+AT203</f>
        <v>5.4756200396825401</v>
      </c>
      <c r="AU204" s="254">
        <f t="shared" si="160"/>
        <v>179351.64599999998</v>
      </c>
      <c r="AV204" s="255">
        <f t="shared" si="161"/>
        <v>430811.25400000002</v>
      </c>
      <c r="AW204" s="256">
        <f t="shared" si="162"/>
        <v>0.41631142254236464</v>
      </c>
    </row>
    <row r="205" spans="1:70" s="190" customFormat="1">
      <c r="A205" s="176">
        <v>203</v>
      </c>
      <c r="F205" s="171">
        <v>43128.004930555559</v>
      </c>
      <c r="G205" s="171">
        <v>43128.007384259261</v>
      </c>
      <c r="H205" s="172">
        <f>G205-F205</f>
        <v>2.4537037024856545E-3</v>
      </c>
      <c r="I205" s="173">
        <v>44.57</v>
      </c>
      <c r="J205" s="174" t="s">
        <v>260</v>
      </c>
      <c r="K205" s="175" t="s">
        <v>72</v>
      </c>
      <c r="L205" s="175" t="s">
        <v>73</v>
      </c>
      <c r="M205" s="175">
        <v>-369</v>
      </c>
      <c r="N205" s="176">
        <v>1</v>
      </c>
      <c r="O205" s="176">
        <v>200</v>
      </c>
      <c r="P205" s="175">
        <v>347</v>
      </c>
      <c r="Q205" s="175" t="s">
        <v>75</v>
      </c>
      <c r="R205" s="175" t="s">
        <v>244</v>
      </c>
      <c r="S205" s="177"/>
      <c r="T205" s="177"/>
      <c r="U205" s="175">
        <v>983</v>
      </c>
      <c r="V205" s="178"/>
      <c r="W205" s="179"/>
      <c r="X205" s="177"/>
      <c r="Y205" s="177"/>
      <c r="Z205" s="177"/>
      <c r="AA205" s="177"/>
      <c r="AB205" s="180"/>
      <c r="AC205" s="174">
        <v>160.1</v>
      </c>
      <c r="AD205" s="177">
        <v>-109.9</v>
      </c>
      <c r="AE205" s="177">
        <v>4.1399999999999997</v>
      </c>
      <c r="AF205" s="177">
        <v>-0.56999999999999995</v>
      </c>
      <c r="AG205" s="177">
        <v>109.8</v>
      </c>
      <c r="AH205" s="177">
        <v>-110.1</v>
      </c>
      <c r="AI205" s="177">
        <v>3.51</v>
      </c>
      <c r="AJ205" s="174">
        <v>-0.54</v>
      </c>
      <c r="AK205" s="181"/>
      <c r="AL205" s="182" t="s">
        <v>333</v>
      </c>
      <c r="AM205" s="183"/>
      <c r="AN205" s="182"/>
      <c r="AO205" s="191"/>
      <c r="AP205" s="192"/>
      <c r="AQ205" s="193"/>
      <c r="AR205" s="186"/>
      <c r="AS205" s="187"/>
      <c r="AT205" s="188"/>
      <c r="AU205" s="187"/>
      <c r="AV205" s="187"/>
      <c r="AW205" s="177"/>
      <c r="AX205" s="177"/>
      <c r="AY205" s="177"/>
      <c r="AZ205" s="177"/>
      <c r="BA205" s="187"/>
      <c r="BB205" s="180"/>
      <c r="BC205" s="189"/>
      <c r="BD205" s="189"/>
      <c r="BE205" s="189"/>
      <c r="BF205" s="189"/>
      <c r="BG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  <c r="BR205" s="189"/>
    </row>
    <row r="206" spans="1:70" s="190" customFormat="1">
      <c r="A206" s="176">
        <v>204</v>
      </c>
      <c r="F206" s="171">
        <v>43128.007662037038</v>
      </c>
      <c r="G206" s="171">
        <v>43128.010092592594</v>
      </c>
      <c r="H206" s="172">
        <f t="shared" ref="H206:H223" si="194">G206-F206</f>
        <v>2.4305555562023073E-3</v>
      </c>
      <c r="I206" s="173">
        <v>44.57</v>
      </c>
      <c r="J206" s="174" t="s">
        <v>260</v>
      </c>
      <c r="K206" s="175" t="s">
        <v>72</v>
      </c>
      <c r="L206" s="175" t="s">
        <v>73</v>
      </c>
      <c r="M206" s="175">
        <v>-369</v>
      </c>
      <c r="N206" s="176">
        <v>1</v>
      </c>
      <c r="O206" s="176">
        <v>200</v>
      </c>
      <c r="P206" s="175">
        <v>347</v>
      </c>
      <c r="Q206" s="175" t="s">
        <v>75</v>
      </c>
      <c r="R206" s="175" t="s">
        <v>244</v>
      </c>
      <c r="S206" s="177"/>
      <c r="T206" s="177"/>
      <c r="U206" s="175">
        <v>983</v>
      </c>
      <c r="V206" s="178"/>
      <c r="W206" s="179"/>
      <c r="X206" s="177"/>
      <c r="Y206" s="177"/>
      <c r="Z206" s="177"/>
      <c r="AA206" s="177"/>
      <c r="AB206" s="180"/>
      <c r="AC206" s="174">
        <v>160.1</v>
      </c>
      <c r="AD206" s="177">
        <v>-109.9</v>
      </c>
      <c r="AE206" s="177">
        <v>4.1399999999999997</v>
      </c>
      <c r="AF206" s="177">
        <v>-0.56999999999999995</v>
      </c>
      <c r="AG206" s="177">
        <v>109.8</v>
      </c>
      <c r="AH206" s="177">
        <v>-110.1</v>
      </c>
      <c r="AI206" s="177">
        <v>3.51</v>
      </c>
      <c r="AJ206" s="174">
        <v>-0.54</v>
      </c>
      <c r="AK206" s="181"/>
      <c r="AL206" s="182" t="s">
        <v>334</v>
      </c>
      <c r="AM206" s="183"/>
      <c r="AN206" s="182"/>
      <c r="AO206" s="191"/>
      <c r="AP206" s="192"/>
      <c r="AQ206" s="193"/>
      <c r="AR206" s="186"/>
      <c r="AS206" s="187"/>
      <c r="AT206" s="188"/>
      <c r="AU206" s="187"/>
      <c r="AV206" s="187"/>
      <c r="AW206" s="177"/>
      <c r="AX206" s="177"/>
      <c r="AY206" s="177"/>
      <c r="AZ206" s="177"/>
      <c r="BA206" s="187"/>
      <c r="BB206" s="180"/>
      <c r="BC206" s="189"/>
      <c r="BD206" s="189"/>
      <c r="BE206" s="189"/>
      <c r="BF206" s="189"/>
      <c r="BG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  <c r="BR206" s="189"/>
    </row>
    <row r="207" spans="1:70" s="190" customFormat="1">
      <c r="A207" s="176">
        <v>205</v>
      </c>
      <c r="F207" s="171">
        <v>43128.01421296296</v>
      </c>
      <c r="G207" s="171">
        <v>43128.015451388892</v>
      </c>
      <c r="H207" s="172">
        <f t="shared" si="194"/>
        <v>1.2384259316604584E-3</v>
      </c>
      <c r="I207" s="173">
        <v>44.57</v>
      </c>
      <c r="J207" s="174" t="s">
        <v>260</v>
      </c>
      <c r="K207" s="175" t="s">
        <v>72</v>
      </c>
      <c r="L207" s="175" t="s">
        <v>73</v>
      </c>
      <c r="M207" s="175">
        <v>-369</v>
      </c>
      <c r="N207" s="176">
        <v>1</v>
      </c>
      <c r="O207" s="176">
        <v>200</v>
      </c>
      <c r="P207" s="175">
        <v>347</v>
      </c>
      <c r="Q207" s="175" t="s">
        <v>75</v>
      </c>
      <c r="R207" s="175" t="s">
        <v>341</v>
      </c>
      <c r="S207" s="177"/>
      <c r="T207" s="177"/>
      <c r="U207" s="175">
        <v>983</v>
      </c>
      <c r="V207" s="178">
        <v>-1900</v>
      </c>
      <c r="W207" s="179"/>
      <c r="X207" s="177"/>
      <c r="Y207" s="177"/>
      <c r="Z207" s="177"/>
      <c r="AA207" s="177"/>
      <c r="AB207" s="180"/>
      <c r="AC207" s="174">
        <v>160.1</v>
      </c>
      <c r="AD207" s="177">
        <v>-109.9</v>
      </c>
      <c r="AE207" s="177">
        <v>4.1399999999999997</v>
      </c>
      <c r="AF207" s="177">
        <v>-0.56999999999999995</v>
      </c>
      <c r="AG207" s="177">
        <v>109.8</v>
      </c>
      <c r="AH207" s="177">
        <v>-110.1</v>
      </c>
      <c r="AI207" s="177">
        <v>3.51</v>
      </c>
      <c r="AJ207" s="174">
        <v>-0.54</v>
      </c>
      <c r="AK207" s="181"/>
      <c r="AL207" s="182" t="s">
        <v>335</v>
      </c>
      <c r="AM207" s="183"/>
      <c r="AN207" s="182"/>
      <c r="AO207" s="191"/>
      <c r="AP207" s="192"/>
      <c r="AQ207" s="193"/>
      <c r="AR207" s="186"/>
      <c r="AS207" s="187"/>
      <c r="AT207" s="188"/>
      <c r="AU207" s="187"/>
      <c r="AV207" s="187"/>
      <c r="AW207" s="177"/>
      <c r="AX207" s="177"/>
      <c r="AY207" s="177"/>
      <c r="AZ207" s="177"/>
      <c r="BA207" s="187"/>
      <c r="BB207" s="180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</row>
    <row r="208" spans="1:70" s="190" customFormat="1">
      <c r="A208" s="176">
        <v>206</v>
      </c>
      <c r="F208" s="171">
        <v>43128.015451388892</v>
      </c>
      <c r="G208" s="171">
        <v>43128.017534722225</v>
      </c>
      <c r="H208" s="172">
        <f t="shared" si="194"/>
        <v>2.0833333328482695E-3</v>
      </c>
      <c r="I208" s="173">
        <v>44.57</v>
      </c>
      <c r="J208" s="174" t="s">
        <v>260</v>
      </c>
      <c r="K208" s="175" t="s">
        <v>72</v>
      </c>
      <c r="L208" s="175" t="s">
        <v>73</v>
      </c>
      <c r="M208" s="175">
        <v>-369</v>
      </c>
      <c r="N208" s="176">
        <v>1</v>
      </c>
      <c r="O208" s="176">
        <v>200</v>
      </c>
      <c r="P208" s="175">
        <v>347</v>
      </c>
      <c r="Q208" s="175" t="s">
        <v>75</v>
      </c>
      <c r="R208" s="175" t="s">
        <v>341</v>
      </c>
      <c r="S208" s="177"/>
      <c r="T208" s="177"/>
      <c r="U208" s="175">
        <v>983</v>
      </c>
      <c r="V208" s="178">
        <v>-1550</v>
      </c>
      <c r="W208" s="179"/>
      <c r="X208" s="177"/>
      <c r="Y208" s="177"/>
      <c r="Z208" s="177"/>
      <c r="AA208" s="177"/>
      <c r="AB208" s="180"/>
      <c r="AC208" s="174">
        <v>160.1</v>
      </c>
      <c r="AD208" s="177">
        <v>-109.9</v>
      </c>
      <c r="AE208" s="177">
        <v>4.1399999999999997</v>
      </c>
      <c r="AF208" s="177">
        <v>-0.56999999999999995</v>
      </c>
      <c r="AG208" s="177">
        <v>109.8</v>
      </c>
      <c r="AH208" s="177">
        <v>-110.1</v>
      </c>
      <c r="AI208" s="177">
        <v>3.51</v>
      </c>
      <c r="AJ208" s="174">
        <v>-0.54</v>
      </c>
      <c r="AK208" s="181"/>
      <c r="AL208" s="182" t="s">
        <v>336</v>
      </c>
      <c r="AM208" s="183"/>
      <c r="AN208" s="182"/>
      <c r="AO208" s="191"/>
      <c r="AP208" s="192"/>
      <c r="AQ208" s="193"/>
      <c r="AR208" s="186"/>
      <c r="AS208" s="187"/>
      <c r="AT208" s="188"/>
      <c r="AU208" s="187"/>
      <c r="AV208" s="187"/>
      <c r="AW208" s="177"/>
      <c r="AX208" s="177"/>
      <c r="AY208" s="177"/>
      <c r="AZ208" s="177"/>
      <c r="BA208" s="187"/>
      <c r="BB208" s="180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</row>
    <row r="209" spans="1:70" s="190" customFormat="1">
      <c r="A209" s="176">
        <v>207</v>
      </c>
      <c r="F209" s="171">
        <v>43128.016967592594</v>
      </c>
      <c r="G209" s="171">
        <v>43128.018217592595</v>
      </c>
      <c r="H209" s="172">
        <f t="shared" si="194"/>
        <v>1.2500000011641532E-3</v>
      </c>
      <c r="I209" s="173">
        <v>44.57</v>
      </c>
      <c r="J209" s="174" t="s">
        <v>260</v>
      </c>
      <c r="K209" s="175" t="s">
        <v>72</v>
      </c>
      <c r="L209" s="175" t="s">
        <v>73</v>
      </c>
      <c r="M209" s="175">
        <v>-369</v>
      </c>
      <c r="N209" s="176">
        <v>1</v>
      </c>
      <c r="O209" s="176">
        <v>200</v>
      </c>
      <c r="P209" s="175">
        <v>347</v>
      </c>
      <c r="Q209" s="175" t="s">
        <v>75</v>
      </c>
      <c r="R209" s="175" t="s">
        <v>341</v>
      </c>
      <c r="S209" s="177"/>
      <c r="T209" s="177"/>
      <c r="U209" s="175">
        <v>983</v>
      </c>
      <c r="V209" s="178">
        <v>-1200</v>
      </c>
      <c r="W209" s="179"/>
      <c r="X209" s="177"/>
      <c r="Y209" s="177"/>
      <c r="Z209" s="177"/>
      <c r="AA209" s="177"/>
      <c r="AB209" s="180"/>
      <c r="AC209" s="174">
        <v>160.1</v>
      </c>
      <c r="AD209" s="177">
        <v>-109.9</v>
      </c>
      <c r="AE209" s="177">
        <v>4.1399999999999997</v>
      </c>
      <c r="AF209" s="177">
        <v>-0.56999999999999995</v>
      </c>
      <c r="AG209" s="177">
        <v>109.8</v>
      </c>
      <c r="AH209" s="177">
        <v>-110.1</v>
      </c>
      <c r="AI209" s="177">
        <v>3.51</v>
      </c>
      <c r="AJ209" s="174">
        <v>-0.54</v>
      </c>
      <c r="AK209" s="181"/>
      <c r="AL209" s="182" t="s">
        <v>337</v>
      </c>
      <c r="AM209" s="183"/>
      <c r="AN209" s="182"/>
      <c r="AO209" s="191"/>
      <c r="AP209" s="192"/>
      <c r="AQ209" s="193"/>
      <c r="AR209" s="186"/>
      <c r="AS209" s="187"/>
      <c r="AT209" s="188"/>
      <c r="AU209" s="187"/>
      <c r="AV209" s="187"/>
      <c r="AW209" s="177"/>
      <c r="AX209" s="177"/>
      <c r="AY209" s="177"/>
      <c r="AZ209" s="177"/>
      <c r="BA209" s="187"/>
      <c r="BB209" s="180"/>
      <c r="BC209" s="189"/>
      <c r="BD209" s="189"/>
      <c r="BE209" s="189"/>
      <c r="BF209" s="189"/>
      <c r="BG209" s="189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  <c r="BR209" s="189"/>
    </row>
    <row r="210" spans="1:70" s="190" customFormat="1">
      <c r="A210" s="176">
        <v>208</v>
      </c>
      <c r="F210" s="171">
        <v>43128.01840277778</v>
      </c>
      <c r="G210" s="171">
        <v>43128.01966435185</v>
      </c>
      <c r="H210" s="172">
        <f t="shared" si="194"/>
        <v>1.261574070667848E-3</v>
      </c>
      <c r="I210" s="173">
        <v>44.57</v>
      </c>
      <c r="J210" s="174" t="s">
        <v>260</v>
      </c>
      <c r="K210" s="175" t="s">
        <v>72</v>
      </c>
      <c r="L210" s="175" t="s">
        <v>73</v>
      </c>
      <c r="M210" s="175">
        <v>-369</v>
      </c>
      <c r="N210" s="176">
        <v>1</v>
      </c>
      <c r="O210" s="176">
        <v>200</v>
      </c>
      <c r="P210" s="175">
        <v>347</v>
      </c>
      <c r="Q210" s="175" t="s">
        <v>75</v>
      </c>
      <c r="R210" s="175" t="s">
        <v>341</v>
      </c>
      <c r="S210" s="177"/>
      <c r="T210" s="177"/>
      <c r="U210" s="175">
        <v>983</v>
      </c>
      <c r="V210" s="178">
        <v>-900</v>
      </c>
      <c r="W210" s="179"/>
      <c r="X210" s="177"/>
      <c r="Y210" s="177"/>
      <c r="Z210" s="177"/>
      <c r="AA210" s="177"/>
      <c r="AB210" s="180"/>
      <c r="AC210" s="174">
        <v>160.1</v>
      </c>
      <c r="AD210" s="177">
        <v>-109.9</v>
      </c>
      <c r="AE210" s="177">
        <v>4.1399999999999997</v>
      </c>
      <c r="AF210" s="177">
        <v>-0.56999999999999995</v>
      </c>
      <c r="AG210" s="177">
        <v>109.8</v>
      </c>
      <c r="AH210" s="177">
        <v>-110.1</v>
      </c>
      <c r="AI210" s="177">
        <v>3.51</v>
      </c>
      <c r="AJ210" s="174">
        <v>-0.54</v>
      </c>
      <c r="AK210" s="181"/>
      <c r="AL210" s="182" t="s">
        <v>338</v>
      </c>
      <c r="AM210" s="183"/>
      <c r="AN210" s="182"/>
      <c r="AO210" s="191"/>
      <c r="AP210" s="192"/>
      <c r="AQ210" s="193"/>
      <c r="AR210" s="186"/>
      <c r="AS210" s="187"/>
      <c r="AT210" s="188"/>
      <c r="AU210" s="187"/>
      <c r="AV210" s="187"/>
      <c r="AW210" s="177"/>
      <c r="AX210" s="177"/>
      <c r="AY210" s="177"/>
      <c r="AZ210" s="177"/>
      <c r="BA210" s="187"/>
      <c r="BB210" s="180"/>
      <c r="BC210" s="189"/>
      <c r="BD210" s="189"/>
      <c r="BE210" s="189"/>
      <c r="BF210" s="189"/>
      <c r="BG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  <c r="BR210" s="189"/>
    </row>
    <row r="211" spans="1:70" s="190" customFormat="1">
      <c r="A211" s="176">
        <v>209</v>
      </c>
      <c r="F211" s="171">
        <v>43128.019826388889</v>
      </c>
      <c r="G211" s="171">
        <v>43128.021053240744</v>
      </c>
      <c r="H211" s="172">
        <f t="shared" si="194"/>
        <v>1.2268518548808061E-3</v>
      </c>
      <c r="I211" s="173">
        <v>44.57</v>
      </c>
      <c r="J211" s="174" t="s">
        <v>260</v>
      </c>
      <c r="K211" s="175" t="s">
        <v>72</v>
      </c>
      <c r="L211" s="175" t="s">
        <v>73</v>
      </c>
      <c r="M211" s="175">
        <v>-369</v>
      </c>
      <c r="N211" s="176">
        <v>1</v>
      </c>
      <c r="O211" s="176">
        <v>200</v>
      </c>
      <c r="P211" s="175">
        <v>347</v>
      </c>
      <c r="Q211" s="175" t="s">
        <v>75</v>
      </c>
      <c r="R211" s="175" t="s">
        <v>341</v>
      </c>
      <c r="S211" s="177"/>
      <c r="T211" s="177"/>
      <c r="U211" s="175">
        <v>983</v>
      </c>
      <c r="V211" s="178">
        <v>-600</v>
      </c>
      <c r="W211" s="179"/>
      <c r="X211" s="177"/>
      <c r="Y211" s="177"/>
      <c r="Z211" s="177"/>
      <c r="AA211" s="177"/>
      <c r="AB211" s="180"/>
      <c r="AC211" s="174">
        <v>160.1</v>
      </c>
      <c r="AD211" s="177">
        <v>-109.9</v>
      </c>
      <c r="AE211" s="177">
        <v>4.1399999999999997</v>
      </c>
      <c r="AF211" s="177">
        <v>-0.56999999999999995</v>
      </c>
      <c r="AG211" s="177">
        <v>109.8</v>
      </c>
      <c r="AH211" s="177">
        <v>-110.1</v>
      </c>
      <c r="AI211" s="177">
        <v>3.51</v>
      </c>
      <c r="AJ211" s="174">
        <v>-0.54</v>
      </c>
      <c r="AK211" s="181"/>
      <c r="AL211" s="182" t="s">
        <v>339</v>
      </c>
      <c r="AM211" s="183"/>
      <c r="AN211" s="182"/>
      <c r="AO211" s="191"/>
      <c r="AP211" s="192"/>
      <c r="AQ211" s="193"/>
      <c r="AR211" s="186"/>
      <c r="AS211" s="187"/>
      <c r="AT211" s="188"/>
      <c r="AU211" s="187"/>
      <c r="AV211" s="187"/>
      <c r="AW211" s="177"/>
      <c r="AX211" s="177"/>
      <c r="AY211" s="177"/>
      <c r="AZ211" s="177"/>
      <c r="BA211" s="187"/>
      <c r="BB211" s="180"/>
      <c r="BC211" s="189"/>
      <c r="BD211" s="189"/>
      <c r="BE211" s="189"/>
      <c r="BF211" s="189"/>
      <c r="BG211" s="189"/>
      <c r="BH211" s="189"/>
      <c r="BI211" s="189"/>
      <c r="BJ211" s="189"/>
      <c r="BK211" s="189"/>
      <c r="BL211" s="189"/>
      <c r="BM211" s="189"/>
      <c r="BN211" s="189"/>
      <c r="BO211" s="189"/>
      <c r="BP211" s="189"/>
      <c r="BQ211" s="189"/>
      <c r="BR211" s="189"/>
    </row>
    <row r="212" spans="1:70" s="190" customFormat="1">
      <c r="A212" s="176">
        <v>210</v>
      </c>
      <c r="F212" s="171">
        <v>43128.021180555559</v>
      </c>
      <c r="G212" s="171">
        <v>43128.02238425926</v>
      </c>
      <c r="H212" s="172">
        <f t="shared" si="194"/>
        <v>1.2037037013215013E-3</v>
      </c>
      <c r="I212" s="173">
        <v>44.57</v>
      </c>
      <c r="J212" s="174" t="s">
        <v>260</v>
      </c>
      <c r="K212" s="175" t="s">
        <v>72</v>
      </c>
      <c r="L212" s="175" t="s">
        <v>73</v>
      </c>
      <c r="M212" s="175">
        <v>-369</v>
      </c>
      <c r="N212" s="176">
        <v>1</v>
      </c>
      <c r="O212" s="176">
        <v>200</v>
      </c>
      <c r="P212" s="175">
        <v>347</v>
      </c>
      <c r="Q212" s="175" t="s">
        <v>75</v>
      </c>
      <c r="R212" s="175" t="s">
        <v>341</v>
      </c>
      <c r="S212" s="177"/>
      <c r="T212" s="177"/>
      <c r="U212" s="175">
        <v>983</v>
      </c>
      <c r="V212" s="178">
        <v>-300</v>
      </c>
      <c r="W212" s="179"/>
      <c r="X212" s="177"/>
      <c r="Y212" s="177"/>
      <c r="Z212" s="177"/>
      <c r="AA212" s="177"/>
      <c r="AB212" s="180"/>
      <c r="AC212" s="174">
        <v>160.1</v>
      </c>
      <c r="AD212" s="177">
        <v>-109.9</v>
      </c>
      <c r="AE212" s="177">
        <v>4.1399999999999997</v>
      </c>
      <c r="AF212" s="177">
        <v>-0.56999999999999995</v>
      </c>
      <c r="AG212" s="177">
        <v>109.8</v>
      </c>
      <c r="AH212" s="177">
        <v>-110.1</v>
      </c>
      <c r="AI212" s="177">
        <v>3.51</v>
      </c>
      <c r="AJ212" s="174">
        <v>-0.54</v>
      </c>
      <c r="AK212" s="181"/>
      <c r="AL212" s="182" t="s">
        <v>340</v>
      </c>
      <c r="AM212" s="183"/>
      <c r="AN212" s="182"/>
      <c r="AO212" s="191"/>
      <c r="AP212" s="192"/>
      <c r="AQ212" s="193"/>
      <c r="AR212" s="186"/>
      <c r="AS212" s="187"/>
      <c r="AT212" s="188"/>
      <c r="AU212" s="187"/>
      <c r="AV212" s="187"/>
      <c r="AW212" s="177"/>
      <c r="AX212" s="177"/>
      <c r="AY212" s="177"/>
      <c r="AZ212" s="177"/>
      <c r="BA212" s="187"/>
      <c r="BB212" s="180"/>
      <c r="BC212" s="189"/>
      <c r="BD212" s="189"/>
      <c r="BE212" s="189"/>
      <c r="BF212" s="189"/>
      <c r="BG212" s="189"/>
      <c r="BH212" s="189"/>
      <c r="BI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</row>
    <row r="213" spans="1:70" s="190" customFormat="1">
      <c r="A213" s="176">
        <v>211</v>
      </c>
      <c r="F213" s="171">
        <v>43128.022615740738</v>
      </c>
      <c r="G213" s="171">
        <v>43128.023877314816</v>
      </c>
      <c r="H213" s="172">
        <f t="shared" si="194"/>
        <v>1.2615740779438056E-3</v>
      </c>
      <c r="I213" s="173">
        <v>44.57</v>
      </c>
      <c r="J213" s="174" t="s">
        <v>260</v>
      </c>
      <c r="K213" s="175" t="s">
        <v>72</v>
      </c>
      <c r="L213" s="175" t="s">
        <v>73</v>
      </c>
      <c r="M213" s="175">
        <v>-369</v>
      </c>
      <c r="N213" s="176">
        <v>1</v>
      </c>
      <c r="O213" s="176">
        <v>200</v>
      </c>
      <c r="P213" s="175">
        <v>347</v>
      </c>
      <c r="Q213" s="175" t="s">
        <v>75</v>
      </c>
      <c r="R213" s="175" t="s">
        <v>341</v>
      </c>
      <c r="S213" s="177"/>
      <c r="T213" s="177"/>
      <c r="U213" s="175">
        <v>983</v>
      </c>
      <c r="V213" s="178">
        <v>0</v>
      </c>
      <c r="W213" s="179"/>
      <c r="X213" s="177"/>
      <c r="Y213" s="177"/>
      <c r="Z213" s="177"/>
      <c r="AA213" s="177"/>
      <c r="AB213" s="180"/>
      <c r="AC213" s="174">
        <v>160.1</v>
      </c>
      <c r="AD213" s="177">
        <v>-109.9</v>
      </c>
      <c r="AE213" s="177">
        <v>4.1399999999999997</v>
      </c>
      <c r="AF213" s="177">
        <v>-0.56999999999999995</v>
      </c>
      <c r="AG213" s="177">
        <v>109.8</v>
      </c>
      <c r="AH213" s="177">
        <v>-110.1</v>
      </c>
      <c r="AI213" s="177">
        <v>3.51</v>
      </c>
      <c r="AJ213" s="174">
        <v>-0.54</v>
      </c>
      <c r="AK213" s="181"/>
      <c r="AL213" s="182" t="s">
        <v>246</v>
      </c>
      <c r="AM213" s="183"/>
      <c r="AN213" s="182"/>
      <c r="AO213" s="191"/>
      <c r="AP213" s="192"/>
      <c r="AQ213" s="193"/>
      <c r="AR213" s="186"/>
      <c r="AS213" s="187"/>
      <c r="AT213" s="188"/>
      <c r="AU213" s="187"/>
      <c r="AV213" s="187"/>
      <c r="AW213" s="177"/>
      <c r="AX213" s="177"/>
      <c r="AY213" s="177"/>
      <c r="AZ213" s="177"/>
      <c r="BA213" s="187"/>
      <c r="BB213" s="180"/>
      <c r="BC213" s="189"/>
      <c r="BD213" s="189"/>
      <c r="BE213" s="189"/>
      <c r="BF213" s="189"/>
      <c r="BG213" s="189"/>
      <c r="BH213" s="189"/>
      <c r="BI213" s="189"/>
      <c r="BJ213" s="189"/>
      <c r="BK213" s="189"/>
      <c r="BL213" s="189"/>
      <c r="BM213" s="189"/>
      <c r="BN213" s="189"/>
      <c r="BO213" s="189"/>
      <c r="BP213" s="189"/>
      <c r="BQ213" s="189"/>
      <c r="BR213" s="189"/>
    </row>
    <row r="214" spans="1:70" s="190" customFormat="1">
      <c r="A214" s="176">
        <v>212</v>
      </c>
      <c r="F214" s="171">
        <v>43128.024236111109</v>
      </c>
      <c r="G214" s="171">
        <v>43128.025509259256</v>
      </c>
      <c r="H214" s="172">
        <f t="shared" si="194"/>
        <v>1.2731481474475004E-3</v>
      </c>
      <c r="I214" s="173">
        <v>44.57</v>
      </c>
      <c r="J214" s="174" t="s">
        <v>260</v>
      </c>
      <c r="K214" s="175" t="s">
        <v>72</v>
      </c>
      <c r="L214" s="175" t="s">
        <v>73</v>
      </c>
      <c r="M214" s="175">
        <v>-369</v>
      </c>
      <c r="N214" s="176">
        <v>1</v>
      </c>
      <c r="O214" s="176">
        <v>200</v>
      </c>
      <c r="P214" s="175">
        <v>347</v>
      </c>
      <c r="Q214" s="175" t="s">
        <v>75</v>
      </c>
      <c r="R214" s="175" t="s">
        <v>341</v>
      </c>
      <c r="S214" s="177"/>
      <c r="T214" s="177"/>
      <c r="U214" s="175">
        <v>983</v>
      </c>
      <c r="V214" s="178">
        <v>350</v>
      </c>
      <c r="W214" s="179"/>
      <c r="X214" s="177"/>
      <c r="Y214" s="177"/>
      <c r="Z214" s="177"/>
      <c r="AA214" s="177"/>
      <c r="AB214" s="180"/>
      <c r="AC214" s="174">
        <v>160.1</v>
      </c>
      <c r="AD214" s="177">
        <v>-109.9</v>
      </c>
      <c r="AE214" s="177">
        <v>4.1399999999999997</v>
      </c>
      <c r="AF214" s="177">
        <v>-0.56999999999999995</v>
      </c>
      <c r="AG214" s="177">
        <v>109.8</v>
      </c>
      <c r="AH214" s="177">
        <v>-110.1</v>
      </c>
      <c r="AI214" s="177">
        <v>3.51</v>
      </c>
      <c r="AJ214" s="174">
        <v>-0.54</v>
      </c>
      <c r="AK214" s="181"/>
      <c r="AL214" s="182" t="s">
        <v>247</v>
      </c>
      <c r="AM214" s="183"/>
      <c r="AN214" s="182"/>
      <c r="AO214" s="191"/>
      <c r="AP214" s="192"/>
      <c r="AQ214" s="193"/>
      <c r="AR214" s="186"/>
      <c r="AS214" s="187"/>
      <c r="AT214" s="188"/>
      <c r="AU214" s="187"/>
      <c r="AV214" s="187"/>
      <c r="AW214" s="177"/>
      <c r="AX214" s="177"/>
      <c r="AY214" s="177"/>
      <c r="AZ214" s="177"/>
      <c r="BA214" s="187"/>
      <c r="BB214" s="180"/>
      <c r="BC214" s="189"/>
      <c r="BD214" s="189"/>
      <c r="BE214" s="189"/>
      <c r="BF214" s="189"/>
      <c r="BG214" s="189"/>
      <c r="BH214" s="189"/>
      <c r="BI214" s="189"/>
      <c r="BJ214" s="189"/>
      <c r="BK214" s="189"/>
      <c r="BL214" s="189"/>
      <c r="BM214" s="189"/>
      <c r="BN214" s="189"/>
      <c r="BO214" s="189"/>
      <c r="BP214" s="189"/>
      <c r="BQ214" s="189"/>
      <c r="BR214" s="189"/>
    </row>
    <row r="215" spans="1:70" s="190" customFormat="1">
      <c r="A215" s="176">
        <v>213</v>
      </c>
      <c r="F215" s="171">
        <v>43128.025659722225</v>
      </c>
      <c r="G215" s="171">
        <v>43128.026886574073</v>
      </c>
      <c r="H215" s="172">
        <f t="shared" si="194"/>
        <v>1.2268518476048484E-3</v>
      </c>
      <c r="I215" s="173">
        <v>44.57</v>
      </c>
      <c r="J215" s="174" t="s">
        <v>260</v>
      </c>
      <c r="K215" s="175" t="s">
        <v>72</v>
      </c>
      <c r="L215" s="175" t="s">
        <v>73</v>
      </c>
      <c r="M215" s="175">
        <v>-369</v>
      </c>
      <c r="N215" s="176">
        <v>1</v>
      </c>
      <c r="O215" s="176">
        <v>200</v>
      </c>
      <c r="P215" s="175">
        <v>347</v>
      </c>
      <c r="Q215" s="175" t="s">
        <v>75</v>
      </c>
      <c r="R215" s="175" t="s">
        <v>341</v>
      </c>
      <c r="S215" s="177"/>
      <c r="T215" s="177"/>
      <c r="U215" s="175">
        <v>983</v>
      </c>
      <c r="V215" s="178">
        <v>700</v>
      </c>
      <c r="W215" s="179"/>
      <c r="X215" s="177"/>
      <c r="Y215" s="177"/>
      <c r="Z215" s="177"/>
      <c r="AA215" s="177"/>
      <c r="AB215" s="180"/>
      <c r="AC215" s="174">
        <v>160.1</v>
      </c>
      <c r="AD215" s="177">
        <v>-109.9</v>
      </c>
      <c r="AE215" s="177">
        <v>4.1399999999999997</v>
      </c>
      <c r="AF215" s="177">
        <v>-0.56999999999999995</v>
      </c>
      <c r="AG215" s="177">
        <v>109.8</v>
      </c>
      <c r="AH215" s="177">
        <v>-110.1</v>
      </c>
      <c r="AI215" s="177">
        <v>3.51</v>
      </c>
      <c r="AJ215" s="174">
        <v>-0.54</v>
      </c>
      <c r="AK215" s="181"/>
      <c r="AL215" s="182" t="s">
        <v>248</v>
      </c>
      <c r="AM215" s="183"/>
      <c r="AN215" s="182"/>
      <c r="AO215" s="191"/>
      <c r="AP215" s="192"/>
      <c r="AQ215" s="193"/>
      <c r="AR215" s="186"/>
      <c r="AS215" s="187"/>
      <c r="AT215" s="188"/>
      <c r="AU215" s="187"/>
      <c r="AV215" s="187"/>
      <c r="AW215" s="177"/>
      <c r="AX215" s="177"/>
      <c r="AY215" s="177"/>
      <c r="AZ215" s="177"/>
      <c r="BA215" s="187"/>
      <c r="BB215" s="180"/>
      <c r="BC215" s="189"/>
      <c r="BD215" s="189"/>
      <c r="BE215" s="189"/>
      <c r="BF215" s="189"/>
      <c r="BG215" s="189"/>
      <c r="BH215" s="189"/>
      <c r="BI215" s="189"/>
      <c r="BJ215" s="189"/>
      <c r="BK215" s="189"/>
      <c r="BL215" s="189"/>
      <c r="BM215" s="189"/>
      <c r="BN215" s="189"/>
      <c r="BO215" s="189"/>
      <c r="BP215" s="189"/>
      <c r="BQ215" s="189"/>
      <c r="BR215" s="189"/>
    </row>
    <row r="216" spans="1:70" s="190" customFormat="1">
      <c r="A216" s="176">
        <v>214</v>
      </c>
      <c r="F216" s="171">
        <v>43128.027118055557</v>
      </c>
      <c r="G216" s="171">
        <v>43128.028333333335</v>
      </c>
      <c r="H216" s="172">
        <f t="shared" si="194"/>
        <v>1.2152777781011537E-3</v>
      </c>
      <c r="I216" s="173">
        <v>44.57</v>
      </c>
      <c r="J216" s="174" t="s">
        <v>260</v>
      </c>
      <c r="K216" s="175" t="s">
        <v>72</v>
      </c>
      <c r="L216" s="175" t="s">
        <v>73</v>
      </c>
      <c r="M216" s="175">
        <v>-369</v>
      </c>
      <c r="N216" s="176">
        <v>1</v>
      </c>
      <c r="O216" s="176">
        <v>200</v>
      </c>
      <c r="P216" s="175">
        <v>347</v>
      </c>
      <c r="Q216" s="175" t="s">
        <v>75</v>
      </c>
      <c r="R216" s="175" t="s">
        <v>341</v>
      </c>
      <c r="S216" s="177"/>
      <c r="T216" s="177"/>
      <c r="U216" s="175">
        <v>983</v>
      </c>
      <c r="V216" s="178">
        <v>1800</v>
      </c>
      <c r="W216" s="179"/>
      <c r="X216" s="177"/>
      <c r="Y216" s="177"/>
      <c r="Z216" s="177"/>
      <c r="AA216" s="177"/>
      <c r="AB216" s="180"/>
      <c r="AC216" s="174">
        <v>160.1</v>
      </c>
      <c r="AD216" s="177">
        <v>-109.9</v>
      </c>
      <c r="AE216" s="177">
        <v>4.1399999999999997</v>
      </c>
      <c r="AF216" s="177">
        <v>-0.56999999999999995</v>
      </c>
      <c r="AG216" s="177">
        <v>109.8</v>
      </c>
      <c r="AH216" s="177">
        <v>-110.1</v>
      </c>
      <c r="AI216" s="177">
        <v>3.51</v>
      </c>
      <c r="AJ216" s="174">
        <v>-0.54</v>
      </c>
      <c r="AK216" s="181"/>
      <c r="AL216" s="182" t="s">
        <v>249</v>
      </c>
      <c r="AM216" s="183"/>
      <c r="AN216" s="182"/>
      <c r="AO216" s="191"/>
      <c r="AP216" s="192"/>
      <c r="AQ216" s="193"/>
      <c r="AR216" s="186"/>
      <c r="AS216" s="187"/>
      <c r="AT216" s="188"/>
      <c r="AU216" s="187"/>
      <c r="AV216" s="187"/>
      <c r="AW216" s="177"/>
      <c r="AX216" s="177"/>
      <c r="AY216" s="177"/>
      <c r="AZ216" s="177"/>
      <c r="BA216" s="187"/>
      <c r="BB216" s="180"/>
      <c r="BC216" s="189"/>
      <c r="BD216" s="189"/>
      <c r="BE216" s="189"/>
      <c r="BF216" s="189"/>
      <c r="BG216" s="189"/>
      <c r="BH216" s="189"/>
      <c r="BI216" s="189"/>
      <c r="BJ216" s="189"/>
      <c r="BK216" s="189"/>
      <c r="BL216" s="189"/>
      <c r="BM216" s="189"/>
      <c r="BN216" s="189"/>
      <c r="BO216" s="189"/>
      <c r="BP216" s="189"/>
      <c r="BQ216" s="189"/>
      <c r="BR216" s="189"/>
    </row>
    <row r="217" spans="1:70" s="190" customFormat="1">
      <c r="A217" s="176">
        <v>215</v>
      </c>
      <c r="F217" s="171">
        <v>43128.028495370374</v>
      </c>
      <c r="G217" s="171">
        <v>43128.029722222222</v>
      </c>
      <c r="H217" s="172">
        <f t="shared" si="194"/>
        <v>1.2268518476048484E-3</v>
      </c>
      <c r="I217" s="173">
        <v>44.57</v>
      </c>
      <c r="J217" s="174" t="s">
        <v>260</v>
      </c>
      <c r="K217" s="175" t="s">
        <v>72</v>
      </c>
      <c r="L217" s="175" t="s">
        <v>73</v>
      </c>
      <c r="M217" s="175">
        <v>-369</v>
      </c>
      <c r="N217" s="176">
        <v>1</v>
      </c>
      <c r="O217" s="176">
        <v>200</v>
      </c>
      <c r="P217" s="175">
        <v>347</v>
      </c>
      <c r="Q217" s="175" t="s">
        <v>75</v>
      </c>
      <c r="R217" s="175" t="s">
        <v>341</v>
      </c>
      <c r="S217" s="177"/>
      <c r="T217" s="177"/>
      <c r="U217" s="175">
        <v>983</v>
      </c>
      <c r="V217" s="178">
        <v>2150</v>
      </c>
      <c r="W217" s="179"/>
      <c r="X217" s="177"/>
      <c r="Y217" s="177"/>
      <c r="Z217" s="177"/>
      <c r="AA217" s="177"/>
      <c r="AB217" s="180"/>
      <c r="AC217" s="174">
        <v>160.1</v>
      </c>
      <c r="AD217" s="177">
        <v>-109.9</v>
      </c>
      <c r="AE217" s="177">
        <v>4.1399999999999997</v>
      </c>
      <c r="AF217" s="177">
        <v>-0.56999999999999995</v>
      </c>
      <c r="AG217" s="177">
        <v>109.8</v>
      </c>
      <c r="AH217" s="177">
        <v>-110.1</v>
      </c>
      <c r="AI217" s="177">
        <v>3.51</v>
      </c>
      <c r="AJ217" s="174">
        <v>-0.54</v>
      </c>
      <c r="AK217" s="181"/>
      <c r="AL217" s="182" t="s">
        <v>342</v>
      </c>
      <c r="AM217" s="183"/>
      <c r="AN217" s="182"/>
      <c r="AO217" s="191"/>
      <c r="AP217" s="192"/>
      <c r="AQ217" s="193"/>
      <c r="AR217" s="186"/>
      <c r="AS217" s="187"/>
      <c r="AT217" s="188"/>
      <c r="AU217" s="187"/>
      <c r="AV217" s="187"/>
      <c r="AW217" s="177"/>
      <c r="AX217" s="177"/>
      <c r="AY217" s="177"/>
      <c r="AZ217" s="177"/>
      <c r="BA217" s="187"/>
      <c r="BB217" s="180"/>
      <c r="BC217" s="189"/>
      <c r="BD217" s="189"/>
      <c r="BE217" s="189"/>
      <c r="BF217" s="189"/>
      <c r="BG217" s="189"/>
      <c r="BH217" s="189"/>
      <c r="BI217" s="189"/>
      <c r="BJ217" s="189"/>
      <c r="BK217" s="189"/>
      <c r="BL217" s="189"/>
      <c r="BM217" s="189"/>
      <c r="BN217" s="189"/>
      <c r="BO217" s="189"/>
      <c r="BP217" s="189"/>
      <c r="BQ217" s="189"/>
      <c r="BR217" s="189"/>
    </row>
    <row r="218" spans="1:70" s="190" customFormat="1">
      <c r="A218" s="176">
        <v>216</v>
      </c>
      <c r="F218" s="171">
        <v>43128.030173611114</v>
      </c>
      <c r="G218" s="171">
        <v>43128.033206018517</v>
      </c>
      <c r="H218" s="172">
        <f t="shared" si="194"/>
        <v>3.0324074032250792E-3</v>
      </c>
      <c r="I218" s="173">
        <v>44.57</v>
      </c>
      <c r="J218" s="174" t="s">
        <v>260</v>
      </c>
      <c r="K218" s="175" t="s">
        <v>72</v>
      </c>
      <c r="L218" s="175" t="s">
        <v>73</v>
      </c>
      <c r="M218" s="175">
        <v>-369</v>
      </c>
      <c r="N218" s="176">
        <v>1</v>
      </c>
      <c r="O218" s="176">
        <v>200</v>
      </c>
      <c r="P218" s="175">
        <v>347</v>
      </c>
      <c r="Q218" s="175" t="s">
        <v>75</v>
      </c>
      <c r="R218" s="175" t="s">
        <v>286</v>
      </c>
      <c r="S218" s="177"/>
      <c r="T218" s="177"/>
      <c r="U218" s="175">
        <v>983</v>
      </c>
      <c r="V218" s="178">
        <v>1500</v>
      </c>
      <c r="W218" s="179">
        <v>10</v>
      </c>
      <c r="X218" s="177">
        <v>43525</v>
      </c>
      <c r="Y218" s="177">
        <v>770109</v>
      </c>
      <c r="Z218" s="177">
        <v>6203733</v>
      </c>
      <c r="AA218" s="177">
        <v>1923477</v>
      </c>
      <c r="AB218" s="180">
        <v>4300277</v>
      </c>
      <c r="AC218" s="174">
        <v>160.1</v>
      </c>
      <c r="AD218" s="177">
        <v>-109.9</v>
      </c>
      <c r="AE218" s="177">
        <v>4.1399999999999997</v>
      </c>
      <c r="AF218" s="177">
        <v>-0.56999999999999995</v>
      </c>
      <c r="AG218" s="177">
        <v>109.8</v>
      </c>
      <c r="AH218" s="177">
        <v>-110.1</v>
      </c>
      <c r="AI218" s="177">
        <v>3.51</v>
      </c>
      <c r="AJ218" s="174">
        <v>-0.54</v>
      </c>
      <c r="AK218" s="181"/>
      <c r="AL218" s="182" t="s">
        <v>181</v>
      </c>
      <c r="AM218" s="183"/>
      <c r="AN218" s="182"/>
      <c r="AO218" s="191"/>
      <c r="AP218" s="192"/>
      <c r="AQ218" s="193"/>
      <c r="AR218" s="186"/>
      <c r="AS218" s="187"/>
      <c r="AT218" s="188"/>
      <c r="AU218" s="187"/>
      <c r="AV218" s="187"/>
      <c r="AW218" s="177"/>
      <c r="AX218" s="177"/>
      <c r="AY218" s="177"/>
      <c r="AZ218" s="177"/>
      <c r="BA218" s="187"/>
      <c r="BB218" s="180"/>
      <c r="BC218" s="189"/>
      <c r="BD218" s="189"/>
      <c r="BE218" s="189"/>
      <c r="BF218" s="189"/>
      <c r="BG218" s="189"/>
      <c r="BH218" s="189"/>
      <c r="BI218" s="189"/>
      <c r="BJ218" s="189"/>
      <c r="BK218" s="189"/>
      <c r="BL218" s="189"/>
      <c r="BM218" s="189"/>
      <c r="BN218" s="189"/>
      <c r="BO218" s="189"/>
      <c r="BP218" s="189"/>
      <c r="BQ218" s="189"/>
      <c r="BR218" s="189"/>
    </row>
    <row r="219" spans="1:70">
      <c r="A219" s="108">
        <v>217</v>
      </c>
      <c r="F219" s="45">
        <v>43128.034456018519</v>
      </c>
      <c r="G219" s="45">
        <v>43128.042222222219</v>
      </c>
      <c r="H219" s="53">
        <f t="shared" si="194"/>
        <v>7.7662037001573481E-3</v>
      </c>
      <c r="I219" s="86">
        <v>44.56</v>
      </c>
      <c r="J219" s="109" t="s">
        <v>260</v>
      </c>
      <c r="K219" s="88" t="s">
        <v>72</v>
      </c>
      <c r="L219" s="88" t="s">
        <v>73</v>
      </c>
      <c r="M219" s="88">
        <v>-369</v>
      </c>
      <c r="N219" s="108">
        <v>1</v>
      </c>
      <c r="O219" s="108">
        <v>200</v>
      </c>
      <c r="P219" s="88">
        <v>347</v>
      </c>
      <c r="Q219" s="88" t="s">
        <v>75</v>
      </c>
      <c r="R219" s="88" t="s">
        <v>348</v>
      </c>
      <c r="S219" s="110">
        <v>9412</v>
      </c>
      <c r="T219" s="110">
        <v>861</v>
      </c>
      <c r="U219" s="88">
        <v>983</v>
      </c>
      <c r="V219" s="90">
        <v>1500</v>
      </c>
      <c r="W219" s="111">
        <v>10</v>
      </c>
      <c r="X219" s="110">
        <v>43964</v>
      </c>
      <c r="Y219" s="110">
        <v>770351</v>
      </c>
      <c r="Z219" s="110">
        <v>6197523</v>
      </c>
      <c r="AA219" s="110">
        <v>1925978</v>
      </c>
      <c r="AB219" s="112">
        <v>4290805</v>
      </c>
      <c r="AC219" s="109">
        <v>160.1</v>
      </c>
      <c r="AD219" s="110">
        <v>-109.9</v>
      </c>
      <c r="AE219" s="110">
        <v>4.1399999999999997</v>
      </c>
      <c r="AF219" s="110">
        <v>-0.56999999999999995</v>
      </c>
      <c r="AG219" s="110">
        <v>109.8</v>
      </c>
      <c r="AH219" s="110">
        <v>-110.1</v>
      </c>
      <c r="AI219" s="110">
        <v>3.5</v>
      </c>
      <c r="AJ219" s="109">
        <v>-0.55000000000000004</v>
      </c>
      <c r="AK219" s="113" t="s">
        <v>59</v>
      </c>
      <c r="AL219" s="107" t="s">
        <v>349</v>
      </c>
      <c r="AN219" s="107">
        <f>AN220</f>
        <v>0.95899999999999996</v>
      </c>
      <c r="AO219" s="48">
        <f t="shared" ref="AO219:AO220" si="195">(HOUR(H219)*60*60+MINUTE(H219)*60+SECOND(H219))/5.2*AA219/W219*AN219</f>
        <v>23833570.331576925</v>
      </c>
      <c r="AP219" s="156">
        <f t="shared" ref="AP219:AP220" si="196">AO219*0.7</f>
        <v>16683499.232103847</v>
      </c>
      <c r="AQ219" s="161">
        <f>AP219+AQ204</f>
        <v>1865112100.5211487</v>
      </c>
      <c r="AR219" s="163">
        <f>H219+AR204</f>
        <v>1.0798148147875437</v>
      </c>
      <c r="AS219" s="49">
        <f t="shared" ref="AS219:AS220" si="197">I219*(HOUR(H219)*60+MINUTE(H219))/60/(7*24)</f>
        <v>4.862698412698413E-2</v>
      </c>
      <c r="AT219" s="165">
        <f>AS219+AT204</f>
        <v>5.524247023809524</v>
      </c>
      <c r="AU219" s="254">
        <f t="shared" ref="AU219:AU273" si="198">AA219/W219*AN219</f>
        <v>184701.29019999999</v>
      </c>
      <c r="AV219" s="255">
        <f t="shared" ref="AV219:AV273" si="199">AB219/W219+AA219/W219*(1-AN219)</f>
        <v>436977.0098</v>
      </c>
      <c r="AW219" s="256">
        <f t="shared" ref="AW219:AW273" si="200">AU219/AV219</f>
        <v>0.42267965146389719</v>
      </c>
    </row>
    <row r="220" spans="1:70">
      <c r="A220" s="108">
        <v>218</v>
      </c>
      <c r="F220" s="45">
        <v>43128.092060185183</v>
      </c>
      <c r="G220" s="45">
        <v>43128.13354166667</v>
      </c>
      <c r="H220" s="53">
        <f t="shared" si="194"/>
        <v>4.1481481486698613E-2</v>
      </c>
      <c r="I220" s="86">
        <v>44.64</v>
      </c>
      <c r="J220" s="109" t="s">
        <v>260</v>
      </c>
      <c r="K220" s="88" t="s">
        <v>72</v>
      </c>
      <c r="L220" s="88" t="s">
        <v>73</v>
      </c>
      <c r="M220" s="88">
        <v>-369</v>
      </c>
      <c r="N220" s="108">
        <v>1</v>
      </c>
      <c r="O220" s="108">
        <v>200</v>
      </c>
      <c r="P220" s="88">
        <v>347</v>
      </c>
      <c r="Q220" s="88" t="s">
        <v>75</v>
      </c>
      <c r="R220" s="88" t="s">
        <v>348</v>
      </c>
      <c r="S220" s="110">
        <v>8966</v>
      </c>
      <c r="T220" s="110">
        <v>851</v>
      </c>
      <c r="U220" s="88">
        <v>983</v>
      </c>
      <c r="V220" s="90">
        <v>1500</v>
      </c>
      <c r="W220" s="111">
        <v>10</v>
      </c>
      <c r="X220" s="110">
        <v>43635</v>
      </c>
      <c r="Y220" s="110">
        <v>770302</v>
      </c>
      <c r="Z220" s="110">
        <v>6219071</v>
      </c>
      <c r="AA220" s="110">
        <v>1930083</v>
      </c>
      <c r="AB220" s="112">
        <v>4308229</v>
      </c>
      <c r="AC220" s="109">
        <v>160.1</v>
      </c>
      <c r="AD220" s="110">
        <v>-109.9</v>
      </c>
      <c r="AE220" s="110">
        <v>4.1399999999999997</v>
      </c>
      <c r="AF220" s="110">
        <v>-0.56999999999999995</v>
      </c>
      <c r="AG220" s="110">
        <v>109.8</v>
      </c>
      <c r="AH220" s="110">
        <v>-110.1</v>
      </c>
      <c r="AI220" s="110">
        <v>3.5</v>
      </c>
      <c r="AJ220" s="109">
        <v>-0.54</v>
      </c>
      <c r="AK220" s="113" t="s">
        <v>59</v>
      </c>
      <c r="AL220" s="107" t="s">
        <v>181</v>
      </c>
      <c r="AN220" s="107">
        <v>0.95899999999999996</v>
      </c>
      <c r="AO220" s="48">
        <f t="shared" si="195"/>
        <v>127573141.45476921</v>
      </c>
      <c r="AP220" s="156">
        <f t="shared" si="196"/>
        <v>89301199.018338442</v>
      </c>
      <c r="AQ220" s="161">
        <f t="shared" ref="AQ220" si="201">AP220+AQ219</f>
        <v>1954413299.5394871</v>
      </c>
      <c r="AR220" s="163">
        <f t="shared" ref="AR220" si="202">H220+AR219</f>
        <v>1.1212962962742423</v>
      </c>
      <c r="AS220" s="49">
        <f t="shared" si="197"/>
        <v>0.26128571428571429</v>
      </c>
      <c r="AT220" s="165">
        <f t="shared" ref="AT220" si="203">AS220+AT219</f>
        <v>5.7855327380952382</v>
      </c>
      <c r="AU220" s="254">
        <f t="shared" si="198"/>
        <v>185094.95969999998</v>
      </c>
      <c r="AV220" s="255">
        <f t="shared" si="199"/>
        <v>438736.2403</v>
      </c>
      <c r="AW220" s="256">
        <f t="shared" si="200"/>
        <v>0.42188208472004807</v>
      </c>
    </row>
    <row r="221" spans="1:70">
      <c r="A221" s="108">
        <v>219</v>
      </c>
      <c r="F221" s="45">
        <v>43128.133576388886</v>
      </c>
      <c r="G221" s="45">
        <v>43128.175787037035</v>
      </c>
      <c r="H221" s="53">
        <f>G221-F221-'user time'!E163</f>
        <v>4.156250000104561E-2</v>
      </c>
      <c r="I221" s="86">
        <v>44.6</v>
      </c>
      <c r="J221" s="109" t="s">
        <v>260</v>
      </c>
      <c r="K221" s="88" t="s">
        <v>72</v>
      </c>
      <c r="L221" s="88" t="s">
        <v>73</v>
      </c>
      <c r="M221" s="88">
        <v>-369</v>
      </c>
      <c r="N221" s="108">
        <v>1</v>
      </c>
      <c r="O221" s="108">
        <v>200</v>
      </c>
      <c r="P221" s="88">
        <v>347</v>
      </c>
      <c r="Q221" s="88" t="s">
        <v>75</v>
      </c>
      <c r="R221" s="88" t="s">
        <v>348</v>
      </c>
      <c r="S221" s="110">
        <v>9262</v>
      </c>
      <c r="T221" s="110">
        <v>834</v>
      </c>
      <c r="U221" s="88">
        <v>983</v>
      </c>
      <c r="V221" s="90">
        <v>1500</v>
      </c>
      <c r="W221" s="111">
        <v>10</v>
      </c>
      <c r="X221" s="110">
        <v>43878</v>
      </c>
      <c r="Y221" s="110">
        <v>770677</v>
      </c>
      <c r="Z221" s="110">
        <v>6212474</v>
      </c>
      <c r="AA221" s="110">
        <v>1928972</v>
      </c>
      <c r="AB221" s="112">
        <v>4302988</v>
      </c>
      <c r="AC221" s="109">
        <v>160.1</v>
      </c>
      <c r="AD221" s="110">
        <v>-109.9</v>
      </c>
      <c r="AE221" s="110">
        <v>4.1500000000000004</v>
      </c>
      <c r="AF221" s="110">
        <v>-0.56999999999999995</v>
      </c>
      <c r="AG221" s="110">
        <v>109.8</v>
      </c>
      <c r="AH221" s="110">
        <v>-110.1</v>
      </c>
      <c r="AI221" s="110">
        <v>3.51</v>
      </c>
      <c r="AJ221" s="109">
        <v>-0.55000000000000004</v>
      </c>
      <c r="AK221" s="113" t="s">
        <v>59</v>
      </c>
      <c r="AL221" s="107" t="s">
        <v>181</v>
      </c>
      <c r="AN221" s="107">
        <v>0.96</v>
      </c>
      <c r="AO221" s="48">
        <f t="shared" ref="AO221" si="204">(HOUR(H221)*60*60+MINUTE(H221)*60+SECOND(H221))/5.2*AA221/W221*AN221</f>
        <v>127881940.65230769</v>
      </c>
      <c r="AP221" s="156">
        <f t="shared" ref="AP221" si="205">AO221*0.7</f>
        <v>89517358.456615373</v>
      </c>
      <c r="AQ221" s="161">
        <f t="shared" ref="AQ221" si="206">AP221+AQ220</f>
        <v>2043930657.9961026</v>
      </c>
      <c r="AR221" s="163">
        <f t="shared" ref="AR221" si="207">H221+AR220</f>
        <v>1.1628587962752879</v>
      </c>
      <c r="AS221" s="49">
        <f t="shared" ref="AS221" si="208">I221*(HOUR(H221)*60+MINUTE(H221))/60/(7*24)</f>
        <v>0.26105158730158734</v>
      </c>
      <c r="AT221" s="165">
        <f t="shared" ref="AT221" si="209">AS221+AT220</f>
        <v>6.0465843253968252</v>
      </c>
      <c r="AU221" s="254">
        <f t="shared" si="198"/>
        <v>185181.31200000001</v>
      </c>
      <c r="AV221" s="255">
        <f t="shared" si="199"/>
        <v>438014.68800000002</v>
      </c>
      <c r="AW221" s="256">
        <f t="shared" si="200"/>
        <v>0.42277420614716921</v>
      </c>
    </row>
    <row r="222" spans="1:70">
      <c r="A222" s="108">
        <v>220</v>
      </c>
      <c r="F222" s="45">
        <v>43128.175833333335</v>
      </c>
      <c r="G222" s="45">
        <v>43128.217499999999</v>
      </c>
      <c r="H222" s="53">
        <f>G222-F222-'user time'!E164-'user time'!E165</f>
        <v>4.0729166664241367E-2</v>
      </c>
      <c r="I222" s="86">
        <v>44.61</v>
      </c>
      <c r="J222" s="109" t="s">
        <v>260</v>
      </c>
      <c r="K222" s="88" t="s">
        <v>72</v>
      </c>
      <c r="L222" s="88" t="s">
        <v>73</v>
      </c>
      <c r="M222" s="88">
        <v>-369</v>
      </c>
      <c r="N222" s="108">
        <v>1</v>
      </c>
      <c r="O222" s="108">
        <v>200</v>
      </c>
      <c r="P222" s="88">
        <v>347</v>
      </c>
      <c r="Q222" s="88" t="s">
        <v>75</v>
      </c>
      <c r="R222" s="88" t="s">
        <v>348</v>
      </c>
      <c r="S222" s="110">
        <v>9220</v>
      </c>
      <c r="T222" s="110">
        <v>834</v>
      </c>
      <c r="U222" s="88">
        <v>983</v>
      </c>
      <c r="V222" s="90">
        <v>1500</v>
      </c>
      <c r="W222" s="111">
        <v>10</v>
      </c>
      <c r="X222" s="110">
        <v>43916</v>
      </c>
      <c r="Y222" s="110">
        <v>772993</v>
      </c>
      <c r="Z222" s="110">
        <v>6253304</v>
      </c>
      <c r="AA222" s="110">
        <v>1941349</v>
      </c>
      <c r="AB222" s="112">
        <v>4331278</v>
      </c>
      <c r="AC222" s="109">
        <v>160.1</v>
      </c>
      <c r="AD222" s="110">
        <v>-109.9</v>
      </c>
      <c r="AE222" s="110">
        <v>4.1399999999999997</v>
      </c>
      <c r="AF222" s="110">
        <v>-0.56999999999999995</v>
      </c>
      <c r="AG222" s="110">
        <v>109.8</v>
      </c>
      <c r="AH222" s="110">
        <v>-110.1</v>
      </c>
      <c r="AI222" s="110">
        <v>3.5</v>
      </c>
      <c r="AJ222" s="109">
        <v>-0.54</v>
      </c>
      <c r="AK222" s="113" t="s">
        <v>59</v>
      </c>
      <c r="AL222" s="107" t="s">
        <v>351</v>
      </c>
      <c r="AN222" s="107">
        <v>0.96</v>
      </c>
      <c r="AO222" s="48">
        <f t="shared" ref="AO222" si="210">(HOUR(H222)*60*60+MINUTE(H222)*60+SECOND(H222))/5.2*AA222/W222*AN222</f>
        <v>126121977.80307692</v>
      </c>
      <c r="AP222" s="156">
        <f t="shared" ref="AP222" si="211">AO222*0.7</f>
        <v>88285384.462153837</v>
      </c>
      <c r="AQ222" s="161">
        <f t="shared" ref="AQ222" si="212">AP222+AQ221</f>
        <v>2132216042.4582565</v>
      </c>
      <c r="AR222" s="163">
        <f t="shared" ref="AR222" si="213">H222+AR221</f>
        <v>1.2035879629395292</v>
      </c>
      <c r="AS222" s="49">
        <f t="shared" ref="AS222" si="214">I222*(HOUR(H222)*60+MINUTE(H222))/60/(7*24)</f>
        <v>0.25668452380952383</v>
      </c>
      <c r="AT222" s="165">
        <f t="shared" ref="AT222" si="215">AS222+AT221</f>
        <v>6.3032688492063489</v>
      </c>
      <c r="AU222" s="254">
        <f t="shared" si="198"/>
        <v>186369.50399999999</v>
      </c>
      <c r="AV222" s="255">
        <f t="shared" si="199"/>
        <v>440893.196</v>
      </c>
      <c r="AW222" s="256">
        <f t="shared" si="200"/>
        <v>0.42270895920108503</v>
      </c>
    </row>
    <row r="223" spans="1:70">
      <c r="A223" s="108">
        <v>221</v>
      </c>
      <c r="F223" s="45">
        <v>43128.217534722222</v>
      </c>
      <c r="G223" s="45">
        <v>43128.259027777778</v>
      </c>
      <c r="H223" s="53">
        <f t="shared" si="194"/>
        <v>4.1493055556202307E-2</v>
      </c>
      <c r="I223" s="86">
        <v>44.55</v>
      </c>
      <c r="J223" s="109" t="s">
        <v>260</v>
      </c>
      <c r="K223" s="88" t="s">
        <v>72</v>
      </c>
      <c r="L223" s="88" t="s">
        <v>73</v>
      </c>
      <c r="M223" s="88">
        <v>-369</v>
      </c>
      <c r="N223" s="108">
        <v>1</v>
      </c>
      <c r="O223" s="108">
        <v>200</v>
      </c>
      <c r="P223" s="88">
        <v>347</v>
      </c>
      <c r="Q223" s="88" t="s">
        <v>75</v>
      </c>
      <c r="R223" s="88" t="s">
        <v>348</v>
      </c>
      <c r="S223" s="110">
        <v>8978</v>
      </c>
      <c r="T223" s="110">
        <v>809</v>
      </c>
      <c r="U223" s="88">
        <v>983</v>
      </c>
      <c r="V223" s="90">
        <v>1500</v>
      </c>
      <c r="W223" s="111">
        <v>10</v>
      </c>
      <c r="X223" s="110">
        <v>43947</v>
      </c>
      <c r="Y223" s="110">
        <v>770612</v>
      </c>
      <c r="Z223" s="110">
        <v>6198052</v>
      </c>
      <c r="AA223" s="110">
        <v>1921713</v>
      </c>
      <c r="AB223" s="112">
        <v>4295559</v>
      </c>
      <c r="AC223" s="109">
        <v>160.1</v>
      </c>
      <c r="AD223" s="110">
        <v>-109.9</v>
      </c>
      <c r="AE223" s="110">
        <v>4.1399999999999997</v>
      </c>
      <c r="AF223" s="110">
        <v>-0.56999999999999995</v>
      </c>
      <c r="AG223" s="110">
        <v>109.8</v>
      </c>
      <c r="AH223" s="110">
        <v>-110.1</v>
      </c>
      <c r="AI223" s="110">
        <v>3.51</v>
      </c>
      <c r="AJ223" s="109">
        <v>-0.54</v>
      </c>
      <c r="AK223" s="113" t="s">
        <v>59</v>
      </c>
      <c r="AL223" s="107" t="s">
        <v>181</v>
      </c>
      <c r="AN223" s="107">
        <v>0.95699999999999996</v>
      </c>
      <c r="AO223" s="48">
        <f t="shared" ref="AO223" si="216">(HOUR(H223)*60*60+MINUTE(H223)*60+SECOND(H223))/5.2*AA223/W223*AN223</f>
        <v>126790373.79778844</v>
      </c>
      <c r="AP223" s="156">
        <f t="shared" ref="AP223" si="217">AO223*0.7</f>
        <v>88753261.6584519</v>
      </c>
      <c r="AQ223" s="161">
        <f t="shared" ref="AQ223" si="218">AP223+AQ222</f>
        <v>2220969304.1167083</v>
      </c>
      <c r="AR223" s="163">
        <f t="shared" ref="AR223" si="219">H223+AR222</f>
        <v>1.2450810184957315</v>
      </c>
      <c r="AS223" s="49">
        <f t="shared" ref="AS223" si="220">I223*(HOUR(H223)*60+MINUTE(H223))/60/(7*24)</f>
        <v>0.26075892857142857</v>
      </c>
      <c r="AT223" s="165">
        <f t="shared" ref="AT223" si="221">AS223+AT222</f>
        <v>6.5640277777777776</v>
      </c>
      <c r="AU223" s="254">
        <f t="shared" si="198"/>
        <v>183907.93409999998</v>
      </c>
      <c r="AV223" s="255">
        <f t="shared" si="199"/>
        <v>437819.26590000006</v>
      </c>
      <c r="AW223" s="256">
        <f t="shared" si="200"/>
        <v>0.42005445722437762</v>
      </c>
    </row>
    <row r="224" spans="1:70">
      <c r="A224" s="108">
        <v>222</v>
      </c>
      <c r="F224" s="45">
        <v>43128.259074074071</v>
      </c>
      <c r="G224" s="45">
        <v>43128.324097222219</v>
      </c>
      <c r="H224" s="53">
        <f>G224-F224-'user time'!E166</f>
        <v>4.090277777824125E-2</v>
      </c>
      <c r="I224" s="86">
        <v>44.55</v>
      </c>
      <c r="J224" s="109" t="s">
        <v>260</v>
      </c>
      <c r="K224" s="88" t="s">
        <v>72</v>
      </c>
      <c r="L224" s="88" t="s">
        <v>73</v>
      </c>
      <c r="M224" s="88">
        <v>-369</v>
      </c>
      <c r="N224" s="108">
        <v>1</v>
      </c>
      <c r="O224" s="108">
        <v>200</v>
      </c>
      <c r="P224" s="88">
        <v>347</v>
      </c>
      <c r="Q224" s="88" t="s">
        <v>75</v>
      </c>
      <c r="R224" s="88" t="s">
        <v>348</v>
      </c>
      <c r="S224" s="110">
        <v>9410</v>
      </c>
      <c r="T224" s="110">
        <v>859</v>
      </c>
      <c r="U224" s="88">
        <v>983</v>
      </c>
      <c r="V224" s="90">
        <v>1500</v>
      </c>
      <c r="W224" s="111">
        <v>10</v>
      </c>
      <c r="X224" s="110">
        <v>44030</v>
      </c>
      <c r="Y224" s="110">
        <v>769949</v>
      </c>
      <c r="Z224" s="110">
        <v>6233505</v>
      </c>
      <c r="AA224" s="110">
        <v>1934859</v>
      </c>
      <c r="AB224" s="112">
        <v>4318591</v>
      </c>
      <c r="AC224" s="109">
        <v>160.1</v>
      </c>
      <c r="AD224" s="110">
        <v>-109.9</v>
      </c>
      <c r="AE224" s="110">
        <v>4.1500000000000004</v>
      </c>
      <c r="AF224" s="110">
        <v>-0.56999999999999995</v>
      </c>
      <c r="AG224" s="110">
        <v>109.8</v>
      </c>
      <c r="AH224" s="110">
        <v>-110.1</v>
      </c>
      <c r="AI224" s="110">
        <v>3.5</v>
      </c>
      <c r="AJ224" s="109">
        <v>-0.54</v>
      </c>
      <c r="AK224" s="113" t="s">
        <v>59</v>
      </c>
      <c r="AL224" s="107" t="s">
        <v>181</v>
      </c>
      <c r="AN224" s="107">
        <v>0.95599999999999996</v>
      </c>
      <c r="AO224" s="48">
        <f t="shared" ref="AO224" si="222">(HOUR(H224)*60*60+MINUTE(H224)*60+SECOND(H224))/5.2*AA224/W224*AN224</f>
        <v>125710170.59492308</v>
      </c>
      <c r="AP224" s="156">
        <f t="shared" ref="AP224" si="223">AO224*0.7</f>
        <v>87997119.416446149</v>
      </c>
      <c r="AQ224" s="161">
        <f t="shared" ref="AQ224" si="224">AP224+AQ223</f>
        <v>2308966423.5331545</v>
      </c>
      <c r="AR224" s="163">
        <f t="shared" ref="AR224" si="225">H224+AR223</f>
        <v>1.2859837962739729</v>
      </c>
      <c r="AS224" s="49">
        <f t="shared" ref="AS224" si="226">I224*(HOUR(H224)*60+MINUTE(H224))/60/(7*24)</f>
        <v>0.25633928571428566</v>
      </c>
      <c r="AT224" s="165">
        <f t="shared" ref="AT224" si="227">AS224+AT223</f>
        <v>6.8203670634920632</v>
      </c>
      <c r="AU224" s="254">
        <f t="shared" si="198"/>
        <v>184972.52039999998</v>
      </c>
      <c r="AV224" s="255">
        <f t="shared" si="199"/>
        <v>440372.47959999996</v>
      </c>
      <c r="AW224" s="256">
        <f t="shared" si="200"/>
        <v>0.42003651219988725</v>
      </c>
    </row>
    <row r="225" spans="1:49">
      <c r="A225" s="108">
        <v>223</v>
      </c>
      <c r="F225" s="45">
        <v>43128.324143518519</v>
      </c>
      <c r="G225" s="45">
        <v>43128.36614583333</v>
      </c>
      <c r="H225" s="53">
        <f>G225-F225-'user time'!E167</f>
        <v>2.888888888488983E-2</v>
      </c>
      <c r="I225" s="86">
        <v>44.56</v>
      </c>
      <c r="J225" s="109" t="s">
        <v>260</v>
      </c>
      <c r="K225" s="88" t="s">
        <v>72</v>
      </c>
      <c r="L225" s="88" t="s">
        <v>73</v>
      </c>
      <c r="M225" s="88">
        <v>-369</v>
      </c>
      <c r="N225" s="108">
        <v>1</v>
      </c>
      <c r="O225" s="108">
        <v>200</v>
      </c>
      <c r="P225" s="88">
        <v>347</v>
      </c>
      <c r="Q225" s="88" t="s">
        <v>75</v>
      </c>
      <c r="R225" s="88" t="s">
        <v>348</v>
      </c>
      <c r="S225" s="110">
        <v>9232</v>
      </c>
      <c r="T225" s="110">
        <v>833</v>
      </c>
      <c r="U225" s="88">
        <v>983</v>
      </c>
      <c r="V225" s="90">
        <v>1500</v>
      </c>
      <c r="W225" s="111">
        <v>10</v>
      </c>
      <c r="X225" s="110">
        <v>44281</v>
      </c>
      <c r="Y225" s="110">
        <v>771380</v>
      </c>
      <c r="Z225" s="110">
        <v>6190092</v>
      </c>
      <c r="AA225" s="110">
        <v>1929141</v>
      </c>
      <c r="AB225" s="112">
        <v>4280399</v>
      </c>
      <c r="AC225" s="109">
        <v>160.1</v>
      </c>
      <c r="AD225" s="110">
        <v>-109.9</v>
      </c>
      <c r="AE225" s="110">
        <v>4.1500000000000004</v>
      </c>
      <c r="AF225" s="110">
        <v>-0.56999999999999995</v>
      </c>
      <c r="AG225" s="110">
        <v>109.8</v>
      </c>
      <c r="AH225" s="110">
        <v>-110.1</v>
      </c>
      <c r="AI225" s="110">
        <v>3.5</v>
      </c>
      <c r="AJ225" s="109">
        <v>-0.55000000000000004</v>
      </c>
      <c r="AK225" s="113" t="s">
        <v>59</v>
      </c>
      <c r="AL225" s="107" t="s">
        <v>181</v>
      </c>
      <c r="AN225" s="107">
        <v>0.95699999999999996</v>
      </c>
      <c r="AO225" s="48">
        <f t="shared" ref="AO225" si="228">(HOUR(H225)*60*60+MINUTE(H225)*60+SECOND(H225))/5.2*AA225/W225*AN225</f>
        <v>88617020.975999996</v>
      </c>
      <c r="AP225" s="156">
        <f t="shared" ref="AP225" si="229">AO225*0.7</f>
        <v>62031914.683199994</v>
      </c>
      <c r="AQ225" s="161">
        <f t="shared" ref="AQ225" si="230">AP225+AQ224</f>
        <v>2370998338.2163544</v>
      </c>
      <c r="AR225" s="163">
        <f t="shared" ref="AR225" si="231">H225+AR224</f>
        <v>1.3148726851588628</v>
      </c>
      <c r="AS225" s="49">
        <f t="shared" ref="AS225" si="232">I225*(HOUR(H225)*60+MINUTE(H225))/60/(7*24)</f>
        <v>0.18124603174603177</v>
      </c>
      <c r="AT225" s="165">
        <f t="shared" ref="AT225" si="233">AS225+AT224</f>
        <v>7.0016130952380946</v>
      </c>
      <c r="AU225" s="254">
        <f t="shared" si="198"/>
        <v>184618.79370000001</v>
      </c>
      <c r="AV225" s="255">
        <f t="shared" si="199"/>
        <v>436335.20630000002</v>
      </c>
      <c r="AW225" s="256">
        <f t="shared" si="200"/>
        <v>0.42311230227218088</v>
      </c>
    </row>
    <row r="226" spans="1:49">
      <c r="A226" s="108">
        <v>224</v>
      </c>
      <c r="F226" s="45">
        <v>43128.366157407407</v>
      </c>
      <c r="G226" s="45">
        <v>43128.407141203701</v>
      </c>
      <c r="H226" s="53">
        <f>G226-F226-'user time'!E168-'user time'!E169-'user time'!E170</f>
        <v>3.9768518516535012E-2</v>
      </c>
      <c r="I226" s="86">
        <v>44.51</v>
      </c>
      <c r="J226" s="109" t="s">
        <v>260</v>
      </c>
      <c r="K226" s="88" t="s">
        <v>72</v>
      </c>
      <c r="L226" s="88" t="s">
        <v>73</v>
      </c>
      <c r="M226" s="88">
        <v>-369</v>
      </c>
      <c r="N226" s="108">
        <v>1</v>
      </c>
      <c r="O226" s="108">
        <v>200</v>
      </c>
      <c r="P226" s="88">
        <v>347</v>
      </c>
      <c r="Q226" s="88" t="s">
        <v>75</v>
      </c>
      <c r="R226" s="88" t="s">
        <v>348</v>
      </c>
      <c r="S226" s="110">
        <v>9200</v>
      </c>
      <c r="T226" s="110">
        <v>870</v>
      </c>
      <c r="U226" s="88">
        <v>983</v>
      </c>
      <c r="V226" s="90">
        <v>1500</v>
      </c>
      <c r="W226" s="111">
        <v>10</v>
      </c>
      <c r="X226" s="110">
        <v>43672</v>
      </c>
      <c r="Y226" s="110">
        <v>769698</v>
      </c>
      <c r="Z226" s="110">
        <v>6186923</v>
      </c>
      <c r="AA226" s="110">
        <v>1927349</v>
      </c>
      <c r="AB226" s="112">
        <v>4279082</v>
      </c>
      <c r="AC226" s="109">
        <v>160.1</v>
      </c>
      <c r="AD226" s="110">
        <v>-109.9</v>
      </c>
      <c r="AE226" s="110">
        <v>4.1500000000000004</v>
      </c>
      <c r="AF226" s="110">
        <v>-0.56999999999999995</v>
      </c>
      <c r="AG226" s="110">
        <v>109.8</v>
      </c>
      <c r="AH226" s="110">
        <v>-110.1</v>
      </c>
      <c r="AI226" s="110">
        <v>3.51</v>
      </c>
      <c r="AJ226" s="109">
        <v>-0.54</v>
      </c>
      <c r="AK226" s="113" t="s">
        <v>59</v>
      </c>
      <c r="AL226" s="107" t="s">
        <v>181</v>
      </c>
      <c r="AN226" s="107">
        <v>0.95699999999999996</v>
      </c>
      <c r="AO226" s="48">
        <f t="shared" ref="AO226" si="234">(HOUR(H226)*60*60+MINUTE(H226)*60+SECOND(H226))/5.2*AA226/W226*AN226</f>
        <v>121877100.07592307</v>
      </c>
      <c r="AP226" s="156">
        <f t="shared" ref="AP226" si="235">AO226*0.7</f>
        <v>85313970.053146139</v>
      </c>
      <c r="AQ226" s="161">
        <f t="shared" ref="AQ226" si="236">AP226+AQ225</f>
        <v>2456312308.2695007</v>
      </c>
      <c r="AR226" s="163">
        <f t="shared" ref="AR226" si="237">H226+AR225</f>
        <v>1.3546412036753979</v>
      </c>
      <c r="AS226" s="49">
        <f t="shared" ref="AS226" si="238">I226*(HOUR(H226)*60+MINUTE(H226))/60/(7*24)</f>
        <v>0.25169345238095236</v>
      </c>
      <c r="AT226" s="165">
        <f t="shared" ref="AT226" si="239">AS226+AT225</f>
        <v>7.2533065476190473</v>
      </c>
      <c r="AU226" s="254">
        <f t="shared" si="198"/>
        <v>184447.29929999998</v>
      </c>
      <c r="AV226" s="255">
        <f t="shared" si="199"/>
        <v>436195.80070000002</v>
      </c>
      <c r="AW226" s="256">
        <f t="shared" si="200"/>
        <v>0.42285436724517272</v>
      </c>
    </row>
    <row r="227" spans="1:49">
      <c r="A227" s="108">
        <v>225</v>
      </c>
      <c r="F227" s="45">
        <v>43128.407152777778</v>
      </c>
      <c r="G227" s="45">
        <v>43128.437094907407</v>
      </c>
      <c r="H227" s="53">
        <f>G227-F227-'user time'!E171</f>
        <v>2.1006944444304287E-2</v>
      </c>
      <c r="I227" s="86">
        <v>44.5</v>
      </c>
      <c r="J227" s="109" t="s">
        <v>260</v>
      </c>
      <c r="K227" s="88" t="s">
        <v>72</v>
      </c>
      <c r="L227" s="88" t="s">
        <v>73</v>
      </c>
      <c r="M227" s="88">
        <v>-369</v>
      </c>
      <c r="N227" s="108">
        <v>1</v>
      </c>
      <c r="O227" s="108">
        <v>200</v>
      </c>
      <c r="P227" s="88">
        <v>347</v>
      </c>
      <c r="Q227" s="88" t="s">
        <v>75</v>
      </c>
      <c r="R227" s="88" t="s">
        <v>348</v>
      </c>
      <c r="S227" s="110">
        <v>9300</v>
      </c>
      <c r="T227" s="110">
        <v>869</v>
      </c>
      <c r="U227" s="88">
        <v>983</v>
      </c>
      <c r="V227" s="90">
        <v>1500</v>
      </c>
      <c r="W227" s="111">
        <v>10</v>
      </c>
      <c r="X227" s="110">
        <v>43807</v>
      </c>
      <c r="Y227" s="110">
        <v>770363</v>
      </c>
      <c r="Z227" s="110">
        <v>6177271</v>
      </c>
      <c r="AA227" s="110">
        <v>1928526</v>
      </c>
      <c r="AB227" s="112">
        <v>4268301</v>
      </c>
      <c r="AC227" s="109">
        <v>160.1</v>
      </c>
      <c r="AD227" s="110">
        <v>-109.9</v>
      </c>
      <c r="AE227" s="110">
        <v>4.1500000000000004</v>
      </c>
      <c r="AF227" s="110">
        <v>-0.56999999999999995</v>
      </c>
      <c r="AG227" s="110">
        <v>109.8</v>
      </c>
      <c r="AH227" s="110">
        <v>-110.1</v>
      </c>
      <c r="AI227" s="110">
        <v>3.5</v>
      </c>
      <c r="AJ227" s="109">
        <v>-0.54</v>
      </c>
      <c r="AK227" s="113" t="s">
        <v>59</v>
      </c>
      <c r="AL227" s="107" t="s">
        <v>354</v>
      </c>
      <c r="AN227" s="107">
        <v>0.95799999999999996</v>
      </c>
      <c r="AO227" s="48">
        <f t="shared" ref="AO227" si="240">(HOUR(H227)*60*60+MINUTE(H227)*60+SECOND(H227))/5.2*AA227/W227*AN227</f>
        <v>64485829.865769237</v>
      </c>
      <c r="AP227" s="156">
        <f t="shared" ref="AP227" si="241">AO227*0.7</f>
        <v>45140080.906038463</v>
      </c>
      <c r="AQ227" s="161">
        <f t="shared" ref="AQ227" si="242">AP227+AQ226</f>
        <v>2501452389.175539</v>
      </c>
      <c r="AR227" s="163">
        <f t="shared" ref="AR227" si="243">H227+AR226</f>
        <v>1.3756481481197023</v>
      </c>
      <c r="AS227" s="49">
        <f t="shared" ref="AS227" si="244">I227*(HOUR(H227)*60+MINUTE(H227))/60/(7*24)</f>
        <v>0.13244047619047619</v>
      </c>
      <c r="AT227" s="165">
        <f t="shared" ref="AT227" si="245">AS227+AT226</f>
        <v>7.3857470238095235</v>
      </c>
      <c r="AU227" s="254">
        <f t="shared" si="198"/>
        <v>184752.79079999999</v>
      </c>
      <c r="AV227" s="255">
        <f t="shared" si="199"/>
        <v>434929.90919999999</v>
      </c>
      <c r="AW227" s="256">
        <f t="shared" si="200"/>
        <v>0.4247875045885669</v>
      </c>
    </row>
    <row r="228" spans="1:49">
      <c r="A228" s="108">
        <v>226</v>
      </c>
      <c r="F228" s="45">
        <v>43128.452488425923</v>
      </c>
      <c r="G228" s="45">
        <v>43128.492662037039</v>
      </c>
      <c r="H228" s="53">
        <f>G228-F228-SUM('user time'!E173:E176)</f>
        <v>3.2557870375447329E-2</v>
      </c>
      <c r="I228" s="86">
        <v>44.55</v>
      </c>
      <c r="J228" s="109" t="s">
        <v>260</v>
      </c>
      <c r="K228" s="88" t="s">
        <v>72</v>
      </c>
      <c r="L228" s="88" t="s">
        <v>73</v>
      </c>
      <c r="M228" s="88">
        <v>-369</v>
      </c>
      <c r="N228" s="108">
        <v>1</v>
      </c>
      <c r="O228" s="108">
        <v>200</v>
      </c>
      <c r="P228" s="88">
        <v>347</v>
      </c>
      <c r="Q228" s="88" t="s">
        <v>75</v>
      </c>
      <c r="R228" s="88" t="s">
        <v>348</v>
      </c>
      <c r="S228" s="110">
        <v>9400</v>
      </c>
      <c r="T228" s="110">
        <v>860</v>
      </c>
      <c r="U228" s="88">
        <v>983</v>
      </c>
      <c r="V228" s="90">
        <v>1500</v>
      </c>
      <c r="W228" s="111">
        <v>10</v>
      </c>
      <c r="X228" s="110">
        <v>43839</v>
      </c>
      <c r="Y228" s="110">
        <v>771744</v>
      </c>
      <c r="Z228" s="110">
        <v>6183960</v>
      </c>
      <c r="AA228" s="110">
        <v>1934006</v>
      </c>
      <c r="AB228" s="112">
        <v>4269808</v>
      </c>
      <c r="AC228" s="109">
        <v>160.1</v>
      </c>
      <c r="AD228" s="110">
        <v>-109.9</v>
      </c>
      <c r="AE228" s="110">
        <v>4.1500000000000004</v>
      </c>
      <c r="AF228" s="110">
        <v>-0.56999999999999995</v>
      </c>
      <c r="AG228" s="110">
        <v>109.8</v>
      </c>
      <c r="AH228" s="110">
        <v>-110.1</v>
      </c>
      <c r="AI228" s="110">
        <v>3.5</v>
      </c>
      <c r="AJ228" s="109">
        <v>-0.54</v>
      </c>
      <c r="AK228" s="113" t="s">
        <v>59</v>
      </c>
      <c r="AL228" s="107" t="s">
        <v>181</v>
      </c>
      <c r="AN228" s="107">
        <v>0.95799999999999996</v>
      </c>
      <c r="AO228" s="48">
        <f t="shared" ref="AO228" si="246">(HOUR(H228)*60*60+MINUTE(H228)*60+SECOND(H228))/5.2*AA228/W228*AN228</f>
        <v>100228150.09853846</v>
      </c>
      <c r="AP228" s="156">
        <f t="shared" ref="AP228" si="247">AO228*0.7</f>
        <v>70159705.068976924</v>
      </c>
      <c r="AQ228" s="161">
        <f t="shared" ref="AQ228" si="248">AP228+AQ227</f>
        <v>2571612094.2445159</v>
      </c>
      <c r="AR228" s="163">
        <f t="shared" ref="AR228" si="249">H228+AR227</f>
        <v>1.4082060184951497</v>
      </c>
      <c r="AS228" s="49">
        <f t="shared" ref="AS228" si="250">I228*(HOUR(H228)*60+MINUTE(H228))/60/(7*24)</f>
        <v>0.20330357142857139</v>
      </c>
      <c r="AT228" s="165">
        <f t="shared" ref="AT228" si="251">AS228+AT227</f>
        <v>7.5890505952380947</v>
      </c>
      <c r="AU228" s="254">
        <f t="shared" si="198"/>
        <v>185277.77479999998</v>
      </c>
      <c r="AV228" s="255">
        <f t="shared" si="199"/>
        <v>435103.62520000001</v>
      </c>
      <c r="AW228" s="256">
        <f t="shared" si="200"/>
        <v>0.42582447966236797</v>
      </c>
    </row>
    <row r="229" spans="1:49">
      <c r="A229" s="108">
        <v>227</v>
      </c>
      <c r="F229" s="45">
        <v>43128.492673611108</v>
      </c>
      <c r="G229" s="45">
        <v>43128.534305555557</v>
      </c>
      <c r="H229" s="53">
        <f>G229-F229</f>
        <v>4.1631944448454306E-2</v>
      </c>
      <c r="I229" s="86">
        <v>44.53</v>
      </c>
      <c r="J229" s="109" t="s">
        <v>260</v>
      </c>
      <c r="K229" s="88" t="s">
        <v>72</v>
      </c>
      <c r="L229" s="88" t="s">
        <v>73</v>
      </c>
      <c r="M229" s="88">
        <v>-369</v>
      </c>
      <c r="N229" s="108">
        <v>1</v>
      </c>
      <c r="O229" s="108">
        <v>200</v>
      </c>
      <c r="P229" s="88">
        <v>347</v>
      </c>
      <c r="Q229" s="88" t="s">
        <v>75</v>
      </c>
      <c r="R229" s="88" t="s">
        <v>348</v>
      </c>
      <c r="S229" s="110">
        <v>9400</v>
      </c>
      <c r="T229" s="110">
        <v>860</v>
      </c>
      <c r="U229" s="88">
        <v>983</v>
      </c>
      <c r="V229" s="90">
        <v>1500</v>
      </c>
      <c r="W229" s="111">
        <v>10</v>
      </c>
      <c r="X229" s="110">
        <v>43845</v>
      </c>
      <c r="Y229" s="110">
        <v>768599</v>
      </c>
      <c r="Z229" s="110">
        <v>6179242</v>
      </c>
      <c r="AA229" s="110">
        <v>1932988</v>
      </c>
      <c r="AB229" s="112">
        <v>4266292</v>
      </c>
      <c r="AC229" s="109">
        <v>160.1</v>
      </c>
      <c r="AD229" s="110">
        <v>-110</v>
      </c>
      <c r="AE229" s="110">
        <v>4.1500000000000004</v>
      </c>
      <c r="AF229" s="110">
        <v>-0.56999999999999995</v>
      </c>
      <c r="AG229" s="110">
        <v>109.8</v>
      </c>
      <c r="AH229" s="110">
        <v>-110.1</v>
      </c>
      <c r="AI229" s="110">
        <v>3.5</v>
      </c>
      <c r="AJ229" s="109">
        <v>-0.55000000000000004</v>
      </c>
      <c r="AK229" s="113" t="s">
        <v>59</v>
      </c>
      <c r="AL229" s="107" t="s">
        <v>181</v>
      </c>
      <c r="AN229" s="107">
        <v>0.95689999999999997</v>
      </c>
      <c r="AO229" s="48">
        <f t="shared" ref="AO229" si="252">(HOUR(H229)*60*60+MINUTE(H229)*60+SECOND(H229))/5.2*AA229/W229*AN229</f>
        <v>127947795.25516152</v>
      </c>
      <c r="AP229" s="156">
        <f t="shared" ref="AP229" si="253">AO229*0.7</f>
        <v>89563456.678613067</v>
      </c>
      <c r="AQ229" s="161">
        <f t="shared" ref="AQ229" si="254">AP229+AQ228</f>
        <v>2661175550.9231291</v>
      </c>
      <c r="AR229" s="163">
        <f t="shared" ref="AR229" si="255">H229+AR228</f>
        <v>1.449837962943604</v>
      </c>
      <c r="AS229" s="49">
        <f t="shared" ref="AS229" si="256">I229*(HOUR(H229)*60+MINUTE(H229))/60/(7*24)</f>
        <v>0.26064186507936504</v>
      </c>
      <c r="AT229" s="165">
        <f t="shared" ref="AT229" si="257">AS229+AT228</f>
        <v>7.8496924603174598</v>
      </c>
      <c r="AU229" s="254">
        <f t="shared" si="198"/>
        <v>184967.62172</v>
      </c>
      <c r="AV229" s="255">
        <f t="shared" si="199"/>
        <v>434960.37828</v>
      </c>
      <c r="AW229" s="256">
        <f t="shared" si="200"/>
        <v>0.42525165729217185</v>
      </c>
    </row>
    <row r="230" spans="1:49">
      <c r="A230" s="108">
        <v>228</v>
      </c>
      <c r="F230" s="45">
        <v>43128.534317129626</v>
      </c>
      <c r="G230" s="45">
        <v>43128.577037037037</v>
      </c>
      <c r="H230" s="53">
        <f>G230-F230-'user time'!E177-'user time'!E178</f>
        <v>2.5000000003675749E-2</v>
      </c>
      <c r="I230" s="86">
        <v>44.53</v>
      </c>
      <c r="J230" s="109" t="s">
        <v>260</v>
      </c>
      <c r="K230" s="88" t="s">
        <v>72</v>
      </c>
      <c r="L230" s="88" t="s">
        <v>73</v>
      </c>
      <c r="M230" s="88">
        <v>-369</v>
      </c>
      <c r="N230" s="108">
        <v>1</v>
      </c>
      <c r="O230" s="108">
        <v>200</v>
      </c>
      <c r="P230" s="88">
        <v>347</v>
      </c>
      <c r="Q230" s="88" t="s">
        <v>75</v>
      </c>
      <c r="R230" s="88" t="s">
        <v>348</v>
      </c>
      <c r="S230" s="110">
        <v>9300</v>
      </c>
      <c r="T230" s="110">
        <v>850</v>
      </c>
      <c r="U230" s="88">
        <v>983</v>
      </c>
      <c r="V230" s="90">
        <v>1500</v>
      </c>
      <c r="W230" s="111">
        <v>10</v>
      </c>
      <c r="X230" s="110">
        <v>43906</v>
      </c>
      <c r="Y230" s="110">
        <v>770358</v>
      </c>
      <c r="Z230" s="110">
        <v>6181441</v>
      </c>
      <c r="AA230" s="110">
        <v>1925072</v>
      </c>
      <c r="AB230" s="112">
        <v>4275852</v>
      </c>
      <c r="AC230" s="109">
        <v>160.1</v>
      </c>
      <c r="AD230" s="110">
        <v>-110</v>
      </c>
      <c r="AE230" s="110">
        <v>4.1500000000000004</v>
      </c>
      <c r="AF230" s="110">
        <v>-0.56999999999999995</v>
      </c>
      <c r="AG230" s="110">
        <v>109.8</v>
      </c>
      <c r="AH230" s="110">
        <v>-110.1</v>
      </c>
      <c r="AI230" s="110">
        <v>3.5</v>
      </c>
      <c r="AJ230" s="109">
        <v>-0.55000000000000004</v>
      </c>
      <c r="AK230" s="113" t="s">
        <v>59</v>
      </c>
      <c r="AL230" s="107" t="s">
        <v>181</v>
      </c>
      <c r="AN230" s="107">
        <v>0.96099999999999997</v>
      </c>
      <c r="AO230" s="48">
        <f t="shared" ref="AO230" si="258">(HOUR(H230)*60*60+MINUTE(H230)*60+SECOND(H230))/5.2*AA230/W230*AN230</f>
        <v>76845912.590769231</v>
      </c>
      <c r="AP230" s="156">
        <f t="shared" ref="AP230" si="259">AO230*0.7</f>
        <v>53792138.813538462</v>
      </c>
      <c r="AQ230" s="161">
        <f t="shared" ref="AQ230" si="260">AP230+AQ229</f>
        <v>2714967689.7366676</v>
      </c>
      <c r="AR230" s="163">
        <f t="shared" ref="AR230" si="261">H230+AR229</f>
        <v>1.4748379629472796</v>
      </c>
      <c r="AS230" s="49">
        <f t="shared" ref="AS230" si="262">I230*(HOUR(H230)*60+MINUTE(H230))/60/(7*24)</f>
        <v>0.15903571428571428</v>
      </c>
      <c r="AT230" s="165">
        <f t="shared" ref="AT230" si="263">AS230+AT229</f>
        <v>8.0087281746031742</v>
      </c>
      <c r="AU230" s="254">
        <f t="shared" si="198"/>
        <v>184999.4192</v>
      </c>
      <c r="AV230" s="255">
        <f t="shared" si="199"/>
        <v>435092.98080000002</v>
      </c>
      <c r="AW230" s="256">
        <f t="shared" si="200"/>
        <v>0.42519513612893478</v>
      </c>
    </row>
    <row r="231" spans="1:49">
      <c r="A231" s="108">
        <v>229</v>
      </c>
      <c r="F231" s="45">
        <v>43128.577048611114</v>
      </c>
      <c r="G231" s="45">
        <v>43128.618506944447</v>
      </c>
      <c r="H231" s="53">
        <f>G231-F231-'user time'!E179-'user time'!E180</f>
        <v>4.099537037017642E-2</v>
      </c>
      <c r="I231" s="86">
        <v>44.57</v>
      </c>
      <c r="J231" s="109" t="s">
        <v>260</v>
      </c>
      <c r="K231" s="88" t="s">
        <v>72</v>
      </c>
      <c r="L231" s="88" t="s">
        <v>73</v>
      </c>
      <c r="M231" s="88">
        <v>-369</v>
      </c>
      <c r="N231" s="108">
        <v>1</v>
      </c>
      <c r="O231" s="108">
        <v>200</v>
      </c>
      <c r="P231" s="88">
        <v>347</v>
      </c>
      <c r="Q231" s="88" t="s">
        <v>75</v>
      </c>
      <c r="R231" s="88" t="s">
        <v>348</v>
      </c>
      <c r="S231" s="110">
        <v>9400</v>
      </c>
      <c r="T231" s="110">
        <v>850</v>
      </c>
      <c r="U231" s="88">
        <v>983</v>
      </c>
      <c r="V231" s="90">
        <v>1500</v>
      </c>
      <c r="W231" s="111">
        <v>10</v>
      </c>
      <c r="X231" s="110">
        <v>43653</v>
      </c>
      <c r="Y231" s="110">
        <v>770198</v>
      </c>
      <c r="Z231" s="110">
        <v>6163863</v>
      </c>
      <c r="AA231" s="110">
        <v>1923136</v>
      </c>
      <c r="AB231" s="112">
        <v>4259739</v>
      </c>
      <c r="AC231" s="109">
        <v>160.1</v>
      </c>
      <c r="AD231" s="110">
        <v>-109.9</v>
      </c>
      <c r="AE231" s="110">
        <v>4.1399999999999997</v>
      </c>
      <c r="AF231" s="110">
        <v>-0.56999999999999995</v>
      </c>
      <c r="AG231" s="110">
        <v>109.8</v>
      </c>
      <c r="AH231" s="110">
        <v>-110.1</v>
      </c>
      <c r="AI231" s="110">
        <v>3.51</v>
      </c>
      <c r="AJ231" s="109">
        <v>-0.54</v>
      </c>
      <c r="AK231" s="113" t="s">
        <v>59</v>
      </c>
      <c r="AL231" s="107" t="s">
        <v>181</v>
      </c>
      <c r="AN231" s="107">
        <v>0.95660000000000001</v>
      </c>
      <c r="AO231" s="48">
        <f t="shared" ref="AO231" si="264">(HOUR(H231)*60*60+MINUTE(H231)*60+SECOND(H231))/5.2*AA231/W231*AN231</f>
        <v>125309958.87113844</v>
      </c>
      <c r="AP231" s="156">
        <f t="shared" ref="AP231" si="265">AO231*0.7</f>
        <v>87716971.209796906</v>
      </c>
      <c r="AQ231" s="161">
        <f t="shared" ref="AQ231" si="266">AP231+AQ230</f>
        <v>2802684660.9464645</v>
      </c>
      <c r="AR231" s="163">
        <f t="shared" ref="AR231" si="267">H231+AR230</f>
        <v>1.5158333333174561</v>
      </c>
      <c r="AS231" s="49">
        <f t="shared" ref="AS231" si="268">I231*(HOUR(H231)*60+MINUTE(H231))/60/(7*24)</f>
        <v>0.2608759920634921</v>
      </c>
      <c r="AT231" s="165">
        <f t="shared" ref="AT231" si="269">AS231+AT230</f>
        <v>8.2696041666666655</v>
      </c>
      <c r="AU231" s="254">
        <f t="shared" si="198"/>
        <v>183967.18976000001</v>
      </c>
      <c r="AV231" s="255">
        <f t="shared" si="199"/>
        <v>434320.31024000002</v>
      </c>
      <c r="AW231" s="256">
        <f t="shared" si="200"/>
        <v>0.42357491791793483</v>
      </c>
    </row>
    <row r="232" spans="1:49">
      <c r="A232" s="108">
        <v>230</v>
      </c>
      <c r="F232" s="45">
        <v>43128.618530092594</v>
      </c>
      <c r="G232" s="45">
        <v>43128.659803240742</v>
      </c>
      <c r="H232" s="53">
        <f>G232-F232</f>
        <v>4.1273148148320615E-2</v>
      </c>
      <c r="I232" s="86">
        <v>44.49</v>
      </c>
      <c r="J232" s="109" t="s">
        <v>260</v>
      </c>
      <c r="K232" s="88" t="s">
        <v>72</v>
      </c>
      <c r="L232" s="88" t="s">
        <v>73</v>
      </c>
      <c r="M232" s="88">
        <v>-369</v>
      </c>
      <c r="N232" s="108">
        <v>1</v>
      </c>
      <c r="O232" s="108">
        <v>200</v>
      </c>
      <c r="P232" s="88">
        <v>347</v>
      </c>
      <c r="Q232" s="88" t="s">
        <v>75</v>
      </c>
      <c r="R232" s="88" t="s">
        <v>348</v>
      </c>
      <c r="S232" s="110">
        <v>9200</v>
      </c>
      <c r="T232" s="110">
        <v>860</v>
      </c>
      <c r="U232" s="88">
        <v>983</v>
      </c>
      <c r="V232" s="90">
        <v>1500</v>
      </c>
      <c r="W232" s="111">
        <v>10</v>
      </c>
      <c r="X232" s="110">
        <v>43823</v>
      </c>
      <c r="Y232" s="110">
        <v>771130</v>
      </c>
      <c r="Z232" s="110">
        <v>6202461</v>
      </c>
      <c r="AA232" s="110">
        <v>1928055</v>
      </c>
      <c r="AB232" s="112">
        <v>4293505</v>
      </c>
      <c r="AC232" s="109">
        <v>160.19999999999999</v>
      </c>
      <c r="AD232" s="110">
        <v>-109.9</v>
      </c>
      <c r="AE232" s="110">
        <v>4.1399999999999997</v>
      </c>
      <c r="AF232" s="110">
        <v>-0.56000000000000005</v>
      </c>
      <c r="AG232" s="110">
        <v>109.8</v>
      </c>
      <c r="AH232" s="110">
        <v>-110.1</v>
      </c>
      <c r="AI232" s="110">
        <v>3.51</v>
      </c>
      <c r="AJ232" s="109">
        <v>-0.54</v>
      </c>
      <c r="AK232" s="113" t="s">
        <v>59</v>
      </c>
      <c r="AL232" s="107" t="s">
        <v>181</v>
      </c>
      <c r="AN232" s="107">
        <v>0.95799999999999996</v>
      </c>
      <c r="AO232" s="48">
        <f t="shared" ref="AO232" si="270">(HOUR(H232)*60*60+MINUTE(H232)*60+SECOND(H232))/5.2*AA232/W232*AN232</f>
        <v>126666836.08730768</v>
      </c>
      <c r="AP232" s="156">
        <f t="shared" ref="AP232" si="271">AO232*0.7</f>
        <v>88666785.261115372</v>
      </c>
      <c r="AQ232" s="161">
        <f t="shared" ref="AQ232" si="272">AP232+AQ231</f>
        <v>2891351446.2075801</v>
      </c>
      <c r="AR232" s="163">
        <f t="shared" ref="AR232" si="273">H232+AR231</f>
        <v>1.5571064814657767</v>
      </c>
      <c r="AS232" s="49">
        <f t="shared" ref="AS232" si="274">I232*(HOUR(H232)*60+MINUTE(H232))/60/(7*24)</f>
        <v>0.26040773809523815</v>
      </c>
      <c r="AT232" s="165">
        <f t="shared" ref="AT232" si="275">AS232+AT231</f>
        <v>8.5300119047619045</v>
      </c>
      <c r="AU232" s="254">
        <f t="shared" si="198"/>
        <v>184707.66899999999</v>
      </c>
      <c r="AV232" s="255">
        <f t="shared" si="199"/>
        <v>437448.33100000001</v>
      </c>
      <c r="AW232" s="256">
        <f t="shared" si="200"/>
        <v>0.42223882436072202</v>
      </c>
    </row>
    <row r="233" spans="1:49">
      <c r="A233" s="108">
        <v>231</v>
      </c>
      <c r="F233" s="45">
        <v>43128.660162037035</v>
      </c>
      <c r="G233" s="45">
        <v>43128.701921296299</v>
      </c>
      <c r="H233" s="53">
        <f>G233-F233</f>
        <v>4.1759259263926651E-2</v>
      </c>
      <c r="I233" s="86">
        <v>44.53</v>
      </c>
      <c r="J233" s="109" t="s">
        <v>260</v>
      </c>
      <c r="K233" s="88" t="s">
        <v>72</v>
      </c>
      <c r="L233" s="88" t="s">
        <v>73</v>
      </c>
      <c r="M233" s="88">
        <v>-369</v>
      </c>
      <c r="N233" s="108">
        <v>1</v>
      </c>
      <c r="O233" s="108">
        <v>200</v>
      </c>
      <c r="P233" s="88">
        <v>347</v>
      </c>
      <c r="Q233" s="88" t="s">
        <v>75</v>
      </c>
      <c r="R233" s="88" t="s">
        <v>348</v>
      </c>
      <c r="S233" s="110">
        <v>9300</v>
      </c>
      <c r="T233" s="110">
        <v>870</v>
      </c>
      <c r="U233" s="88">
        <v>983</v>
      </c>
      <c r="V233" s="90">
        <v>1500</v>
      </c>
      <c r="W233" s="111">
        <v>10</v>
      </c>
      <c r="X233" s="110">
        <v>44100</v>
      </c>
      <c r="Y233" s="110">
        <v>769601</v>
      </c>
      <c r="Z233" s="110">
        <v>6206619</v>
      </c>
      <c r="AA233" s="110">
        <v>1929393</v>
      </c>
      <c r="AB233" s="112">
        <v>4296586</v>
      </c>
      <c r="AC233" s="109">
        <v>160.19999999999999</v>
      </c>
      <c r="AD233" s="110">
        <v>-109.9</v>
      </c>
      <c r="AE233" s="110">
        <v>4.1399999999999997</v>
      </c>
      <c r="AF233" s="110">
        <v>-0.56000000000000005</v>
      </c>
      <c r="AG233" s="110">
        <v>109.8</v>
      </c>
      <c r="AH233" s="110">
        <v>-110.1</v>
      </c>
      <c r="AI233" s="110">
        <v>3.51</v>
      </c>
      <c r="AJ233" s="109">
        <v>-0.54</v>
      </c>
      <c r="AK233" s="113" t="s">
        <v>59</v>
      </c>
      <c r="AL233" s="107" t="s">
        <v>181</v>
      </c>
      <c r="AN233" s="107">
        <v>0.95599999999999996</v>
      </c>
      <c r="AO233" s="48">
        <f t="shared" ref="AO233:AO234" si="276">(HOUR(H233)*60*60+MINUTE(H233)*60+SECOND(H233))/5.2*AA233/W233*AN233</f>
        <v>127979902.81661539</v>
      </c>
      <c r="AP233" s="156">
        <f t="shared" ref="AP233:AP234" si="277">AO233*0.7</f>
        <v>89585931.971630767</v>
      </c>
      <c r="AQ233" s="161">
        <f t="shared" ref="AQ233:AQ234" si="278">AP233+AQ232</f>
        <v>2980937378.1792107</v>
      </c>
      <c r="AR233" s="163">
        <f t="shared" ref="AR233:AR234" si="279">H233+AR232</f>
        <v>1.5988657407297033</v>
      </c>
      <c r="AS233" s="49">
        <f t="shared" ref="AS233:AS234" si="280">I233*(HOUR(H233)*60+MINUTE(H233))/60/(7*24)</f>
        <v>0.2650595238095238</v>
      </c>
      <c r="AT233" s="165">
        <f t="shared" ref="AT233:AT234" si="281">AS233+AT232</f>
        <v>8.7950714285714291</v>
      </c>
      <c r="AU233" s="254">
        <f t="shared" si="198"/>
        <v>184449.97079999998</v>
      </c>
      <c r="AV233" s="255">
        <f t="shared" si="199"/>
        <v>438147.92920000001</v>
      </c>
      <c r="AW233" s="256">
        <f t="shared" si="200"/>
        <v>0.42097647508406844</v>
      </c>
    </row>
    <row r="234" spans="1:49">
      <c r="A234" s="108">
        <v>232</v>
      </c>
      <c r="F234" s="45">
        <v>43128.702118055553</v>
      </c>
      <c r="G234" s="45">
        <v>43128.742754629631</v>
      </c>
      <c r="H234" s="53">
        <f>G234-F234-'user time'!E181</f>
        <v>4.0335648152308945E-2</v>
      </c>
      <c r="I234" s="86">
        <v>44.62</v>
      </c>
      <c r="J234" s="109" t="s">
        <v>260</v>
      </c>
      <c r="K234" s="88" t="s">
        <v>72</v>
      </c>
      <c r="L234" s="88" t="s">
        <v>73</v>
      </c>
      <c r="M234" s="88">
        <v>-369</v>
      </c>
      <c r="N234" s="108">
        <v>1</v>
      </c>
      <c r="O234" s="108">
        <v>200</v>
      </c>
      <c r="P234" s="88">
        <v>347</v>
      </c>
      <c r="Q234" s="88" t="s">
        <v>75</v>
      </c>
      <c r="R234" s="88" t="s">
        <v>348</v>
      </c>
      <c r="S234" s="110">
        <v>9300</v>
      </c>
      <c r="T234" s="110">
        <v>857</v>
      </c>
      <c r="U234" s="88">
        <v>983</v>
      </c>
      <c r="V234" s="90">
        <v>1500</v>
      </c>
      <c r="W234" s="111">
        <v>10</v>
      </c>
      <c r="X234" s="110">
        <v>43795</v>
      </c>
      <c r="Y234" s="110">
        <v>770008</v>
      </c>
      <c r="Z234" s="110">
        <v>6187072</v>
      </c>
      <c r="AA234" s="110">
        <v>1926092</v>
      </c>
      <c r="AB234" s="112">
        <v>4281490</v>
      </c>
      <c r="AC234" s="109">
        <v>160.19999999999999</v>
      </c>
      <c r="AD234" s="110">
        <v>-109.9</v>
      </c>
      <c r="AE234" s="110">
        <v>4.1399999999999997</v>
      </c>
      <c r="AF234" s="110">
        <v>-0.56999999999999995</v>
      </c>
      <c r="AG234" s="110">
        <v>109.8</v>
      </c>
      <c r="AH234" s="110">
        <v>-110.1</v>
      </c>
      <c r="AI234" s="110">
        <v>3.5</v>
      </c>
      <c r="AJ234" s="109">
        <v>-0.54</v>
      </c>
      <c r="AK234" s="113" t="s">
        <v>59</v>
      </c>
      <c r="AL234" s="107" t="s">
        <v>181</v>
      </c>
      <c r="AN234" s="107">
        <v>0.95699999999999996</v>
      </c>
      <c r="AO234" s="48">
        <f t="shared" si="276"/>
        <v>123534540.44884615</v>
      </c>
      <c r="AP234" s="156">
        <f t="shared" si="277"/>
        <v>86474178.314192295</v>
      </c>
      <c r="AQ234" s="161">
        <f t="shared" si="278"/>
        <v>3067411556.493403</v>
      </c>
      <c r="AR234" s="163">
        <f t="shared" si="279"/>
        <v>1.6392013888820123</v>
      </c>
      <c r="AS234" s="49">
        <f t="shared" si="280"/>
        <v>0.25674206349206347</v>
      </c>
      <c r="AT234" s="165">
        <f t="shared" si="281"/>
        <v>9.0518134920634932</v>
      </c>
      <c r="AU234" s="254">
        <f t="shared" si="198"/>
        <v>184327.00440000001</v>
      </c>
      <c r="AV234" s="255">
        <f t="shared" si="199"/>
        <v>436431.19560000004</v>
      </c>
      <c r="AW234" s="256">
        <f t="shared" si="200"/>
        <v>0.42235066204786209</v>
      </c>
    </row>
    <row r="235" spans="1:49">
      <c r="A235" s="108">
        <v>233</v>
      </c>
      <c r="F235" s="45">
        <v>43128.744247685187</v>
      </c>
      <c r="G235" s="45">
        <v>43128.785891203705</v>
      </c>
      <c r="H235" s="53">
        <f>G235-F235-SUM('user time'!E183:E185)</f>
        <v>4.0636574073513509E-2</v>
      </c>
      <c r="I235" s="86">
        <v>44.55</v>
      </c>
      <c r="J235" s="109" t="s">
        <v>260</v>
      </c>
      <c r="K235" s="88" t="s">
        <v>72</v>
      </c>
      <c r="L235" s="88" t="s">
        <v>73</v>
      </c>
      <c r="M235" s="88">
        <v>-369</v>
      </c>
      <c r="N235" s="108">
        <v>1</v>
      </c>
      <c r="O235" s="108">
        <v>200</v>
      </c>
      <c r="P235" s="88">
        <v>347</v>
      </c>
      <c r="Q235" s="88" t="s">
        <v>75</v>
      </c>
      <c r="R235" s="88" t="s">
        <v>348</v>
      </c>
      <c r="S235" s="110">
        <v>9400</v>
      </c>
      <c r="T235" s="110">
        <v>854</v>
      </c>
      <c r="U235" s="88">
        <v>983</v>
      </c>
      <c r="V235" s="90">
        <v>1500</v>
      </c>
      <c r="W235" s="111">
        <v>10</v>
      </c>
      <c r="X235" s="110">
        <v>43941</v>
      </c>
      <c r="Y235" s="110">
        <v>771384</v>
      </c>
      <c r="Z235" s="110">
        <v>6214114</v>
      </c>
      <c r="AA235" s="110">
        <v>1929872</v>
      </c>
      <c r="AB235" s="112">
        <v>4304458</v>
      </c>
      <c r="AC235" s="109">
        <v>160.1</v>
      </c>
      <c r="AD235" s="110">
        <v>-109.9</v>
      </c>
      <c r="AE235" s="110">
        <v>4.1500000000000004</v>
      </c>
      <c r="AF235" s="110">
        <v>-0.56999999999999995</v>
      </c>
      <c r="AG235" s="110">
        <v>109.8</v>
      </c>
      <c r="AH235" s="110">
        <v>-110.1</v>
      </c>
      <c r="AI235" s="110">
        <v>3.51</v>
      </c>
      <c r="AJ235" s="109">
        <v>-0.54</v>
      </c>
      <c r="AK235" s="113" t="s">
        <v>59</v>
      </c>
      <c r="AL235" s="107" t="s">
        <v>181</v>
      </c>
      <c r="AN235" s="107">
        <v>0.95</v>
      </c>
      <c r="AO235" s="48">
        <f t="shared" ref="AO235" si="282">(HOUR(H235)*60*60+MINUTE(H235)*60+SECOND(H235))/5.2*AA235/W235*AN235</f>
        <v>123788299.27692306</v>
      </c>
      <c r="AP235" s="156">
        <f t="shared" ref="AP235" si="283">AO235*0.7</f>
        <v>86651809.493846133</v>
      </c>
      <c r="AQ235" s="161">
        <f t="shared" ref="AQ235" si="284">AP235+AQ234</f>
        <v>3154063365.9872489</v>
      </c>
      <c r="AR235" s="163">
        <f t="shared" ref="AR235" si="285">H235+AR234</f>
        <v>1.6798379629555258</v>
      </c>
      <c r="AS235" s="49">
        <f t="shared" ref="AS235" si="286">I235*(HOUR(H235)*60+MINUTE(H235))/60/(7*24)</f>
        <v>0.25633928571428566</v>
      </c>
      <c r="AT235" s="165">
        <f t="shared" ref="AT235" si="287">AS235+AT234</f>
        <v>9.3081527777777779</v>
      </c>
      <c r="AU235" s="254">
        <f t="shared" si="198"/>
        <v>183337.84</v>
      </c>
      <c r="AV235" s="255">
        <f t="shared" si="199"/>
        <v>440095.16</v>
      </c>
      <c r="AW235" s="256">
        <f t="shared" si="200"/>
        <v>0.41658681272477527</v>
      </c>
    </row>
    <row r="236" spans="1:49">
      <c r="A236" s="108">
        <v>234</v>
      </c>
      <c r="F236" s="45">
        <v>43128.78597222222</v>
      </c>
      <c r="G236" s="45">
        <v>43128.828125</v>
      </c>
      <c r="H236" s="53">
        <f>G236-F236-'user time'!E186</f>
        <v>4.1875000002069562E-2</v>
      </c>
      <c r="I236" s="86">
        <v>44.62</v>
      </c>
      <c r="J236" s="109" t="s">
        <v>260</v>
      </c>
      <c r="K236" s="88" t="s">
        <v>72</v>
      </c>
      <c r="L236" s="88" t="s">
        <v>73</v>
      </c>
      <c r="M236" s="88">
        <v>-369</v>
      </c>
      <c r="N236" s="108">
        <v>1</v>
      </c>
      <c r="O236" s="108">
        <v>200</v>
      </c>
      <c r="P236" s="88">
        <v>347</v>
      </c>
      <c r="Q236" s="88" t="s">
        <v>75</v>
      </c>
      <c r="R236" s="88" t="s">
        <v>348</v>
      </c>
      <c r="S236" s="110">
        <v>9400</v>
      </c>
      <c r="T236" s="110">
        <v>843</v>
      </c>
      <c r="U236" s="88">
        <v>983</v>
      </c>
      <c r="V236" s="90">
        <v>1500</v>
      </c>
      <c r="W236" s="111">
        <v>10</v>
      </c>
      <c r="X236" s="110">
        <v>43964</v>
      </c>
      <c r="Y236" s="110">
        <v>770442</v>
      </c>
      <c r="Z236" s="110">
        <v>6173030</v>
      </c>
      <c r="AA236" s="110">
        <v>1922045</v>
      </c>
      <c r="AB236" s="112">
        <v>4272108</v>
      </c>
      <c r="AC236" s="109">
        <v>160.1</v>
      </c>
      <c r="AD236" s="110">
        <v>-109.9</v>
      </c>
      <c r="AE236" s="110">
        <v>4.1500000000000004</v>
      </c>
      <c r="AF236" s="110">
        <v>-0.56999999999999995</v>
      </c>
      <c r="AG236" s="110">
        <v>109.8</v>
      </c>
      <c r="AH236" s="110">
        <v>-110.1</v>
      </c>
      <c r="AI236" s="110">
        <v>3.51</v>
      </c>
      <c r="AJ236" s="109">
        <v>-0.54</v>
      </c>
      <c r="AK236" s="113" t="s">
        <v>59</v>
      </c>
      <c r="AL236" s="107" t="s">
        <v>181</v>
      </c>
      <c r="AN236" s="107">
        <v>0.95699999999999996</v>
      </c>
      <c r="AO236" s="48">
        <f t="shared" ref="AO236:AO245" si="288">(HOUR(H236)*60*60+MINUTE(H236)*60+SECOND(H236))/5.2*AA236/W236*AN236</f>
        <v>127979588.09942307</v>
      </c>
      <c r="AP236" s="156">
        <f t="shared" ref="AP236:AP245" si="289">AO236*0.7</f>
        <v>89585711.669596136</v>
      </c>
      <c r="AQ236" s="161">
        <f t="shared" ref="AQ236:AQ245" si="290">AP236+AQ235</f>
        <v>3243649077.6568451</v>
      </c>
      <c r="AR236" s="163">
        <f t="shared" ref="AR236:AR245" si="291">H236+AR235</f>
        <v>1.7217129629575953</v>
      </c>
      <c r="AS236" s="49">
        <f t="shared" ref="AS236:AS245" si="292">I236*(HOUR(H236)*60+MINUTE(H236))/60/(7*24)</f>
        <v>0.26559523809523811</v>
      </c>
      <c r="AT236" s="165">
        <f t="shared" ref="AT236:AT245" si="293">AS236+AT235</f>
        <v>9.5737480158730168</v>
      </c>
      <c r="AU236" s="254">
        <f t="shared" si="198"/>
        <v>183939.7065</v>
      </c>
      <c r="AV236" s="255">
        <f t="shared" si="199"/>
        <v>435475.59350000002</v>
      </c>
      <c r="AW236" s="256">
        <f t="shared" si="200"/>
        <v>0.42238809532732169</v>
      </c>
    </row>
    <row r="237" spans="1:49">
      <c r="A237" s="108">
        <v>245</v>
      </c>
      <c r="F237" s="45">
        <v>43128.828321759262</v>
      </c>
      <c r="G237" s="45">
        <v>43128.868368055555</v>
      </c>
      <c r="H237" s="53">
        <f>G237-F237-'user time'!E187</f>
        <v>3.9467592589736089E-2</v>
      </c>
      <c r="I237" s="86">
        <v>44.53</v>
      </c>
      <c r="J237" s="109" t="s">
        <v>260</v>
      </c>
      <c r="K237" s="88" t="s">
        <v>72</v>
      </c>
      <c r="L237" s="88" t="s">
        <v>73</v>
      </c>
      <c r="M237" s="88">
        <v>-369</v>
      </c>
      <c r="N237" s="108">
        <v>1</v>
      </c>
      <c r="O237" s="108">
        <v>200</v>
      </c>
      <c r="P237" s="88">
        <v>347</v>
      </c>
      <c r="Q237" s="88" t="s">
        <v>75</v>
      </c>
      <c r="R237" s="88" t="s">
        <v>348</v>
      </c>
      <c r="S237" s="110">
        <v>9400</v>
      </c>
      <c r="T237" s="110">
        <v>855</v>
      </c>
      <c r="U237" s="88">
        <v>983</v>
      </c>
      <c r="V237" s="90">
        <v>1500</v>
      </c>
      <c r="W237" s="111">
        <v>10</v>
      </c>
      <c r="X237" s="110">
        <v>44178</v>
      </c>
      <c r="Y237" s="110">
        <v>770609</v>
      </c>
      <c r="Z237" s="110">
        <v>6202567</v>
      </c>
      <c r="AA237" s="110">
        <v>1932695</v>
      </c>
      <c r="AB237" s="112">
        <v>4289423</v>
      </c>
      <c r="AC237" s="109">
        <v>160.1</v>
      </c>
      <c r="AD237" s="110">
        <v>-109.9</v>
      </c>
      <c r="AE237" s="110">
        <v>4.1500000000000004</v>
      </c>
      <c r="AF237" s="110">
        <v>-0.56999999999999995</v>
      </c>
      <c r="AG237" s="110">
        <v>109.8</v>
      </c>
      <c r="AH237" s="110">
        <v>-110.1</v>
      </c>
      <c r="AI237" s="110">
        <v>3.5</v>
      </c>
      <c r="AJ237" s="109">
        <v>-0.54</v>
      </c>
      <c r="AK237" s="113" t="s">
        <v>59</v>
      </c>
      <c r="AL237" s="107" t="s">
        <v>181</v>
      </c>
      <c r="AN237" s="107">
        <v>0.95</v>
      </c>
      <c r="AO237" s="48">
        <f t="shared" si="288"/>
        <v>120403181.77884613</v>
      </c>
      <c r="AP237" s="156">
        <f t="shared" si="289"/>
        <v>84282227.245192289</v>
      </c>
      <c r="AQ237" s="161">
        <f t="shared" si="290"/>
        <v>3327931304.9020376</v>
      </c>
      <c r="AR237" s="163">
        <f t="shared" si="291"/>
        <v>1.7611805555473314</v>
      </c>
      <c r="AS237" s="49">
        <f t="shared" si="292"/>
        <v>0.24738888888888891</v>
      </c>
      <c r="AT237" s="165">
        <f t="shared" si="293"/>
        <v>9.8211369047619055</v>
      </c>
      <c r="AU237" s="254">
        <f t="shared" si="198"/>
        <v>183606.02499999999</v>
      </c>
      <c r="AV237" s="255">
        <f t="shared" si="199"/>
        <v>438605.77500000002</v>
      </c>
      <c r="AW237" s="256">
        <f t="shared" si="200"/>
        <v>0.41861287622124899</v>
      </c>
    </row>
    <row r="238" spans="1:49">
      <c r="A238" s="108">
        <v>236</v>
      </c>
      <c r="F238" s="45">
        <v>43128.869571759256</v>
      </c>
      <c r="G238" s="45">
        <v>43128.912141203706</v>
      </c>
      <c r="H238" s="53">
        <f>G238-F238-'user time'!E189</f>
        <v>4.2372685190068093E-2</v>
      </c>
      <c r="I238" s="86">
        <v>44.53</v>
      </c>
      <c r="J238" s="109" t="s">
        <v>260</v>
      </c>
      <c r="K238" s="88" t="s">
        <v>72</v>
      </c>
      <c r="L238" s="88" t="s">
        <v>73</v>
      </c>
      <c r="M238" s="88">
        <v>-369</v>
      </c>
      <c r="N238" s="108">
        <v>1</v>
      </c>
      <c r="O238" s="108">
        <v>200</v>
      </c>
      <c r="P238" s="88">
        <v>347</v>
      </c>
      <c r="Q238" s="88" t="s">
        <v>75</v>
      </c>
      <c r="R238" s="88" t="s">
        <v>348</v>
      </c>
      <c r="S238" s="110">
        <v>9400</v>
      </c>
      <c r="T238" s="110">
        <v>877</v>
      </c>
      <c r="U238" s="88">
        <v>983</v>
      </c>
      <c r="V238" s="90">
        <v>1500</v>
      </c>
      <c r="W238" s="111">
        <v>10</v>
      </c>
      <c r="X238" s="110">
        <v>43874</v>
      </c>
      <c r="Y238" s="110">
        <v>771309</v>
      </c>
      <c r="Z238" s="110">
        <v>6186809</v>
      </c>
      <c r="AA238" s="110">
        <v>1921494</v>
      </c>
      <c r="AB238" s="112">
        <v>4284558</v>
      </c>
      <c r="AC238" s="109">
        <v>160.19999999999999</v>
      </c>
      <c r="AD238" s="110">
        <v>-109.9</v>
      </c>
      <c r="AE238" s="110">
        <v>4.1500000000000004</v>
      </c>
      <c r="AF238" s="110">
        <v>-0.56999999999999995</v>
      </c>
      <c r="AG238" s="110">
        <v>109.8</v>
      </c>
      <c r="AH238" s="110">
        <v>-110.1</v>
      </c>
      <c r="AI238" s="110">
        <v>3.5</v>
      </c>
      <c r="AJ238" s="109">
        <v>-0.54</v>
      </c>
      <c r="AK238" s="113" t="s">
        <v>59</v>
      </c>
      <c r="AL238" s="107" t="s">
        <v>181</v>
      </c>
      <c r="AN238" s="107">
        <v>0.95499999999999996</v>
      </c>
      <c r="AO238" s="48">
        <f t="shared" si="288"/>
        <v>129192942.40326923</v>
      </c>
      <c r="AP238" s="156">
        <f t="shared" si="289"/>
        <v>90435059.682288453</v>
      </c>
      <c r="AQ238" s="161">
        <f t="shared" si="290"/>
        <v>3418366364.5843263</v>
      </c>
      <c r="AR238" s="163">
        <f t="shared" si="291"/>
        <v>1.8035532407373995</v>
      </c>
      <c r="AS238" s="49">
        <f t="shared" si="292"/>
        <v>0.2694771825396825</v>
      </c>
      <c r="AT238" s="165">
        <f t="shared" si="293"/>
        <v>10.090614087301589</v>
      </c>
      <c r="AU238" s="254">
        <f t="shared" si="198"/>
        <v>183502.677</v>
      </c>
      <c r="AV238" s="255">
        <f t="shared" si="199"/>
        <v>437102.52299999999</v>
      </c>
      <c r="AW238" s="256">
        <f t="shared" si="200"/>
        <v>0.41981610113012319</v>
      </c>
    </row>
    <row r="239" spans="1:49">
      <c r="A239" s="108">
        <v>237</v>
      </c>
      <c r="F239" s="45">
        <v>43128.912199074075</v>
      </c>
      <c r="G239" s="45">
        <v>43128.954409722224</v>
      </c>
      <c r="H239" s="53">
        <f>G239-F239</f>
        <v>4.221064814919373E-2</v>
      </c>
      <c r="I239" s="86">
        <v>44.49</v>
      </c>
      <c r="J239" s="109" t="s">
        <v>260</v>
      </c>
      <c r="K239" s="88" t="s">
        <v>72</v>
      </c>
      <c r="L239" s="88" t="s">
        <v>73</v>
      </c>
      <c r="M239" s="88">
        <v>-369</v>
      </c>
      <c r="N239" s="108">
        <v>1</v>
      </c>
      <c r="O239" s="108">
        <v>200</v>
      </c>
      <c r="P239" s="88">
        <v>347</v>
      </c>
      <c r="Q239" s="88" t="s">
        <v>75</v>
      </c>
      <c r="R239" s="88" t="s">
        <v>348</v>
      </c>
      <c r="S239" s="110">
        <v>9200</v>
      </c>
      <c r="T239" s="110">
        <v>841</v>
      </c>
      <c r="U239" s="88">
        <v>983</v>
      </c>
      <c r="V239" s="90">
        <v>1500</v>
      </c>
      <c r="W239" s="111">
        <v>10</v>
      </c>
      <c r="X239" s="110">
        <v>43918</v>
      </c>
      <c r="Y239" s="110">
        <v>770821</v>
      </c>
      <c r="Z239" s="110">
        <v>6090201</v>
      </c>
      <c r="AA239" s="110">
        <v>1897818</v>
      </c>
      <c r="AB239" s="112">
        <v>4214518</v>
      </c>
      <c r="AC239" s="109">
        <v>160.19999999999999</v>
      </c>
      <c r="AD239" s="110">
        <v>-109.9</v>
      </c>
      <c r="AE239" s="110">
        <v>4.1399999999999997</v>
      </c>
      <c r="AF239" s="110">
        <v>-0.56000000000000005</v>
      </c>
      <c r="AG239" s="110">
        <v>109.8</v>
      </c>
      <c r="AH239" s="110">
        <v>-110.1</v>
      </c>
      <c r="AI239" s="110">
        <v>3.5</v>
      </c>
      <c r="AJ239" s="109">
        <v>-0.54</v>
      </c>
      <c r="AK239" s="113" t="s">
        <v>59</v>
      </c>
      <c r="AL239" s="107" t="s">
        <v>181</v>
      </c>
      <c r="AN239" s="107">
        <v>0.95099999999999996</v>
      </c>
      <c r="AO239" s="48">
        <f t="shared" si="288"/>
        <v>126580701.46049999</v>
      </c>
      <c r="AP239" s="156">
        <f t="shared" si="289"/>
        <v>88606491.022349983</v>
      </c>
      <c r="AQ239" s="161">
        <f t="shared" si="290"/>
        <v>3506972855.6066761</v>
      </c>
      <c r="AR239" s="163">
        <f t="shared" si="291"/>
        <v>1.8457638888865933</v>
      </c>
      <c r="AS239" s="49">
        <f t="shared" si="292"/>
        <v>0.2648214285714286</v>
      </c>
      <c r="AT239" s="165">
        <f t="shared" si="293"/>
        <v>10.355435515873017</v>
      </c>
      <c r="AU239" s="254">
        <f t="shared" si="198"/>
        <v>180482.49179999999</v>
      </c>
      <c r="AV239" s="255">
        <f t="shared" si="199"/>
        <v>430751.10820000002</v>
      </c>
      <c r="AW239" s="256">
        <f t="shared" si="200"/>
        <v>0.41899484032482398</v>
      </c>
    </row>
    <row r="240" spans="1:49">
      <c r="A240" s="108">
        <v>238</v>
      </c>
      <c r="F240" s="45">
        <v>43128.954513888886</v>
      </c>
      <c r="G240" s="45">
        <v>43128.996724537035</v>
      </c>
      <c r="H240" s="53">
        <f>G240-F240</f>
        <v>4.221064814919373E-2</v>
      </c>
      <c r="I240" s="86">
        <v>44.57</v>
      </c>
      <c r="J240" s="109" t="s">
        <v>260</v>
      </c>
      <c r="K240" s="88" t="s">
        <v>72</v>
      </c>
      <c r="L240" s="88" t="s">
        <v>73</v>
      </c>
      <c r="M240" s="88">
        <v>-369</v>
      </c>
      <c r="N240" s="108">
        <v>1</v>
      </c>
      <c r="O240" s="108">
        <v>200</v>
      </c>
      <c r="P240" s="88">
        <v>347</v>
      </c>
      <c r="Q240" s="88" t="s">
        <v>75</v>
      </c>
      <c r="R240" s="88" t="s">
        <v>348</v>
      </c>
      <c r="S240" s="110">
        <v>9300</v>
      </c>
      <c r="T240" s="110">
        <v>849</v>
      </c>
      <c r="U240" s="88">
        <v>983</v>
      </c>
      <c r="V240" s="90">
        <v>1500</v>
      </c>
      <c r="W240" s="111">
        <v>10</v>
      </c>
      <c r="X240" s="110">
        <v>44014</v>
      </c>
      <c r="Y240" s="110">
        <v>770594</v>
      </c>
      <c r="Z240" s="110">
        <v>6152889</v>
      </c>
      <c r="AA240" s="110">
        <v>1917866</v>
      </c>
      <c r="AB240" s="112">
        <v>4256446</v>
      </c>
      <c r="AC240" s="109">
        <v>160.19999999999999</v>
      </c>
      <c r="AD240" s="110">
        <v>-110</v>
      </c>
      <c r="AE240" s="110">
        <v>4.1399999999999997</v>
      </c>
      <c r="AF240" s="110">
        <v>-0.56999999999999995</v>
      </c>
      <c r="AG240" s="110">
        <v>109.8</v>
      </c>
      <c r="AH240" s="110">
        <v>-110.1</v>
      </c>
      <c r="AI240" s="110">
        <v>3.5</v>
      </c>
      <c r="AJ240" s="109">
        <v>-0.54</v>
      </c>
      <c r="AK240" s="113" t="s">
        <v>59</v>
      </c>
      <c r="AL240" s="107" t="s">
        <v>181</v>
      </c>
      <c r="AN240" s="107">
        <v>0.95899999999999996</v>
      </c>
      <c r="AO240" s="48">
        <f t="shared" si="288"/>
        <v>128993933.70419231</v>
      </c>
      <c r="AP240" s="156">
        <f t="shared" si="289"/>
        <v>90295753.592934608</v>
      </c>
      <c r="AQ240" s="161">
        <f t="shared" si="290"/>
        <v>3597268609.1996107</v>
      </c>
      <c r="AR240" s="163">
        <f t="shared" si="291"/>
        <v>1.887974537035787</v>
      </c>
      <c r="AS240" s="49">
        <f t="shared" si="292"/>
        <v>0.26529761904761906</v>
      </c>
      <c r="AT240" s="165">
        <f t="shared" si="293"/>
        <v>10.620733134920636</v>
      </c>
      <c r="AU240" s="254">
        <f t="shared" si="198"/>
        <v>183923.34940000001</v>
      </c>
      <c r="AV240" s="255">
        <f t="shared" si="199"/>
        <v>433507.85060000001</v>
      </c>
      <c r="AW240" s="256">
        <f t="shared" si="200"/>
        <v>0.42426763239798176</v>
      </c>
    </row>
    <row r="241" spans="1:49">
      <c r="A241" s="108">
        <v>239</v>
      </c>
      <c r="F241" s="45">
        <v>43128.996805555558</v>
      </c>
      <c r="G241" s="45">
        <v>43129.037152777775</v>
      </c>
      <c r="H241" s="53">
        <f>G241-F241-'user time'!E190-'user time'!J43-'user time'!J44</f>
        <v>3.9328703698432735E-2</v>
      </c>
      <c r="I241" s="86">
        <v>44.58</v>
      </c>
      <c r="J241" s="109" t="s">
        <v>260</v>
      </c>
      <c r="K241" s="88" t="s">
        <v>72</v>
      </c>
      <c r="L241" s="88" t="s">
        <v>73</v>
      </c>
      <c r="M241" s="88">
        <v>-369</v>
      </c>
      <c r="N241" s="108">
        <v>1</v>
      </c>
      <c r="O241" s="108">
        <v>200</v>
      </c>
      <c r="P241" s="88">
        <v>347</v>
      </c>
      <c r="Q241" s="88" t="s">
        <v>75</v>
      </c>
      <c r="R241" s="88" t="s">
        <v>348</v>
      </c>
      <c r="S241" s="110">
        <v>9300</v>
      </c>
      <c r="T241" s="110">
        <v>819</v>
      </c>
      <c r="U241" s="88">
        <v>983</v>
      </c>
      <c r="V241" s="90">
        <v>1500</v>
      </c>
      <c r="W241" s="111">
        <v>10</v>
      </c>
      <c r="X241" s="110">
        <v>43868</v>
      </c>
      <c r="Y241" s="110">
        <v>771154</v>
      </c>
      <c r="Z241" s="110">
        <v>6105301</v>
      </c>
      <c r="AA241" s="110">
        <v>1904859</v>
      </c>
      <c r="AB241" s="112">
        <v>4222002</v>
      </c>
      <c r="AC241" s="109">
        <v>160.19999999999999</v>
      </c>
      <c r="AD241" s="110">
        <v>-109.9</v>
      </c>
      <c r="AE241" s="110">
        <v>4.1399999999999997</v>
      </c>
      <c r="AF241" s="110">
        <v>-0.56999999999999995</v>
      </c>
      <c r="AG241" s="110">
        <v>109.8</v>
      </c>
      <c r="AH241" s="110">
        <v>-110.1</v>
      </c>
      <c r="AI241" s="110">
        <v>3.51</v>
      </c>
      <c r="AJ241" s="109">
        <v>-0.54</v>
      </c>
      <c r="AK241" s="113" t="s">
        <v>59</v>
      </c>
      <c r="AL241" s="107" t="s">
        <v>181</v>
      </c>
      <c r="AN241" s="107">
        <v>0.95499999999999996</v>
      </c>
      <c r="AO241" s="48">
        <f t="shared" si="288"/>
        <v>118873824.85211538</v>
      </c>
      <c r="AP241" s="156">
        <f t="shared" si="289"/>
        <v>83211677.396480754</v>
      </c>
      <c r="AQ241" s="161">
        <f t="shared" si="290"/>
        <v>3680480286.5960913</v>
      </c>
      <c r="AR241" s="163">
        <f t="shared" si="291"/>
        <v>1.9273032407342197</v>
      </c>
      <c r="AS241" s="49">
        <f t="shared" si="292"/>
        <v>0.24766666666666665</v>
      </c>
      <c r="AT241" s="165">
        <f t="shared" si="293"/>
        <v>10.868399801587303</v>
      </c>
      <c r="AU241" s="254">
        <f t="shared" si="198"/>
        <v>181914.03449999998</v>
      </c>
      <c r="AV241" s="255">
        <f t="shared" si="199"/>
        <v>430772.06550000003</v>
      </c>
      <c r="AW241" s="256">
        <f t="shared" si="200"/>
        <v>0.42229765824961546</v>
      </c>
    </row>
    <row r="242" spans="1:49">
      <c r="A242" s="108">
        <v>240</v>
      </c>
      <c r="F242" s="45">
        <v>43129.037326388891</v>
      </c>
      <c r="G242" s="45">
        <v>43129.078043981484</v>
      </c>
      <c r="H242" s="53">
        <f>G242-F242</f>
        <v>4.0717592593864538E-2</v>
      </c>
      <c r="I242" s="86">
        <v>44.56</v>
      </c>
      <c r="J242" s="109" t="s">
        <v>260</v>
      </c>
      <c r="K242" s="88" t="s">
        <v>72</v>
      </c>
      <c r="L242" s="88" t="s">
        <v>73</v>
      </c>
      <c r="M242" s="88">
        <v>-369</v>
      </c>
      <c r="N242" s="108">
        <v>1</v>
      </c>
      <c r="O242" s="108">
        <v>200</v>
      </c>
      <c r="P242" s="88">
        <v>347</v>
      </c>
      <c r="Q242" s="88" t="s">
        <v>75</v>
      </c>
      <c r="R242" s="88" t="s">
        <v>348</v>
      </c>
      <c r="S242" s="110">
        <v>9300</v>
      </c>
      <c r="T242" s="110">
        <v>860</v>
      </c>
      <c r="U242" s="88">
        <v>983</v>
      </c>
      <c r="V242" s="90">
        <v>1500</v>
      </c>
      <c r="W242" s="111">
        <v>10</v>
      </c>
      <c r="X242" s="110">
        <v>44139</v>
      </c>
      <c r="Y242" s="110">
        <v>769267</v>
      </c>
      <c r="Z242" s="110">
        <v>6139022</v>
      </c>
      <c r="AA242" s="110">
        <v>1918665</v>
      </c>
      <c r="AB242" s="112">
        <v>4241698</v>
      </c>
      <c r="AC242" s="109">
        <v>160.19999999999999</v>
      </c>
      <c r="AD242" s="110">
        <v>-109.9</v>
      </c>
      <c r="AE242" s="110">
        <v>4.1399999999999997</v>
      </c>
      <c r="AF242" s="110">
        <v>-0.56000000000000005</v>
      </c>
      <c r="AG242" s="110">
        <v>109.8</v>
      </c>
      <c r="AH242" s="110">
        <v>-110.1</v>
      </c>
      <c r="AI242" s="110">
        <v>3.51</v>
      </c>
      <c r="AJ242" s="109">
        <v>-0.54</v>
      </c>
      <c r="AK242" s="113" t="s">
        <v>59</v>
      </c>
      <c r="AL242" s="107" t="s">
        <v>181</v>
      </c>
      <c r="AN242" s="107">
        <v>0.95499999999999996</v>
      </c>
      <c r="AO242" s="48">
        <f t="shared" si="288"/>
        <v>123963838.72788461</v>
      </c>
      <c r="AP242" s="156">
        <f t="shared" si="289"/>
        <v>86774687.109519213</v>
      </c>
      <c r="AQ242" s="161">
        <f t="shared" si="290"/>
        <v>3767254973.7056103</v>
      </c>
      <c r="AR242" s="163">
        <f t="shared" si="291"/>
        <v>1.9680208333280842</v>
      </c>
      <c r="AS242" s="49">
        <f t="shared" si="292"/>
        <v>0.2563968253968254</v>
      </c>
      <c r="AT242" s="165">
        <f t="shared" si="293"/>
        <v>11.124796626984129</v>
      </c>
      <c r="AU242" s="254">
        <f t="shared" si="198"/>
        <v>183232.50749999998</v>
      </c>
      <c r="AV242" s="255">
        <f t="shared" si="199"/>
        <v>432803.79249999998</v>
      </c>
      <c r="AW242" s="256">
        <f t="shared" si="200"/>
        <v>0.42336160328354788</v>
      </c>
    </row>
    <row r="243" spans="1:49">
      <c r="A243" s="108">
        <v>241</v>
      </c>
      <c r="F243" s="45">
        <v>43129.0780787037</v>
      </c>
      <c r="G243" s="45">
        <v>43129.12568287037</v>
      </c>
      <c r="H243" s="53">
        <f>G243-F243-'user time'!J46</f>
        <v>3.6446759262363682E-2</v>
      </c>
      <c r="I243" s="86">
        <v>44.62</v>
      </c>
      <c r="J243" s="109" t="s">
        <v>260</v>
      </c>
      <c r="K243" s="88" t="s">
        <v>72</v>
      </c>
      <c r="L243" s="88" t="s">
        <v>73</v>
      </c>
      <c r="M243" s="88">
        <v>-369</v>
      </c>
      <c r="N243" s="108">
        <v>1</v>
      </c>
      <c r="O243" s="108">
        <v>200</v>
      </c>
      <c r="P243" s="88">
        <v>347</v>
      </c>
      <c r="Q243" s="88" t="s">
        <v>75</v>
      </c>
      <c r="R243" s="88" t="s">
        <v>348</v>
      </c>
      <c r="S243" s="110">
        <v>9400</v>
      </c>
      <c r="T243" s="110">
        <v>833</v>
      </c>
      <c r="U243" s="88">
        <v>983</v>
      </c>
      <c r="V243" s="90">
        <v>1500</v>
      </c>
      <c r="W243" s="111">
        <v>10</v>
      </c>
      <c r="X243" s="110">
        <v>42529</v>
      </c>
      <c r="Y243" s="110">
        <v>751903</v>
      </c>
      <c r="Z243" s="110">
        <v>5991082</v>
      </c>
      <c r="AA243" s="110">
        <v>1869449</v>
      </c>
      <c r="AB243" s="112">
        <v>4142158</v>
      </c>
      <c r="AC243" s="109">
        <v>160.19999999999999</v>
      </c>
      <c r="AD243" s="110">
        <v>-109.9</v>
      </c>
      <c r="AE243" s="110">
        <v>4.1399999999999997</v>
      </c>
      <c r="AF243" s="110">
        <v>-0.56000000000000005</v>
      </c>
      <c r="AG243" s="110">
        <v>109.8</v>
      </c>
      <c r="AH243" s="110">
        <v>-110.1</v>
      </c>
      <c r="AI243" s="110">
        <v>3.51</v>
      </c>
      <c r="AJ243" s="109">
        <v>-0.54</v>
      </c>
      <c r="AK243" s="113" t="s">
        <v>59</v>
      </c>
      <c r="AL243" s="107" t="s">
        <v>181</v>
      </c>
      <c r="AN243" s="107">
        <v>0.95799999999999996</v>
      </c>
      <c r="AO243" s="48">
        <f t="shared" si="288"/>
        <v>108454717.59919231</v>
      </c>
      <c r="AP243" s="156">
        <f t="shared" si="289"/>
        <v>75918302.319434613</v>
      </c>
      <c r="AQ243" s="161">
        <f t="shared" si="290"/>
        <v>3843173276.0250449</v>
      </c>
      <c r="AR243" s="163">
        <f t="shared" si="291"/>
        <v>2.0044675925904478</v>
      </c>
      <c r="AS243" s="49">
        <f t="shared" si="292"/>
        <v>0.23018253968253966</v>
      </c>
      <c r="AT243" s="165">
        <f t="shared" si="293"/>
        <v>11.354979166666668</v>
      </c>
      <c r="AU243" s="254">
        <f t="shared" si="198"/>
        <v>179093.21419999999</v>
      </c>
      <c r="AV243" s="255">
        <f t="shared" si="199"/>
        <v>422067.48580000002</v>
      </c>
      <c r="AW243" s="256">
        <f t="shared" si="200"/>
        <v>0.42432364544864443</v>
      </c>
    </row>
    <row r="244" spans="1:49">
      <c r="A244" s="108">
        <v>242</v>
      </c>
      <c r="F244" s="45">
        <v>43129.125717592593</v>
      </c>
      <c r="G244" s="45">
        <v>43129.158564814818</v>
      </c>
      <c r="H244" s="53">
        <f>G244-F244</f>
        <v>3.2847222224518191E-2</v>
      </c>
      <c r="I244" s="86">
        <v>44.51</v>
      </c>
      <c r="J244" s="109" t="s">
        <v>260</v>
      </c>
      <c r="K244" s="88" t="s">
        <v>72</v>
      </c>
      <c r="L244" s="88" t="s">
        <v>73</v>
      </c>
      <c r="M244" s="88">
        <v>-369</v>
      </c>
      <c r="N244" s="108">
        <v>1</v>
      </c>
      <c r="O244" s="108">
        <v>200</v>
      </c>
      <c r="P244" s="88">
        <v>347</v>
      </c>
      <c r="Q244" s="88" t="s">
        <v>75</v>
      </c>
      <c r="R244" s="88" t="s">
        <v>348</v>
      </c>
      <c r="S244" s="110">
        <v>8874</v>
      </c>
      <c r="T244" s="110">
        <v>840</v>
      </c>
      <c r="U244" s="88">
        <v>983</v>
      </c>
      <c r="V244" s="90">
        <v>1500</v>
      </c>
      <c r="W244" s="111">
        <v>10</v>
      </c>
      <c r="X244" s="110">
        <v>43794</v>
      </c>
      <c r="Y244" s="110">
        <v>770206</v>
      </c>
      <c r="Z244" s="110">
        <v>6153871</v>
      </c>
      <c r="AA244" s="110">
        <v>1923404</v>
      </c>
      <c r="AB244" s="112">
        <v>4250998</v>
      </c>
      <c r="AC244" s="109">
        <v>160.19999999999999</v>
      </c>
      <c r="AD244" s="110">
        <v>-109.9</v>
      </c>
      <c r="AE244" s="110">
        <v>4.1399999999999997</v>
      </c>
      <c r="AF244" s="110">
        <v>-0.56000000000000005</v>
      </c>
      <c r="AG244" s="110">
        <v>109.8</v>
      </c>
      <c r="AH244" s="110">
        <v>-110.1</v>
      </c>
      <c r="AI244" s="110">
        <v>3.51</v>
      </c>
      <c r="AJ244" s="109">
        <v>-0.54</v>
      </c>
      <c r="AK244" s="113" t="s">
        <v>59</v>
      </c>
      <c r="AL244" s="107" t="s">
        <v>354</v>
      </c>
      <c r="AN244" s="107">
        <v>0.95899999999999996</v>
      </c>
      <c r="AO244" s="48">
        <f t="shared" si="288"/>
        <v>100669559.79553846</v>
      </c>
      <c r="AP244" s="156">
        <f t="shared" si="289"/>
        <v>70468691.85687691</v>
      </c>
      <c r="AQ244" s="161">
        <f t="shared" si="290"/>
        <v>3913641967.8819218</v>
      </c>
      <c r="AR244" s="163">
        <f t="shared" si="291"/>
        <v>2.037314814814966</v>
      </c>
      <c r="AS244" s="49">
        <f t="shared" si="292"/>
        <v>0.20753670634920635</v>
      </c>
      <c r="AT244" s="165">
        <f t="shared" si="293"/>
        <v>11.562515873015874</v>
      </c>
      <c r="AU244" s="254">
        <f t="shared" si="198"/>
        <v>184454.4436</v>
      </c>
      <c r="AV244" s="255">
        <f t="shared" si="199"/>
        <v>432985.75640000001</v>
      </c>
      <c r="AW244" s="256">
        <f t="shared" si="200"/>
        <v>0.42600580012982614</v>
      </c>
    </row>
    <row r="245" spans="1:49">
      <c r="A245" s="108">
        <v>243</v>
      </c>
      <c r="F245" s="45">
        <v>43129.170717592591</v>
      </c>
      <c r="G245" s="45">
        <v>43129.235243055555</v>
      </c>
      <c r="H245" s="53">
        <f>G245-F245-SUM('user time'!J49:J51)</f>
        <v>4.1516203704242638E-2</v>
      </c>
      <c r="I245" s="86">
        <v>44.57</v>
      </c>
      <c r="J245" s="109" t="s">
        <v>260</v>
      </c>
      <c r="K245" s="88" t="s">
        <v>72</v>
      </c>
      <c r="L245" s="88" t="s">
        <v>73</v>
      </c>
      <c r="M245" s="88">
        <v>-369</v>
      </c>
      <c r="N245" s="108">
        <v>1</v>
      </c>
      <c r="O245" s="108">
        <v>200</v>
      </c>
      <c r="P245" s="88">
        <v>347</v>
      </c>
      <c r="Q245" s="88" t="s">
        <v>75</v>
      </c>
      <c r="R245" s="88" t="s">
        <v>348</v>
      </c>
      <c r="S245" s="110">
        <v>9400</v>
      </c>
      <c r="T245" s="110">
        <v>849</v>
      </c>
      <c r="U245" s="88">
        <v>983</v>
      </c>
      <c r="V245" s="90">
        <v>1500</v>
      </c>
      <c r="W245" s="111">
        <v>10</v>
      </c>
      <c r="X245" s="110">
        <v>43713</v>
      </c>
      <c r="Y245" s="110">
        <v>773389</v>
      </c>
      <c r="Z245" s="110">
        <v>6165282</v>
      </c>
      <c r="AA245" s="110">
        <v>1930538</v>
      </c>
      <c r="AB245" s="112">
        <v>4255453</v>
      </c>
      <c r="AC245" s="109">
        <v>160.19999999999999</v>
      </c>
      <c r="AD245" s="110">
        <v>-109.9</v>
      </c>
      <c r="AE245" s="110">
        <v>4.1399999999999997</v>
      </c>
      <c r="AF245" s="110">
        <v>-0.56000000000000005</v>
      </c>
      <c r="AG245" s="110">
        <v>109.8</v>
      </c>
      <c r="AH245" s="110">
        <v>-110.1</v>
      </c>
      <c r="AI245" s="110">
        <v>3.51</v>
      </c>
      <c r="AJ245" s="109">
        <v>-0.54</v>
      </c>
      <c r="AK245" s="113" t="s">
        <v>59</v>
      </c>
      <c r="AL245" s="107" t="s">
        <v>181</v>
      </c>
      <c r="AN245" s="107">
        <v>0.95899999999999996</v>
      </c>
      <c r="AO245" s="48">
        <f t="shared" si="288"/>
        <v>127710026.42219231</v>
      </c>
      <c r="AP245" s="156">
        <f t="shared" si="289"/>
        <v>89397018.495534614</v>
      </c>
      <c r="AQ245" s="161">
        <f t="shared" si="290"/>
        <v>4003038986.3774562</v>
      </c>
      <c r="AR245" s="163">
        <f t="shared" si="291"/>
        <v>2.0788310185192085</v>
      </c>
      <c r="AS245" s="49">
        <f t="shared" si="292"/>
        <v>0.2608759920634921</v>
      </c>
      <c r="AT245" s="165">
        <f t="shared" si="293"/>
        <v>11.823391865079365</v>
      </c>
      <c r="AU245" s="254">
        <f t="shared" si="198"/>
        <v>185138.59419999999</v>
      </c>
      <c r="AV245" s="255">
        <f t="shared" si="199"/>
        <v>433460.50579999998</v>
      </c>
      <c r="AW245" s="256">
        <f t="shared" si="200"/>
        <v>0.42711756139883139</v>
      </c>
    </row>
    <row r="246" spans="1:49">
      <c r="A246" s="108">
        <v>244</v>
      </c>
      <c r="F246" s="45">
        <v>43129.23537037037</v>
      </c>
      <c r="G246" s="45">
        <v>43129.276504629626</v>
      </c>
      <c r="H246" s="53">
        <f>G246-F246</f>
        <v>4.1134259256068617E-2</v>
      </c>
      <c r="I246" s="86">
        <v>44.51</v>
      </c>
      <c r="J246" s="109" t="s">
        <v>260</v>
      </c>
      <c r="K246" s="88" t="s">
        <v>72</v>
      </c>
      <c r="L246" s="88" t="s">
        <v>73</v>
      </c>
      <c r="M246" s="88">
        <v>-369</v>
      </c>
      <c r="N246" s="108">
        <v>1</v>
      </c>
      <c r="O246" s="108">
        <v>200</v>
      </c>
      <c r="P246" s="88">
        <v>347</v>
      </c>
      <c r="Q246" s="88" t="s">
        <v>75</v>
      </c>
      <c r="R246" s="88" t="s">
        <v>348</v>
      </c>
      <c r="S246" s="110">
        <v>9400</v>
      </c>
      <c r="T246" s="110">
        <v>844</v>
      </c>
      <c r="U246" s="88">
        <v>983</v>
      </c>
      <c r="V246" s="90">
        <v>1500</v>
      </c>
      <c r="W246" s="111">
        <v>10</v>
      </c>
      <c r="X246" s="110">
        <v>43954</v>
      </c>
      <c r="Y246" s="110">
        <v>770661</v>
      </c>
      <c r="Z246" s="110">
        <v>6150929</v>
      </c>
      <c r="AA246" s="110">
        <v>1925074</v>
      </c>
      <c r="AB246" s="112">
        <v>4246154</v>
      </c>
      <c r="AC246" s="109">
        <v>160.19999999999999</v>
      </c>
      <c r="AD246" s="110">
        <v>-109.9</v>
      </c>
      <c r="AE246" s="110">
        <v>4.1399999999999997</v>
      </c>
      <c r="AF246" s="110">
        <v>-0.56000000000000005</v>
      </c>
      <c r="AG246" s="110">
        <v>109.8</v>
      </c>
      <c r="AH246" s="110">
        <v>-110.1</v>
      </c>
      <c r="AI246" s="110">
        <v>3.51</v>
      </c>
      <c r="AJ246" s="109">
        <v>-0.54</v>
      </c>
      <c r="AK246" s="113" t="s">
        <v>59</v>
      </c>
      <c r="AL246" s="107" t="s">
        <v>181</v>
      </c>
      <c r="AN246" s="107">
        <v>0.95899999999999996</v>
      </c>
      <c r="AO246" s="48">
        <f t="shared" ref="AO246:AO250" si="294">(HOUR(H246)*60*60+MINUTE(H246)*60+SECOND(H246))/5.2*AA246/W246*AN246</f>
        <v>126176976.21469229</v>
      </c>
      <c r="AP246" s="156">
        <f t="shared" ref="AP246:AP250" si="295">AO246*0.7</f>
        <v>88323883.350284606</v>
      </c>
      <c r="AQ246" s="161">
        <f t="shared" ref="AQ246:AQ250" si="296">AP246+AQ245</f>
        <v>4091362869.7277408</v>
      </c>
      <c r="AR246" s="163">
        <f t="shared" ref="AR246:AR250" si="297">H246+AR245</f>
        <v>2.1199652777752771</v>
      </c>
      <c r="AS246" s="49">
        <f t="shared" ref="AS246:AS250" si="298">I246*(HOUR(H246)*60+MINUTE(H246))/60/(7*24)</f>
        <v>0.26052480158730151</v>
      </c>
      <c r="AT246" s="165">
        <f t="shared" ref="AT246:AT250" si="299">AS246+AT245</f>
        <v>12.083916666666667</v>
      </c>
      <c r="AU246" s="254">
        <f t="shared" si="198"/>
        <v>184614.59659999999</v>
      </c>
      <c r="AV246" s="255">
        <f t="shared" si="199"/>
        <v>432508.20340000006</v>
      </c>
      <c r="AW246" s="256">
        <f t="shared" si="200"/>
        <v>0.42684646244561836</v>
      </c>
    </row>
    <row r="247" spans="1:49">
      <c r="A247" s="108">
        <v>245</v>
      </c>
      <c r="F247" s="45">
        <v>43129.276574074072</v>
      </c>
      <c r="G247" s="45">
        <v>43129.317685185182</v>
      </c>
      <c r="H247" s="53">
        <f>G247-F247-SUM('user time'!J52:J54)</f>
        <v>4.0231481480155595E-2</v>
      </c>
      <c r="I247" s="86">
        <v>44.58</v>
      </c>
      <c r="J247" s="109" t="s">
        <v>260</v>
      </c>
      <c r="K247" s="88" t="s">
        <v>72</v>
      </c>
      <c r="L247" s="88" t="s">
        <v>73</v>
      </c>
      <c r="M247" s="88">
        <v>-369</v>
      </c>
      <c r="N247" s="108">
        <v>1</v>
      </c>
      <c r="O247" s="108">
        <v>200</v>
      </c>
      <c r="P247" s="88">
        <v>347</v>
      </c>
      <c r="Q247" s="88" t="s">
        <v>75</v>
      </c>
      <c r="R247" s="88" t="s">
        <v>348</v>
      </c>
      <c r="S247" s="110">
        <v>9400</v>
      </c>
      <c r="T247" s="110">
        <v>855</v>
      </c>
      <c r="U247" s="88">
        <v>983</v>
      </c>
      <c r="V247" s="90">
        <v>1500</v>
      </c>
      <c r="W247" s="111">
        <v>10</v>
      </c>
      <c r="X247" s="110">
        <v>44017</v>
      </c>
      <c r="Y247" s="110">
        <v>771528</v>
      </c>
      <c r="Z247" s="110">
        <v>6181788</v>
      </c>
      <c r="AA247" s="110">
        <v>1932905</v>
      </c>
      <c r="AB247" s="112">
        <v>4269350</v>
      </c>
      <c r="AC247" s="109">
        <v>160.19999999999999</v>
      </c>
      <c r="AD247" s="110">
        <v>-109.9</v>
      </c>
      <c r="AE247" s="110">
        <v>4.1399999999999997</v>
      </c>
      <c r="AF247" s="110">
        <v>-0.56000000000000005</v>
      </c>
      <c r="AG247" s="110">
        <v>109.8</v>
      </c>
      <c r="AH247" s="110">
        <v>-110.1</v>
      </c>
      <c r="AI247" s="110">
        <v>3.51</v>
      </c>
      <c r="AJ247" s="109">
        <v>-0.54</v>
      </c>
      <c r="AK247" s="113" t="s">
        <v>59</v>
      </c>
      <c r="AL247" s="107" t="s">
        <v>181</v>
      </c>
      <c r="AN247" s="107">
        <v>0.95499999999999996</v>
      </c>
      <c r="AO247" s="48">
        <f t="shared" si="294"/>
        <v>123392938.07499999</v>
      </c>
      <c r="AP247" s="156">
        <f t="shared" si="295"/>
        <v>86375056.652499989</v>
      </c>
      <c r="AQ247" s="161">
        <f t="shared" si="296"/>
        <v>4177737926.3802409</v>
      </c>
      <c r="AR247" s="163">
        <f t="shared" si="297"/>
        <v>2.1601967592554328</v>
      </c>
      <c r="AS247" s="49">
        <f t="shared" si="298"/>
        <v>0.25208928571428568</v>
      </c>
      <c r="AT247" s="165">
        <f t="shared" si="299"/>
        <v>12.336005952380953</v>
      </c>
      <c r="AU247" s="254">
        <f t="shared" si="198"/>
        <v>184592.42749999999</v>
      </c>
      <c r="AV247" s="255">
        <f t="shared" si="199"/>
        <v>435633.07250000001</v>
      </c>
      <c r="AW247" s="256">
        <f t="shared" si="200"/>
        <v>0.42373373178639917</v>
      </c>
    </row>
    <row r="248" spans="1:49">
      <c r="A248" s="108">
        <v>246</v>
      </c>
      <c r="F248" s="45">
        <v>43129.317835648151</v>
      </c>
      <c r="G248" s="45">
        <v>43129.359039351853</v>
      </c>
      <c r="H248" s="53">
        <f>G248-F248-SUM('user time'!J55:J57)</f>
        <v>4.0115740739231631E-2</v>
      </c>
      <c r="I248" s="86">
        <v>44.52</v>
      </c>
      <c r="J248" s="109" t="s">
        <v>260</v>
      </c>
      <c r="K248" s="88" t="s">
        <v>72</v>
      </c>
      <c r="L248" s="88" t="s">
        <v>73</v>
      </c>
      <c r="M248" s="88">
        <v>-369</v>
      </c>
      <c r="N248" s="108">
        <v>1</v>
      </c>
      <c r="O248" s="108">
        <v>200</v>
      </c>
      <c r="P248" s="88">
        <v>347</v>
      </c>
      <c r="Q248" s="88" t="s">
        <v>75</v>
      </c>
      <c r="R248" s="88" t="s">
        <v>348</v>
      </c>
      <c r="S248" s="110">
        <v>9300</v>
      </c>
      <c r="T248" s="110">
        <v>857</v>
      </c>
      <c r="U248" s="88">
        <v>983</v>
      </c>
      <c r="V248" s="90">
        <v>1500</v>
      </c>
      <c r="W248" s="111">
        <v>10</v>
      </c>
      <c r="X248" s="110">
        <v>43792</v>
      </c>
      <c r="Y248" s="110">
        <v>771883</v>
      </c>
      <c r="Z248" s="110">
        <v>6169139</v>
      </c>
      <c r="AA248" s="110">
        <v>1926083</v>
      </c>
      <c r="AB248" s="112">
        <v>4263764</v>
      </c>
      <c r="AC248" s="109">
        <v>160.19999999999999</v>
      </c>
      <c r="AD248" s="110">
        <v>-109.9</v>
      </c>
      <c r="AE248" s="110">
        <v>4.1399999999999997</v>
      </c>
      <c r="AF248" s="110">
        <v>-0.56000000000000005</v>
      </c>
      <c r="AG248" s="110">
        <v>109.8</v>
      </c>
      <c r="AH248" s="110">
        <v>-110.1</v>
      </c>
      <c r="AI248" s="110">
        <v>3.51</v>
      </c>
      <c r="AJ248" s="109">
        <v>-0.54</v>
      </c>
      <c r="AK248" s="113" t="s">
        <v>59</v>
      </c>
      <c r="AL248" s="107" t="s">
        <v>181</v>
      </c>
      <c r="AN248" s="107">
        <v>0.95899999999999996</v>
      </c>
      <c r="AO248" s="48">
        <f t="shared" si="294"/>
        <v>123117225.52311538</v>
      </c>
      <c r="AP248" s="156">
        <f t="shared" si="295"/>
        <v>86182057.866180763</v>
      </c>
      <c r="AQ248" s="161">
        <f t="shared" si="296"/>
        <v>4263919984.2464218</v>
      </c>
      <c r="AR248" s="163">
        <f t="shared" si="297"/>
        <v>2.2003124999946646</v>
      </c>
      <c r="AS248" s="49">
        <f t="shared" si="298"/>
        <v>0.25175000000000003</v>
      </c>
      <c r="AT248" s="165">
        <f t="shared" si="299"/>
        <v>12.587755952380952</v>
      </c>
      <c r="AU248" s="254">
        <f t="shared" si="198"/>
        <v>184711.35969999997</v>
      </c>
      <c r="AV248" s="255">
        <f t="shared" si="199"/>
        <v>434273.34030000004</v>
      </c>
      <c r="AW248" s="256">
        <f t="shared" si="200"/>
        <v>0.42533432877182759</v>
      </c>
    </row>
    <row r="249" spans="1:49">
      <c r="A249" s="108">
        <v>247</v>
      </c>
      <c r="F249" s="45">
        <v>43129.3590625</v>
      </c>
      <c r="G249" s="45">
        <v>43129.404409722221</v>
      </c>
      <c r="H249" s="53">
        <f>G249-F249-'user time'!J58</f>
        <v>4.4988425925311493E-2</v>
      </c>
      <c r="I249" s="86">
        <v>44.65</v>
      </c>
      <c r="J249" s="109" t="s">
        <v>260</v>
      </c>
      <c r="K249" s="88" t="s">
        <v>72</v>
      </c>
      <c r="L249" s="88" t="s">
        <v>73</v>
      </c>
      <c r="M249" s="88">
        <v>-369</v>
      </c>
      <c r="N249" s="108">
        <v>1</v>
      </c>
      <c r="O249" s="108">
        <v>200</v>
      </c>
      <c r="P249" s="88">
        <v>347</v>
      </c>
      <c r="Q249" s="88" t="s">
        <v>75</v>
      </c>
      <c r="R249" s="88" t="s">
        <v>348</v>
      </c>
      <c r="S249" s="110">
        <v>9325</v>
      </c>
      <c r="T249" s="110">
        <v>838</v>
      </c>
      <c r="U249" s="88">
        <v>983</v>
      </c>
      <c r="V249" s="90">
        <v>1500</v>
      </c>
      <c r="W249" s="111">
        <v>10</v>
      </c>
      <c r="X249" s="110">
        <v>43290</v>
      </c>
      <c r="Y249" s="110">
        <v>770004</v>
      </c>
      <c r="Z249" s="110">
        <v>6173908</v>
      </c>
      <c r="AA249" s="110">
        <v>1929044</v>
      </c>
      <c r="AB249" s="112">
        <v>4265444</v>
      </c>
      <c r="AC249" s="109">
        <v>160.19999999999999</v>
      </c>
      <c r="AD249" s="110">
        <v>-109.9</v>
      </c>
      <c r="AE249" s="110">
        <v>4.1399999999999997</v>
      </c>
      <c r="AF249" s="110">
        <v>-0.56000000000000005</v>
      </c>
      <c r="AG249" s="110">
        <v>109.8</v>
      </c>
      <c r="AH249" s="110">
        <v>-110.1</v>
      </c>
      <c r="AI249" s="110">
        <v>3.51</v>
      </c>
      <c r="AJ249" s="109">
        <v>-0.54</v>
      </c>
      <c r="AK249" s="113" t="s">
        <v>59</v>
      </c>
      <c r="AL249" s="107" t="s">
        <v>181</v>
      </c>
      <c r="AN249" s="107">
        <v>0.95599999999999996</v>
      </c>
      <c r="AO249" s="48">
        <f t="shared" si="294"/>
        <v>137851413.28399998</v>
      </c>
      <c r="AP249" s="156">
        <f t="shared" si="295"/>
        <v>96495989.298799977</v>
      </c>
      <c r="AQ249" s="161">
        <f t="shared" si="296"/>
        <v>4360415973.5452213</v>
      </c>
      <c r="AR249" s="163">
        <f t="shared" si="297"/>
        <v>2.2453009259199761</v>
      </c>
      <c r="AS249" s="49">
        <f t="shared" si="298"/>
        <v>0.28349206349206346</v>
      </c>
      <c r="AT249" s="165">
        <f t="shared" si="299"/>
        <v>12.871248015873016</v>
      </c>
      <c r="AU249" s="254">
        <f t="shared" si="198"/>
        <v>184416.60639999999</v>
      </c>
      <c r="AV249" s="255">
        <f t="shared" si="199"/>
        <v>435032.19360000006</v>
      </c>
      <c r="AW249" s="256">
        <f t="shared" si="200"/>
        <v>0.42391484840215277</v>
      </c>
    </row>
    <row r="250" spans="1:49">
      <c r="A250" s="108">
        <v>248</v>
      </c>
      <c r="F250" s="45">
        <v>43129.404432870368</v>
      </c>
      <c r="G250" s="45">
        <v>43129.447071759256</v>
      </c>
      <c r="H250" s="53">
        <f>G250-F250</f>
        <v>4.2638888888177462E-2</v>
      </c>
      <c r="I250" s="86">
        <v>44.6</v>
      </c>
      <c r="J250" s="109" t="s">
        <v>260</v>
      </c>
      <c r="K250" s="88" t="s">
        <v>72</v>
      </c>
      <c r="L250" s="88" t="s">
        <v>73</v>
      </c>
      <c r="M250" s="88">
        <v>-369</v>
      </c>
      <c r="N250" s="108">
        <v>1</v>
      </c>
      <c r="O250" s="108">
        <v>200</v>
      </c>
      <c r="P250" s="88">
        <v>347</v>
      </c>
      <c r="Q250" s="88" t="s">
        <v>75</v>
      </c>
      <c r="R250" s="88" t="s">
        <v>348</v>
      </c>
      <c r="S250" s="110">
        <v>7284</v>
      </c>
      <c r="T250" s="110">
        <v>842</v>
      </c>
      <c r="U250" s="88">
        <v>983</v>
      </c>
      <c r="V250" s="90">
        <v>1500</v>
      </c>
      <c r="W250" s="111">
        <v>10</v>
      </c>
      <c r="X250" s="110">
        <v>43892</v>
      </c>
      <c r="Y250" s="110">
        <v>771768</v>
      </c>
      <c r="Z250" s="110">
        <v>6184914</v>
      </c>
      <c r="AA250" s="110">
        <v>1936233</v>
      </c>
      <c r="AB250" s="112">
        <v>4269321</v>
      </c>
      <c r="AC250" s="109">
        <v>160.19999999999999</v>
      </c>
      <c r="AD250" s="110">
        <v>-109.9</v>
      </c>
      <c r="AE250" s="110">
        <v>4.1399999999999997</v>
      </c>
      <c r="AF250" s="110">
        <v>-0.56000000000000005</v>
      </c>
      <c r="AG250" s="110">
        <v>109.8</v>
      </c>
      <c r="AH250" s="110">
        <v>-110.1</v>
      </c>
      <c r="AI250" s="110">
        <v>3.5</v>
      </c>
      <c r="AJ250" s="109">
        <v>-0.54</v>
      </c>
      <c r="AK250" s="113" t="s">
        <v>59</v>
      </c>
      <c r="AL250" s="107" t="s">
        <v>181</v>
      </c>
      <c r="AN250" s="107">
        <v>0.95499999999999996</v>
      </c>
      <c r="AO250" s="48">
        <f t="shared" si="294"/>
        <v>131001801.255</v>
      </c>
      <c r="AP250" s="156">
        <f t="shared" si="295"/>
        <v>91701260.878499985</v>
      </c>
      <c r="AQ250" s="161">
        <f t="shared" si="296"/>
        <v>4452117234.4237213</v>
      </c>
      <c r="AR250" s="163">
        <f t="shared" si="297"/>
        <v>2.2879398148081536</v>
      </c>
      <c r="AS250" s="49">
        <f t="shared" si="298"/>
        <v>0.26990079365079367</v>
      </c>
      <c r="AT250" s="165">
        <f t="shared" si="299"/>
        <v>13.141148809523809</v>
      </c>
      <c r="AU250" s="254">
        <f t="shared" si="198"/>
        <v>184910.25149999998</v>
      </c>
      <c r="AV250" s="255">
        <f t="shared" si="199"/>
        <v>435645.14850000001</v>
      </c>
      <c r="AW250" s="256">
        <f t="shared" si="200"/>
        <v>0.42445153386116496</v>
      </c>
    </row>
    <row r="251" spans="1:49">
      <c r="A251" s="108">
        <v>249</v>
      </c>
      <c r="F251" s="45">
        <v>43129.447094907409</v>
      </c>
      <c r="G251" s="45">
        <v>43129.491851851853</v>
      </c>
      <c r="H251" s="53">
        <f>G251-F251-'user time'!J59</f>
        <v>4.4247685184829466E-2</v>
      </c>
      <c r="I251" s="86">
        <v>44.64</v>
      </c>
      <c r="J251" s="109" t="s">
        <v>260</v>
      </c>
      <c r="K251" s="88" t="s">
        <v>72</v>
      </c>
      <c r="L251" s="88" t="s">
        <v>73</v>
      </c>
      <c r="M251" s="88">
        <v>-369</v>
      </c>
      <c r="N251" s="108">
        <v>1</v>
      </c>
      <c r="O251" s="108">
        <v>200</v>
      </c>
      <c r="P251" s="88">
        <v>347</v>
      </c>
      <c r="Q251" s="88" t="s">
        <v>75</v>
      </c>
      <c r="R251" s="88" t="s">
        <v>348</v>
      </c>
      <c r="S251" s="110">
        <v>9400</v>
      </c>
      <c r="T251" s="110">
        <v>860</v>
      </c>
      <c r="U251" s="88">
        <v>983</v>
      </c>
      <c r="V251" s="90">
        <v>1500</v>
      </c>
      <c r="W251" s="111">
        <v>10</v>
      </c>
      <c r="X251" s="110">
        <v>43915</v>
      </c>
      <c r="Y251" s="110">
        <v>772268</v>
      </c>
      <c r="Z251" s="110">
        <v>6199407</v>
      </c>
      <c r="AA251" s="110">
        <v>1937225</v>
      </c>
      <c r="AB251" s="112">
        <v>4282341</v>
      </c>
      <c r="AC251" s="109">
        <v>160.19999999999999</v>
      </c>
      <c r="AD251" s="110">
        <v>-109.9</v>
      </c>
      <c r="AE251" s="110">
        <v>4.1399999999999997</v>
      </c>
      <c r="AF251" s="110">
        <v>-0.56000000000000005</v>
      </c>
      <c r="AG251" s="110">
        <v>109.8</v>
      </c>
      <c r="AH251" s="110">
        <v>-110.1</v>
      </c>
      <c r="AI251" s="110">
        <v>3.51</v>
      </c>
      <c r="AJ251" s="109">
        <v>-0.54</v>
      </c>
      <c r="AK251" s="113" t="s">
        <v>59</v>
      </c>
      <c r="AL251" s="107" t="s">
        <v>181</v>
      </c>
      <c r="AN251" s="107">
        <v>0.96</v>
      </c>
      <c r="AO251" s="48">
        <f t="shared" ref="AO251" si="300">(HOUR(H251)*60*60+MINUTE(H251)*60+SECOND(H251))/5.2*AA251/W251*AN251</f>
        <v>136726360.15384614</v>
      </c>
      <c r="AP251" s="156">
        <f t="shared" ref="AP251" si="301">AO251*0.7</f>
        <v>95708452.107692301</v>
      </c>
      <c r="AQ251" s="161">
        <f t="shared" ref="AQ251" si="302">AP251+AQ250</f>
        <v>4547825686.531414</v>
      </c>
      <c r="AR251" s="163">
        <f t="shared" ref="AR251" si="303">H251+AR250</f>
        <v>2.3321874999929832</v>
      </c>
      <c r="AS251" s="49">
        <f t="shared" ref="AS251" si="304">I251*(HOUR(H251)*60+MINUTE(H251))/60/(7*24)</f>
        <v>0.27900000000000003</v>
      </c>
      <c r="AT251" s="165">
        <f t="shared" ref="AT251" si="305">AS251+AT250</f>
        <v>13.420148809523809</v>
      </c>
      <c r="AU251" s="254">
        <f t="shared" si="198"/>
        <v>185973.6</v>
      </c>
      <c r="AV251" s="255">
        <f t="shared" si="199"/>
        <v>435983</v>
      </c>
      <c r="AW251" s="256">
        <f t="shared" si="200"/>
        <v>0.42656158611688988</v>
      </c>
    </row>
    <row r="252" spans="1:49">
      <c r="A252" s="108">
        <v>250</v>
      </c>
      <c r="F252" s="45">
        <v>43129.491863425923</v>
      </c>
      <c r="G252" s="45">
        <v>43129.514560185184</v>
      </c>
      <c r="H252" s="53">
        <f>G252-F252-'user time'!J60</f>
        <v>2.2233796297762232E-2</v>
      </c>
      <c r="I252" s="86">
        <v>44.52</v>
      </c>
      <c r="J252" s="109" t="s">
        <v>260</v>
      </c>
      <c r="K252" s="88" t="s">
        <v>72</v>
      </c>
      <c r="L252" s="88" t="s">
        <v>73</v>
      </c>
      <c r="M252" s="88">
        <v>-369</v>
      </c>
      <c r="N252" s="108">
        <v>1</v>
      </c>
      <c r="O252" s="108">
        <v>200</v>
      </c>
      <c r="P252" s="88">
        <v>347</v>
      </c>
      <c r="Q252" s="88" t="s">
        <v>75</v>
      </c>
      <c r="R252" s="88" t="s">
        <v>348</v>
      </c>
      <c r="S252" s="110">
        <v>9300</v>
      </c>
      <c r="T252" s="110">
        <v>840</v>
      </c>
      <c r="U252" s="88">
        <v>983</v>
      </c>
      <c r="V252" s="90">
        <v>1500</v>
      </c>
      <c r="W252" s="111">
        <v>10</v>
      </c>
      <c r="X252" s="110">
        <v>43939</v>
      </c>
      <c r="Y252" s="110">
        <v>767332</v>
      </c>
      <c r="Z252" s="110">
        <v>6163347</v>
      </c>
      <c r="AA252" s="110">
        <v>1925990</v>
      </c>
      <c r="AB252" s="112">
        <v>4257579</v>
      </c>
      <c r="AC252" s="109">
        <v>160.19999999999999</v>
      </c>
      <c r="AD252" s="110">
        <v>-109.9</v>
      </c>
      <c r="AE252" s="110">
        <v>4.1399999999999997</v>
      </c>
      <c r="AF252" s="110">
        <v>-0.56000000000000005</v>
      </c>
      <c r="AG252" s="110">
        <v>109.8</v>
      </c>
      <c r="AH252" s="110">
        <v>-110.1</v>
      </c>
      <c r="AI252" s="110">
        <v>3.51</v>
      </c>
      <c r="AJ252" s="109">
        <v>-0.54</v>
      </c>
      <c r="AK252" s="113" t="s">
        <v>59</v>
      </c>
      <c r="AL252" s="107" t="s">
        <v>376</v>
      </c>
      <c r="AN252" s="107">
        <v>0.95799999999999996</v>
      </c>
      <c r="AO252" s="48">
        <f t="shared" ref="AO252" si="306">(HOUR(H252)*60*60+MINUTE(H252)*60+SECOND(H252))/5.2*AA252/W252*AN252</f>
        <v>68162193.55423075</v>
      </c>
      <c r="AP252" s="156">
        <f t="shared" ref="AP252" si="307">AO252*0.7</f>
        <v>47713535.487961523</v>
      </c>
      <c r="AQ252" s="161">
        <f t="shared" ref="AQ252" si="308">AP252+AQ251</f>
        <v>4595539222.0193758</v>
      </c>
      <c r="AR252" s="163">
        <f t="shared" ref="AR252" si="309">H252+AR251</f>
        <v>2.3544212962907456</v>
      </c>
      <c r="AS252" s="49">
        <f t="shared" ref="AS252" si="310">I252*(HOUR(H252)*60+MINUTE(H252))/60/(7*24)</f>
        <v>0.14133333333333337</v>
      </c>
      <c r="AT252" s="165">
        <f t="shared" ref="AT252" si="311">AS252+AT251</f>
        <v>13.561482142857143</v>
      </c>
      <c r="AU252" s="254">
        <f t="shared" si="198"/>
        <v>184509.842</v>
      </c>
      <c r="AV252" s="255">
        <f t="shared" si="199"/>
        <v>433847.05800000002</v>
      </c>
      <c r="AW252" s="256">
        <f t="shared" si="200"/>
        <v>0.42528775659001933</v>
      </c>
    </row>
    <row r="253" spans="1:49">
      <c r="A253" s="108">
        <v>251</v>
      </c>
      <c r="F253" s="45">
        <v>43129.521145833336</v>
      </c>
      <c r="G253" s="45">
        <v>43129.563530092593</v>
      </c>
      <c r="H253" s="53">
        <f>G253-F253</f>
        <v>4.238425925723277E-2</v>
      </c>
      <c r="I253" s="86">
        <v>44.52</v>
      </c>
      <c r="J253" s="109" t="s">
        <v>260</v>
      </c>
      <c r="K253" s="88" t="s">
        <v>72</v>
      </c>
      <c r="L253" s="88" t="s">
        <v>73</v>
      </c>
      <c r="M253" s="88">
        <v>-369</v>
      </c>
      <c r="N253" s="108">
        <v>1</v>
      </c>
      <c r="O253" s="108">
        <v>200</v>
      </c>
      <c r="P253" s="88">
        <v>347</v>
      </c>
      <c r="Q253" s="88" t="s">
        <v>75</v>
      </c>
      <c r="R253" s="88" t="s">
        <v>348</v>
      </c>
      <c r="S253" s="110">
        <v>9700</v>
      </c>
      <c r="T253" s="110">
        <v>890</v>
      </c>
      <c r="U253" s="88">
        <v>983</v>
      </c>
      <c r="V253" s="90">
        <v>1500</v>
      </c>
      <c r="W253" s="111">
        <v>10</v>
      </c>
      <c r="X253" s="110">
        <v>44026</v>
      </c>
      <c r="Y253" s="110">
        <v>771704</v>
      </c>
      <c r="Z253" s="110">
        <v>6202660</v>
      </c>
      <c r="AA253" s="110">
        <v>1935653</v>
      </c>
      <c r="AB253" s="112">
        <v>4287647</v>
      </c>
      <c r="AC253" s="109">
        <v>160.19999999999999</v>
      </c>
      <c r="AD253" s="110">
        <v>-109.9</v>
      </c>
      <c r="AE253" s="110">
        <v>4.1399999999999997</v>
      </c>
      <c r="AF253" s="110">
        <v>-0.56000000000000005</v>
      </c>
      <c r="AG253" s="110">
        <v>109.8</v>
      </c>
      <c r="AH253" s="110">
        <v>-110.1</v>
      </c>
      <c r="AI253" s="110">
        <v>3.51</v>
      </c>
      <c r="AJ253" s="109">
        <v>-0.54</v>
      </c>
      <c r="AK253" s="113" t="s">
        <v>59</v>
      </c>
      <c r="AL253" s="107" t="s">
        <v>181</v>
      </c>
      <c r="AN253" s="107">
        <v>0.95799999999999996</v>
      </c>
      <c r="AO253" s="48">
        <f t="shared" ref="AO253" si="312">(HOUR(H253)*60*60+MINUTE(H253)*60+SECOND(H253))/5.2*AA253/W253*AN253</f>
        <v>130589425.23053844</v>
      </c>
      <c r="AP253" s="156">
        <f t="shared" ref="AP253" si="313">AO253*0.7</f>
        <v>91412597.661376908</v>
      </c>
      <c r="AQ253" s="161">
        <f t="shared" ref="AQ253" si="314">AP253+AQ252</f>
        <v>4686951819.6807528</v>
      </c>
      <c r="AR253" s="163">
        <f t="shared" ref="AR253" si="315">H253+AR252</f>
        <v>2.3968055555479784</v>
      </c>
      <c r="AS253" s="49">
        <f t="shared" ref="AS253" si="316">I253*(HOUR(H253)*60+MINUTE(H253))/60/(7*24)</f>
        <v>0.26941666666666669</v>
      </c>
      <c r="AT253" s="165">
        <f t="shared" ref="AT253" si="317">AS253+AT252</f>
        <v>13.830898809523809</v>
      </c>
      <c r="AU253" s="254">
        <f t="shared" si="198"/>
        <v>185435.55739999999</v>
      </c>
      <c r="AV253" s="255">
        <f t="shared" si="199"/>
        <v>436894.44260000001</v>
      </c>
      <c r="AW253" s="256">
        <f t="shared" si="200"/>
        <v>0.42444018352912777</v>
      </c>
    </row>
    <row r="254" spans="1:49">
      <c r="A254" s="108">
        <v>252</v>
      </c>
      <c r="F254" s="45">
        <v>43129.56354166667</v>
      </c>
      <c r="G254" s="45">
        <v>43129.604386574072</v>
      </c>
      <c r="H254" s="53">
        <f>G254-F254-'user time'!J62</f>
        <v>4.0532407402060877E-2</v>
      </c>
      <c r="I254" s="86">
        <v>44.61</v>
      </c>
      <c r="J254" s="109" t="s">
        <v>260</v>
      </c>
      <c r="K254" s="88" t="s">
        <v>72</v>
      </c>
      <c r="L254" s="88" t="s">
        <v>73</v>
      </c>
      <c r="M254" s="88">
        <v>-369</v>
      </c>
      <c r="N254" s="108">
        <v>1</v>
      </c>
      <c r="O254" s="108">
        <v>200</v>
      </c>
      <c r="P254" s="88">
        <v>347</v>
      </c>
      <c r="Q254" s="88" t="s">
        <v>75</v>
      </c>
      <c r="R254" s="88" t="s">
        <v>348</v>
      </c>
      <c r="S254" s="110">
        <v>9400</v>
      </c>
      <c r="T254" s="110">
        <v>850</v>
      </c>
      <c r="U254" s="88">
        <v>983</v>
      </c>
      <c r="V254" s="90">
        <v>1500</v>
      </c>
      <c r="W254" s="111">
        <v>10</v>
      </c>
      <c r="X254" s="110">
        <v>43762</v>
      </c>
      <c r="Y254" s="110">
        <v>770217</v>
      </c>
      <c r="Z254" s="110">
        <v>6217455</v>
      </c>
      <c r="AA254" s="110">
        <v>1940709</v>
      </c>
      <c r="AB254" s="112">
        <v>4297234</v>
      </c>
      <c r="AC254" s="109">
        <v>160.19999999999999</v>
      </c>
      <c r="AD254" s="110">
        <v>-109.9</v>
      </c>
      <c r="AE254" s="110">
        <v>4.1399999999999997</v>
      </c>
      <c r="AF254" s="110">
        <v>-0.56000000000000005</v>
      </c>
      <c r="AG254" s="110">
        <v>109.8</v>
      </c>
      <c r="AH254" s="110">
        <v>-110.1</v>
      </c>
      <c r="AI254" s="110">
        <v>3.52</v>
      </c>
      <c r="AJ254" s="109">
        <v>-0.54</v>
      </c>
      <c r="AK254" s="113" t="s">
        <v>59</v>
      </c>
      <c r="AL254" s="107" t="s">
        <v>181</v>
      </c>
      <c r="AN254" s="107">
        <v>0.95699999999999996</v>
      </c>
      <c r="AO254" s="48">
        <f t="shared" ref="AO254" si="318">(HOUR(H254)*60*60+MINUTE(H254)*60+SECOND(H254))/5.2*AA254/W254*AN254</f>
        <v>125079217.54857691</v>
      </c>
      <c r="AP254" s="156">
        <f t="shared" ref="AP254" si="319">AO254*0.7</f>
        <v>87555452.284003824</v>
      </c>
      <c r="AQ254" s="161">
        <f t="shared" ref="AQ254" si="320">AP254+AQ253</f>
        <v>4774507271.964757</v>
      </c>
      <c r="AR254" s="163">
        <f t="shared" ref="AR254" si="321">H254+AR253</f>
        <v>2.4373379629500391</v>
      </c>
      <c r="AS254" s="49">
        <f t="shared" ref="AS254" si="322">I254*(HOUR(H254)*60+MINUTE(H254))/60/(7*24)</f>
        <v>0.25668452380952383</v>
      </c>
      <c r="AT254" s="165">
        <f t="shared" ref="AT254" si="323">AS254+AT253</f>
        <v>14.087583333333333</v>
      </c>
      <c r="AU254" s="254">
        <f t="shared" si="198"/>
        <v>185725.85129999998</v>
      </c>
      <c r="AV254" s="255">
        <f t="shared" si="199"/>
        <v>438068.44870000001</v>
      </c>
      <c r="AW254" s="256">
        <f t="shared" si="200"/>
        <v>0.42396536854264433</v>
      </c>
    </row>
    <row r="255" spans="1:49">
      <c r="A255" s="108">
        <v>253</v>
      </c>
      <c r="F255" s="45">
        <v>43129.60491898148</v>
      </c>
      <c r="G255" s="45">
        <v>43129.64707175926</v>
      </c>
      <c r="H255" s="53">
        <f>G255-F255</f>
        <v>4.2152777779847383E-2</v>
      </c>
      <c r="I255" s="86">
        <v>44.59</v>
      </c>
      <c r="J255" s="109" t="s">
        <v>260</v>
      </c>
      <c r="K255" s="88" t="s">
        <v>72</v>
      </c>
      <c r="L255" s="88" t="s">
        <v>73</v>
      </c>
      <c r="M255" s="88">
        <v>-369</v>
      </c>
      <c r="N255" s="108">
        <v>1</v>
      </c>
      <c r="O255" s="108">
        <v>200</v>
      </c>
      <c r="P255" s="88">
        <v>347</v>
      </c>
      <c r="Q255" s="88" t="s">
        <v>75</v>
      </c>
      <c r="R255" s="88" t="s">
        <v>348</v>
      </c>
      <c r="S255" s="110">
        <v>9500</v>
      </c>
      <c r="T255" s="110">
        <v>850</v>
      </c>
      <c r="U255" s="88">
        <v>983</v>
      </c>
      <c r="V255" s="90">
        <v>1500</v>
      </c>
      <c r="W255" s="111">
        <v>10</v>
      </c>
      <c r="X255" s="110">
        <v>43703</v>
      </c>
      <c r="Y255" s="110">
        <v>770929</v>
      </c>
      <c r="Z255" s="110">
        <v>6222631</v>
      </c>
      <c r="AA255" s="110">
        <v>1935726</v>
      </c>
      <c r="AB255" s="112">
        <v>4307657</v>
      </c>
      <c r="AC255" s="109">
        <v>160.19999999999999</v>
      </c>
      <c r="AD255" s="110">
        <v>-109.9</v>
      </c>
      <c r="AE255" s="110">
        <v>4.1399999999999997</v>
      </c>
      <c r="AF255" s="110">
        <v>-0.56000000000000005</v>
      </c>
      <c r="AG255" s="110">
        <v>109.8</v>
      </c>
      <c r="AH255" s="110">
        <v>-110.1</v>
      </c>
      <c r="AI255" s="110">
        <v>3.52</v>
      </c>
      <c r="AJ255" s="109">
        <v>-0.54</v>
      </c>
      <c r="AK255" s="113" t="s">
        <v>59</v>
      </c>
      <c r="AL255" s="107" t="s">
        <v>181</v>
      </c>
      <c r="AN255" s="107">
        <v>0.95699999999999996</v>
      </c>
      <c r="AO255" s="48">
        <f t="shared" ref="AO255" si="324">(HOUR(H255)*60*60+MINUTE(H255)*60+SECOND(H255))/5.2*AA255/W255*AN255</f>
        <v>129745534.34699999</v>
      </c>
      <c r="AP255" s="156">
        <f t="shared" ref="AP255" si="325">AO255*0.7</f>
        <v>90821874.042899981</v>
      </c>
      <c r="AQ255" s="161">
        <f t="shared" ref="AQ255" si="326">AP255+AQ254</f>
        <v>4865329146.0076571</v>
      </c>
      <c r="AR255" s="163">
        <f t="shared" ref="AR255" si="327">H255+AR254</f>
        <v>2.4794907407298865</v>
      </c>
      <c r="AS255" s="49">
        <f t="shared" ref="AS255" si="328">I255*(HOUR(H255)*60+MINUTE(H255))/60/(7*24)</f>
        <v>0.26541666666666669</v>
      </c>
      <c r="AT255" s="165">
        <f t="shared" ref="AT255" si="329">AS255+AT254</f>
        <v>14.353</v>
      </c>
      <c r="AU255" s="254">
        <f t="shared" si="198"/>
        <v>185248.97820000001</v>
      </c>
      <c r="AV255" s="255">
        <f t="shared" si="199"/>
        <v>439089.32180000003</v>
      </c>
      <c r="AW255" s="256">
        <f t="shared" si="200"/>
        <v>0.42189360798069858</v>
      </c>
    </row>
    <row r="256" spans="1:49">
      <c r="A256" s="108">
        <v>254</v>
      </c>
      <c r="F256" s="45">
        <v>43129.64707175926</v>
      </c>
      <c r="G256" s="45">
        <v>43129.667858796296</v>
      </c>
      <c r="H256" s="53">
        <f>G256-F256-'user time'!J64-'user time'!J65</f>
        <v>1.9768518517397471E-2</v>
      </c>
      <c r="I256" s="86">
        <v>44.55</v>
      </c>
      <c r="J256" s="109" t="s">
        <v>260</v>
      </c>
      <c r="K256" s="88" t="s">
        <v>72</v>
      </c>
      <c r="L256" s="88" t="s">
        <v>73</v>
      </c>
      <c r="M256" s="88">
        <v>-369</v>
      </c>
      <c r="N256" s="108">
        <v>1</v>
      </c>
      <c r="O256" s="108">
        <v>200</v>
      </c>
      <c r="P256" s="88">
        <v>347</v>
      </c>
      <c r="Q256" s="88" t="s">
        <v>75</v>
      </c>
      <c r="R256" s="88" t="s">
        <v>348</v>
      </c>
      <c r="S256" s="110">
        <v>9500</v>
      </c>
      <c r="T256" s="110">
        <v>850</v>
      </c>
      <c r="U256" s="88">
        <v>983</v>
      </c>
      <c r="V256" s="90">
        <v>1500</v>
      </c>
      <c r="W256" s="111">
        <v>10</v>
      </c>
      <c r="X256" s="110">
        <v>44069</v>
      </c>
      <c r="Y256" s="110">
        <v>769889</v>
      </c>
      <c r="Z256" s="110">
        <v>6224372</v>
      </c>
      <c r="AA256" s="110">
        <v>1939259</v>
      </c>
      <c r="AB256" s="112">
        <v>4305513</v>
      </c>
      <c r="AC256" s="109">
        <v>160.19999999999999</v>
      </c>
      <c r="AD256" s="110">
        <v>-109.9</v>
      </c>
      <c r="AE256" s="110">
        <v>4.1399999999999997</v>
      </c>
      <c r="AF256" s="110">
        <v>-0.56000000000000005</v>
      </c>
      <c r="AG256" s="110">
        <v>109.8</v>
      </c>
      <c r="AH256" s="110">
        <v>-110.1</v>
      </c>
      <c r="AI256" s="110">
        <v>3.52</v>
      </c>
      <c r="AJ256" s="109">
        <v>-0.54</v>
      </c>
      <c r="AK256" s="113" t="s">
        <v>59</v>
      </c>
      <c r="AL256" s="107" t="s">
        <v>376</v>
      </c>
      <c r="AN256" s="107">
        <v>0.95399999999999996</v>
      </c>
      <c r="AO256" s="48">
        <f t="shared" ref="AO256" si="330">(HOUR(H256)*60*60+MINUTE(H256)*60+SECOND(H256))/5.2*AA256/W256*AN256</f>
        <v>60767128.286307685</v>
      </c>
      <c r="AP256" s="156">
        <f t="shared" ref="AP256" si="331">AO256*0.7</f>
        <v>42536989.800415374</v>
      </c>
      <c r="AQ256" s="161">
        <f t="shared" ref="AQ256" si="332">AP256+AQ255</f>
        <v>4907866135.8080721</v>
      </c>
      <c r="AR256" s="163">
        <f t="shared" ref="AR256" si="333">H256+AR255</f>
        <v>2.499259259247284</v>
      </c>
      <c r="AS256" s="49">
        <f t="shared" ref="AS256" si="334">I256*(HOUR(H256)*60+MINUTE(H256))/60/(7*24)</f>
        <v>0.12375</v>
      </c>
      <c r="AT256" s="165">
        <f t="shared" ref="AT256" si="335">AS256+AT255</f>
        <v>14.476749999999999</v>
      </c>
      <c r="AU256" s="254">
        <f t="shared" si="198"/>
        <v>185005.30859999999</v>
      </c>
      <c r="AV256" s="255">
        <f t="shared" si="199"/>
        <v>439471.89140000002</v>
      </c>
      <c r="AW256" s="256">
        <f t="shared" si="200"/>
        <v>0.42097188061479734</v>
      </c>
    </row>
    <row r="257" spans="1:49">
      <c r="A257" s="108">
        <v>255</v>
      </c>
      <c r="F257" s="45">
        <v>43129.67765046296</v>
      </c>
      <c r="G257" s="45">
        <v>43129.720208333332</v>
      </c>
      <c r="H257" s="53">
        <f>G257-F257-'user time'!J67</f>
        <v>4.2175925928103264E-2</v>
      </c>
      <c r="I257" s="86">
        <v>44.57</v>
      </c>
      <c r="J257" s="109" t="s">
        <v>260</v>
      </c>
      <c r="K257" s="88" t="s">
        <v>72</v>
      </c>
      <c r="L257" s="88" t="s">
        <v>73</v>
      </c>
      <c r="M257" s="88">
        <v>-369</v>
      </c>
      <c r="N257" s="108">
        <v>1</v>
      </c>
      <c r="O257" s="108">
        <v>200</v>
      </c>
      <c r="P257" s="88">
        <v>347</v>
      </c>
      <c r="Q257" s="88" t="s">
        <v>75</v>
      </c>
      <c r="R257" s="88" t="s">
        <v>348</v>
      </c>
      <c r="S257" s="110">
        <v>9400</v>
      </c>
      <c r="T257" s="110">
        <v>847</v>
      </c>
      <c r="U257" s="88">
        <v>983</v>
      </c>
      <c r="V257" s="90">
        <v>1500</v>
      </c>
      <c r="W257" s="111">
        <v>10</v>
      </c>
      <c r="X257" s="110">
        <v>44187</v>
      </c>
      <c r="Y257" s="110">
        <v>769091</v>
      </c>
      <c r="Z257" s="110">
        <v>6207254</v>
      </c>
      <c r="AA257" s="110">
        <v>1933063</v>
      </c>
      <c r="AB257" s="112">
        <v>4294957</v>
      </c>
      <c r="AC257" s="109">
        <v>160.19999999999999</v>
      </c>
      <c r="AD257" s="110">
        <v>-109.9</v>
      </c>
      <c r="AE257" s="110">
        <v>4.1399999999999997</v>
      </c>
      <c r="AF257" s="110">
        <v>-0.56000000000000005</v>
      </c>
      <c r="AG257" s="110">
        <v>109.8</v>
      </c>
      <c r="AH257" s="110">
        <v>-110.1</v>
      </c>
      <c r="AI257" s="110">
        <v>3.51</v>
      </c>
      <c r="AJ257" s="109">
        <v>-0.54</v>
      </c>
      <c r="AK257" s="113" t="s">
        <v>59</v>
      </c>
      <c r="AL257" s="107" t="s">
        <v>181</v>
      </c>
      <c r="AN257" s="107">
        <v>0.95</v>
      </c>
      <c r="AO257" s="48">
        <f t="shared" ref="AO257" si="336">(HOUR(H257)*60*60+MINUTE(H257)*60+SECOND(H257))/5.2*AA257/W257*AN257</f>
        <v>128689951.79615383</v>
      </c>
      <c r="AP257" s="156">
        <f t="shared" ref="AP257" si="337">AO257*0.7</f>
        <v>90082966.257307678</v>
      </c>
      <c r="AQ257" s="161">
        <f t="shared" ref="AQ257" si="338">AP257+AQ256</f>
        <v>4997949102.0653801</v>
      </c>
      <c r="AR257" s="163">
        <f t="shared" ref="AR257" si="339">H257+AR256</f>
        <v>2.5414351851753874</v>
      </c>
      <c r="AS257" s="49">
        <f t="shared" ref="AS257" si="340">I257*(HOUR(H257)*60+MINUTE(H257))/60/(7*24)</f>
        <v>0.26529761904761906</v>
      </c>
      <c r="AT257" s="165">
        <f t="shared" ref="AT257" si="341">AS257+AT256</f>
        <v>14.742047619047618</v>
      </c>
      <c r="AU257" s="254">
        <f t="shared" si="198"/>
        <v>183640.98499999999</v>
      </c>
      <c r="AV257" s="255">
        <f t="shared" si="199"/>
        <v>439161.01500000001</v>
      </c>
      <c r="AW257" s="256">
        <f t="shared" si="200"/>
        <v>0.41816322197907296</v>
      </c>
    </row>
    <row r="258" spans="1:49">
      <c r="A258" s="108">
        <v>256</v>
      </c>
      <c r="F258" s="45">
        <v>43129.720289351855</v>
      </c>
      <c r="G258" s="45">
        <v>43129.762754629628</v>
      </c>
      <c r="H258" s="53">
        <f>G258-F258-'user time'!J68</f>
        <v>4.2129629624714338E-2</v>
      </c>
      <c r="I258" s="86">
        <v>44.57</v>
      </c>
      <c r="J258" s="109" t="s">
        <v>260</v>
      </c>
      <c r="K258" s="88" t="s">
        <v>72</v>
      </c>
      <c r="L258" s="88" t="s">
        <v>73</v>
      </c>
      <c r="M258" s="88">
        <v>-369</v>
      </c>
      <c r="N258" s="108">
        <v>1</v>
      </c>
      <c r="O258" s="108">
        <v>200</v>
      </c>
      <c r="P258" s="88">
        <v>347</v>
      </c>
      <c r="Q258" s="88" t="s">
        <v>75</v>
      </c>
      <c r="R258" s="88" t="s">
        <v>348</v>
      </c>
      <c r="S258" s="110">
        <v>9400</v>
      </c>
      <c r="T258" s="110">
        <v>849</v>
      </c>
      <c r="U258" s="88">
        <v>983</v>
      </c>
      <c r="V258" s="90">
        <v>1500</v>
      </c>
      <c r="W258" s="111">
        <v>10</v>
      </c>
      <c r="X258" s="110">
        <v>43965</v>
      </c>
      <c r="Y258" s="110">
        <v>770078</v>
      </c>
      <c r="Z258" s="110">
        <v>6200787</v>
      </c>
      <c r="AA258" s="110">
        <v>1935689</v>
      </c>
      <c r="AB258" s="112">
        <v>4286437</v>
      </c>
      <c r="AC258" s="109">
        <v>160.19999999999999</v>
      </c>
      <c r="AD258" s="110">
        <v>-109.9</v>
      </c>
      <c r="AE258" s="110">
        <v>4.1399999999999997</v>
      </c>
      <c r="AF258" s="110">
        <v>-0.56000000000000005</v>
      </c>
      <c r="AG258" s="110">
        <v>109.8</v>
      </c>
      <c r="AH258" s="110">
        <v>-110.1</v>
      </c>
      <c r="AI258" s="110">
        <v>3.52</v>
      </c>
      <c r="AJ258" s="109">
        <v>-0.53</v>
      </c>
      <c r="AK258" s="113" t="s">
        <v>59</v>
      </c>
      <c r="AL258" s="107" t="s">
        <v>181</v>
      </c>
      <c r="AN258" s="107">
        <v>0.95499999999999996</v>
      </c>
      <c r="AO258" s="48">
        <f t="shared" ref="AO258:AO271" si="342">(HOUR(H258)*60*60+MINUTE(H258)*60+SECOND(H258))/5.2*AA258/W258*AN258</f>
        <v>129400809.64999999</v>
      </c>
      <c r="AP258" s="156">
        <f t="shared" ref="AP258:AP271" si="343">AO258*0.7</f>
        <v>90580566.754999995</v>
      </c>
      <c r="AQ258" s="161">
        <f t="shared" ref="AQ258:AQ271" si="344">AP258+AQ257</f>
        <v>5088529668.8203802</v>
      </c>
      <c r="AR258" s="163">
        <f t="shared" ref="AR258:AR271" si="345">H258+AR257</f>
        <v>2.5835648148001016</v>
      </c>
      <c r="AS258" s="49">
        <f t="shared" ref="AS258:AS271" si="346">I258*(HOUR(H258)*60+MINUTE(H258))/60/(7*24)</f>
        <v>0.26529761904761906</v>
      </c>
      <c r="AT258" s="165">
        <f t="shared" ref="AT258:AT271" si="347">AS258+AT257</f>
        <v>15.007345238095237</v>
      </c>
      <c r="AU258" s="254">
        <f t="shared" si="198"/>
        <v>184858.29949999999</v>
      </c>
      <c r="AV258" s="255">
        <f t="shared" si="199"/>
        <v>437354.30050000001</v>
      </c>
      <c r="AW258" s="256">
        <f t="shared" si="200"/>
        <v>0.42267401804135224</v>
      </c>
    </row>
    <row r="259" spans="1:49">
      <c r="A259" s="108">
        <v>257</v>
      </c>
      <c r="F259" s="45">
        <v>43129.762800925928</v>
      </c>
      <c r="G259" s="45">
        <v>43129.806446759256</v>
      </c>
      <c r="H259" s="53">
        <f>G259-F259-SUM('user time'!J69:J72)</f>
        <v>4.2129629624196974E-2</v>
      </c>
      <c r="I259" s="86">
        <v>44.57</v>
      </c>
      <c r="J259" s="109" t="s">
        <v>260</v>
      </c>
      <c r="K259" s="88" t="s">
        <v>72</v>
      </c>
      <c r="L259" s="88" t="s">
        <v>73</v>
      </c>
      <c r="M259" s="88">
        <v>-369</v>
      </c>
      <c r="N259" s="108">
        <v>1</v>
      </c>
      <c r="O259" s="108">
        <v>200</v>
      </c>
      <c r="P259" s="88">
        <v>347</v>
      </c>
      <c r="Q259" s="88" t="s">
        <v>75</v>
      </c>
      <c r="R259" s="88" t="s">
        <v>348</v>
      </c>
      <c r="S259" s="110">
        <v>9400</v>
      </c>
      <c r="T259" s="110">
        <v>853</v>
      </c>
      <c r="U259" s="88">
        <v>983</v>
      </c>
      <c r="V259" s="90">
        <v>1500</v>
      </c>
      <c r="W259" s="111">
        <v>10</v>
      </c>
      <c r="X259" s="110">
        <v>43847</v>
      </c>
      <c r="Y259" s="110">
        <v>769472</v>
      </c>
      <c r="Z259" s="110">
        <v>6212881</v>
      </c>
      <c r="AA259" s="110">
        <v>1936611</v>
      </c>
      <c r="AB259" s="112">
        <v>4296758</v>
      </c>
      <c r="AC259" s="109">
        <v>160.19999999999999</v>
      </c>
      <c r="AD259" s="110">
        <v>-109.9</v>
      </c>
      <c r="AE259" s="110">
        <v>4.1399999999999997</v>
      </c>
      <c r="AF259" s="110">
        <v>-0.56000000000000005</v>
      </c>
      <c r="AG259" s="110">
        <v>109.8</v>
      </c>
      <c r="AH259" s="110">
        <v>-110.1</v>
      </c>
      <c r="AI259" s="110">
        <v>3.52</v>
      </c>
      <c r="AJ259" s="109">
        <v>-0.54</v>
      </c>
      <c r="AK259" s="113" t="s">
        <v>59</v>
      </c>
      <c r="AL259" s="107" t="s">
        <v>181</v>
      </c>
      <c r="AN259" s="107">
        <v>0.95499999999999996</v>
      </c>
      <c r="AO259" s="48">
        <f t="shared" si="342"/>
        <v>129462445.34999999</v>
      </c>
      <c r="AP259" s="156">
        <f t="shared" si="343"/>
        <v>90623711.74499999</v>
      </c>
      <c r="AQ259" s="161">
        <f t="shared" si="344"/>
        <v>5179153380.5653801</v>
      </c>
      <c r="AR259" s="163">
        <f t="shared" si="345"/>
        <v>2.6256944444242984</v>
      </c>
      <c r="AS259" s="49">
        <f t="shared" si="346"/>
        <v>0.26529761904761906</v>
      </c>
      <c r="AT259" s="165">
        <f t="shared" si="347"/>
        <v>15.272642857142856</v>
      </c>
      <c r="AU259" s="254">
        <f t="shared" si="198"/>
        <v>184946.3505</v>
      </c>
      <c r="AV259" s="255">
        <f t="shared" si="199"/>
        <v>438390.54950000002</v>
      </c>
      <c r="AW259" s="256">
        <f t="shared" si="200"/>
        <v>0.42187576970109841</v>
      </c>
    </row>
    <row r="260" spans="1:49">
      <c r="A260" s="108">
        <v>258</v>
      </c>
      <c r="F260" s="45">
        <v>43129.806493055556</v>
      </c>
      <c r="G260" s="45">
        <v>43129.862604166665</v>
      </c>
      <c r="H260" s="53">
        <f>G260-F260-'user time'!J73-'user time'!J74</f>
        <v>4.2037037035129177E-2</v>
      </c>
      <c r="I260" s="86">
        <v>44.58</v>
      </c>
      <c r="J260" s="109" t="s">
        <v>260</v>
      </c>
      <c r="K260" s="88" t="s">
        <v>72</v>
      </c>
      <c r="L260" s="88" t="s">
        <v>73</v>
      </c>
      <c r="M260" s="88">
        <v>-369</v>
      </c>
      <c r="N260" s="108">
        <v>1</v>
      </c>
      <c r="O260" s="108">
        <v>200</v>
      </c>
      <c r="P260" s="88">
        <v>347</v>
      </c>
      <c r="Q260" s="88" t="s">
        <v>75</v>
      </c>
      <c r="R260" s="88" t="s">
        <v>348</v>
      </c>
      <c r="S260" s="110">
        <v>9500</v>
      </c>
      <c r="T260" s="110">
        <v>845</v>
      </c>
      <c r="U260" s="88">
        <v>983</v>
      </c>
      <c r="V260" s="90">
        <v>1500</v>
      </c>
      <c r="W260" s="111">
        <v>10</v>
      </c>
      <c r="X260" s="110">
        <v>43864</v>
      </c>
      <c r="Y260" s="110">
        <v>768910</v>
      </c>
      <c r="Z260" s="110">
        <v>6210767</v>
      </c>
      <c r="AA260" s="110">
        <v>1935646</v>
      </c>
      <c r="AB260" s="112">
        <v>4296673</v>
      </c>
      <c r="AC260" s="109">
        <v>160.19999999999999</v>
      </c>
      <c r="AD260" s="110">
        <v>-109.9</v>
      </c>
      <c r="AE260" s="110">
        <v>4.1399999999999997</v>
      </c>
      <c r="AF260" s="110">
        <v>-0.56000000000000005</v>
      </c>
      <c r="AG260" s="110">
        <v>109.8</v>
      </c>
      <c r="AH260" s="110">
        <v>-110.1</v>
      </c>
      <c r="AI260" s="110">
        <v>3.52</v>
      </c>
      <c r="AJ260" s="109">
        <v>-0.53</v>
      </c>
      <c r="AK260" s="113" t="s">
        <v>59</v>
      </c>
      <c r="AL260" s="107" t="s">
        <v>448</v>
      </c>
      <c r="AN260" s="107">
        <v>0.95399999999999996</v>
      </c>
      <c r="AO260" s="48">
        <f t="shared" si="342"/>
        <v>128978346.60553847</v>
      </c>
      <c r="AP260" s="156">
        <f t="shared" si="343"/>
        <v>90284842.623876929</v>
      </c>
      <c r="AQ260" s="161">
        <f t="shared" si="344"/>
        <v>5269438223.1892567</v>
      </c>
      <c r="AR260" s="163">
        <f t="shared" si="345"/>
        <v>2.6677314814594277</v>
      </c>
      <c r="AS260" s="49">
        <f t="shared" si="346"/>
        <v>0.26535714285714285</v>
      </c>
      <c r="AT260" s="165">
        <f t="shared" si="347"/>
        <v>15.537999999999998</v>
      </c>
      <c r="AU260" s="254">
        <f t="shared" si="198"/>
        <v>184660.62839999999</v>
      </c>
      <c r="AV260" s="255">
        <f t="shared" si="199"/>
        <v>438571.27159999998</v>
      </c>
      <c r="AW260" s="256">
        <f t="shared" si="200"/>
        <v>0.4210504434691294</v>
      </c>
    </row>
    <row r="261" spans="1:49">
      <c r="A261" s="108">
        <v>259</v>
      </c>
      <c r="F261" s="45">
        <v>43129.862638888888</v>
      </c>
      <c r="G261" s="45">
        <v>43129.896990740737</v>
      </c>
      <c r="H261" s="53">
        <f>G261-F261-'user time'!J75</f>
        <v>3.4074074071573479E-2</v>
      </c>
      <c r="I261" s="86">
        <v>44.54</v>
      </c>
      <c r="J261" s="109" t="s">
        <v>260</v>
      </c>
      <c r="K261" s="88" t="s">
        <v>72</v>
      </c>
      <c r="L261" s="88" t="s">
        <v>73</v>
      </c>
      <c r="M261" s="88">
        <v>-369</v>
      </c>
      <c r="N261" s="108">
        <v>1</v>
      </c>
      <c r="O261" s="108">
        <v>200</v>
      </c>
      <c r="P261" s="88">
        <v>347</v>
      </c>
      <c r="Q261" s="88" t="s">
        <v>75</v>
      </c>
      <c r="R261" s="88" t="s">
        <v>348</v>
      </c>
      <c r="S261" s="110">
        <v>9500</v>
      </c>
      <c r="T261" s="110">
        <v>857</v>
      </c>
      <c r="U261" s="88">
        <v>983</v>
      </c>
      <c r="V261" s="90">
        <v>1500</v>
      </c>
      <c r="W261" s="111">
        <v>10</v>
      </c>
      <c r="X261" s="110">
        <v>43251</v>
      </c>
      <c r="Y261" s="110">
        <v>768065</v>
      </c>
      <c r="Z261" s="110">
        <v>6175166</v>
      </c>
      <c r="AA261" s="110">
        <v>1925116</v>
      </c>
      <c r="AB261" s="112">
        <v>4271299</v>
      </c>
      <c r="AC261" s="109">
        <v>160.19999999999999</v>
      </c>
      <c r="AD261" s="110">
        <v>-109.9</v>
      </c>
      <c r="AE261" s="110">
        <v>4.1399999999999997</v>
      </c>
      <c r="AF261" s="110">
        <v>-0.56000000000000005</v>
      </c>
      <c r="AG261" s="110">
        <v>109.8</v>
      </c>
      <c r="AH261" s="110">
        <v>-110.1</v>
      </c>
      <c r="AI261" s="110">
        <v>3.51</v>
      </c>
      <c r="AJ261" s="109">
        <v>-0.53</v>
      </c>
      <c r="AK261" s="113" t="s">
        <v>59</v>
      </c>
      <c r="AL261" s="107" t="s">
        <v>386</v>
      </c>
      <c r="AN261" s="107">
        <v>0.95299999999999996</v>
      </c>
      <c r="AO261" s="48">
        <f t="shared" si="342"/>
        <v>103868597.17907691</v>
      </c>
      <c r="AP261" s="156">
        <f t="shared" si="343"/>
        <v>72708018.025353834</v>
      </c>
      <c r="AQ261" s="161">
        <f t="shared" si="344"/>
        <v>5342146241.2146101</v>
      </c>
      <c r="AR261" s="163">
        <f t="shared" si="345"/>
        <v>2.701805555531001</v>
      </c>
      <c r="AS261" s="49">
        <f t="shared" si="346"/>
        <v>0.21651388888888889</v>
      </c>
      <c r="AT261" s="165">
        <f t="shared" si="347"/>
        <v>15.754513888888887</v>
      </c>
      <c r="AU261" s="254">
        <f t="shared" si="198"/>
        <v>183463.55479999998</v>
      </c>
      <c r="AV261" s="255">
        <f t="shared" si="199"/>
        <v>436177.94520000002</v>
      </c>
      <c r="AW261" s="256">
        <f t="shared" si="200"/>
        <v>0.42061630309133746</v>
      </c>
    </row>
    <row r="262" spans="1:49">
      <c r="A262" s="108">
        <v>260</v>
      </c>
      <c r="F262" s="45">
        <v>43129.907534722224</v>
      </c>
      <c r="G262" s="45">
        <v>43129.958356481482</v>
      </c>
      <c r="H262" s="53">
        <f>G262-F262-'user time'!J77-'user time'!J78</f>
        <v>4.2083333331888739E-2</v>
      </c>
      <c r="I262" s="86">
        <v>44.48</v>
      </c>
      <c r="J262" s="109" t="s">
        <v>260</v>
      </c>
      <c r="K262" s="88" t="s">
        <v>72</v>
      </c>
      <c r="L262" s="88" t="s">
        <v>73</v>
      </c>
      <c r="M262" s="88">
        <v>-369</v>
      </c>
      <c r="N262" s="108">
        <v>1</v>
      </c>
      <c r="O262" s="108">
        <v>200</v>
      </c>
      <c r="P262" s="88">
        <v>347</v>
      </c>
      <c r="Q262" s="88" t="s">
        <v>75</v>
      </c>
      <c r="R262" s="88" t="s">
        <v>348</v>
      </c>
      <c r="S262" s="110">
        <v>9700</v>
      </c>
      <c r="T262" s="110">
        <v>852</v>
      </c>
      <c r="U262" s="88">
        <v>983</v>
      </c>
      <c r="V262" s="90">
        <v>1500</v>
      </c>
      <c r="W262" s="111">
        <v>10</v>
      </c>
      <c r="X262" s="110">
        <v>43998</v>
      </c>
      <c r="Y262" s="110">
        <v>769708</v>
      </c>
      <c r="Z262" s="110">
        <v>6138989</v>
      </c>
      <c r="AA262" s="110">
        <v>1936139</v>
      </c>
      <c r="AB262" s="112">
        <v>4231030</v>
      </c>
      <c r="AC262" s="109">
        <v>160.19999999999999</v>
      </c>
      <c r="AD262" s="110">
        <v>-109.9</v>
      </c>
      <c r="AE262" s="110">
        <v>4.16</v>
      </c>
      <c r="AF262" s="110">
        <v>-0.56999999999999995</v>
      </c>
      <c r="AG262" s="110">
        <v>109.8</v>
      </c>
      <c r="AH262" s="110">
        <v>-110.1</v>
      </c>
      <c r="AI262" s="110">
        <v>3.51</v>
      </c>
      <c r="AJ262" s="109">
        <v>-0.53</v>
      </c>
      <c r="AK262" s="113" t="s">
        <v>59</v>
      </c>
      <c r="AL262" s="107" t="s">
        <v>449</v>
      </c>
      <c r="AN262" s="107">
        <v>0.95899999999999996</v>
      </c>
      <c r="AO262" s="48">
        <f t="shared" si="342"/>
        <v>129830183.58530767</v>
      </c>
      <c r="AP262" s="156">
        <f t="shared" si="343"/>
        <v>90881128.509715363</v>
      </c>
      <c r="AQ262" s="161">
        <f t="shared" si="344"/>
        <v>5433027369.7243252</v>
      </c>
      <c r="AR262" s="163">
        <f t="shared" si="345"/>
        <v>2.7438888888628896</v>
      </c>
      <c r="AS262" s="49">
        <f t="shared" si="346"/>
        <v>0.26476190476190475</v>
      </c>
      <c r="AT262" s="165">
        <f t="shared" si="347"/>
        <v>16.019275793650792</v>
      </c>
      <c r="AU262" s="254">
        <f t="shared" si="198"/>
        <v>185675.73009999999</v>
      </c>
      <c r="AV262" s="255">
        <f t="shared" si="199"/>
        <v>431041.16989999998</v>
      </c>
      <c r="AW262" s="256">
        <f t="shared" si="200"/>
        <v>0.43076101093330854</v>
      </c>
    </row>
    <row r="263" spans="1:49">
      <c r="A263" s="108">
        <v>261</v>
      </c>
      <c r="F263" s="45">
        <v>43129.958379629628</v>
      </c>
      <c r="G263" s="45">
        <v>43130.007638888892</v>
      </c>
      <c r="H263" s="53">
        <f>G263-F263-'user time'!J79</f>
        <v>4.0844907411783815E-2</v>
      </c>
      <c r="I263" s="86">
        <v>44.54</v>
      </c>
      <c r="J263" s="109" t="s">
        <v>260</v>
      </c>
      <c r="K263" s="88" t="s">
        <v>72</v>
      </c>
      <c r="L263" s="88" t="s">
        <v>73</v>
      </c>
      <c r="M263" s="88">
        <v>-369</v>
      </c>
      <c r="N263" s="108">
        <v>1</v>
      </c>
      <c r="O263" s="108">
        <v>200</v>
      </c>
      <c r="P263" s="88">
        <v>347</v>
      </c>
      <c r="Q263" s="88" t="s">
        <v>75</v>
      </c>
      <c r="R263" s="88" t="s">
        <v>348</v>
      </c>
      <c r="S263" s="110">
        <v>9200</v>
      </c>
      <c r="T263" s="110">
        <v>835</v>
      </c>
      <c r="U263" s="88">
        <v>983</v>
      </c>
      <c r="V263" s="90">
        <v>1500</v>
      </c>
      <c r="W263" s="111">
        <v>10</v>
      </c>
      <c r="X263" s="110">
        <v>43587</v>
      </c>
      <c r="Y263" s="110">
        <v>769628</v>
      </c>
      <c r="Z263" s="110">
        <v>6126620</v>
      </c>
      <c r="AA263" s="110">
        <v>1932914</v>
      </c>
      <c r="AB263" s="112">
        <v>4220084</v>
      </c>
      <c r="AC263" s="109">
        <v>160.19999999999999</v>
      </c>
      <c r="AD263" s="110">
        <v>-109.9</v>
      </c>
      <c r="AE263" s="110">
        <v>4.1500000000000004</v>
      </c>
      <c r="AF263" s="110">
        <v>-0.56999999999999995</v>
      </c>
      <c r="AG263" s="110">
        <v>109.8</v>
      </c>
      <c r="AH263" s="110">
        <v>-110.1</v>
      </c>
      <c r="AI263" s="110">
        <v>3.51</v>
      </c>
      <c r="AJ263" s="109">
        <v>-0.52</v>
      </c>
      <c r="AK263" s="113" t="s">
        <v>59</v>
      </c>
      <c r="AL263" s="107" t="s">
        <v>450</v>
      </c>
      <c r="AN263" s="107">
        <v>0.95599999999999996</v>
      </c>
      <c r="AO263" s="48">
        <f t="shared" si="342"/>
        <v>125406122.14876921</v>
      </c>
      <c r="AP263" s="156">
        <f t="shared" si="343"/>
        <v>87784285.50413844</v>
      </c>
      <c r="AQ263" s="161">
        <f t="shared" si="344"/>
        <v>5520811655.2284632</v>
      </c>
      <c r="AR263" s="163">
        <f t="shared" si="345"/>
        <v>2.7847337962746734</v>
      </c>
      <c r="AS263" s="49">
        <f t="shared" si="346"/>
        <v>0.25628174603174603</v>
      </c>
      <c r="AT263" s="165">
        <f t="shared" si="347"/>
        <v>16.275557539682538</v>
      </c>
      <c r="AU263" s="254">
        <f t="shared" si="198"/>
        <v>184786.5784</v>
      </c>
      <c r="AV263" s="255">
        <f t="shared" si="199"/>
        <v>430513.22160000005</v>
      </c>
      <c r="AW263" s="256">
        <f t="shared" si="200"/>
        <v>0.42922393350253374</v>
      </c>
    </row>
    <row r="264" spans="1:49">
      <c r="A264" s="108">
        <v>262</v>
      </c>
      <c r="F264" s="45">
        <v>43130.007673611108</v>
      </c>
      <c r="G264" s="45">
        <v>43130.049537037034</v>
      </c>
      <c r="H264" s="53">
        <f>G264-F264-'user time'!J83</f>
        <v>4.144675925917303E-2</v>
      </c>
      <c r="I264" s="86">
        <v>44.54</v>
      </c>
      <c r="J264" s="109" t="s">
        <v>260</v>
      </c>
      <c r="K264" s="88" t="s">
        <v>72</v>
      </c>
      <c r="L264" s="88" t="s">
        <v>73</v>
      </c>
      <c r="M264" s="88">
        <v>-369</v>
      </c>
      <c r="N264" s="108">
        <v>1</v>
      </c>
      <c r="O264" s="108">
        <v>200</v>
      </c>
      <c r="P264" s="88">
        <v>347</v>
      </c>
      <c r="Q264" s="88" t="s">
        <v>75</v>
      </c>
      <c r="R264" s="88" t="s">
        <v>348</v>
      </c>
      <c r="S264" s="110">
        <v>9300</v>
      </c>
      <c r="T264" s="110">
        <v>840</v>
      </c>
      <c r="U264" s="88">
        <v>983</v>
      </c>
      <c r="V264" s="90">
        <v>1500</v>
      </c>
      <c r="W264" s="111">
        <v>10</v>
      </c>
      <c r="X264" s="110">
        <v>43751</v>
      </c>
      <c r="Y264" s="110">
        <v>769661</v>
      </c>
      <c r="Z264" s="110">
        <v>6093392</v>
      </c>
      <c r="AA264" s="110">
        <v>1927790</v>
      </c>
      <c r="AB264" s="112">
        <v>4192236</v>
      </c>
      <c r="AC264" s="109">
        <v>160.19999999999999</v>
      </c>
      <c r="AD264" s="110">
        <v>-109.9</v>
      </c>
      <c r="AE264" s="110">
        <v>4.1500000000000004</v>
      </c>
      <c r="AF264" s="110">
        <v>-0.56999999999999995</v>
      </c>
      <c r="AG264" s="110">
        <v>109.8</v>
      </c>
      <c r="AH264" s="110">
        <v>-110.1</v>
      </c>
      <c r="AI264" s="110">
        <v>3.51</v>
      </c>
      <c r="AJ264" s="109">
        <v>-0.52</v>
      </c>
      <c r="AK264" s="113" t="s">
        <v>59</v>
      </c>
      <c r="AL264" s="107" t="s">
        <v>181</v>
      </c>
      <c r="AN264" s="107">
        <v>0.96</v>
      </c>
      <c r="AO264" s="48">
        <f t="shared" si="342"/>
        <v>127447679.8153846</v>
      </c>
      <c r="AP264" s="156">
        <f t="shared" si="343"/>
        <v>89213375.870769218</v>
      </c>
      <c r="AQ264" s="161">
        <f t="shared" si="344"/>
        <v>5610025031.0992327</v>
      </c>
      <c r="AR264" s="163">
        <f t="shared" si="345"/>
        <v>2.8261805555338464</v>
      </c>
      <c r="AS264" s="49">
        <f t="shared" si="346"/>
        <v>0.26070039682539686</v>
      </c>
      <c r="AT264" s="165">
        <f t="shared" si="347"/>
        <v>16.536257936507933</v>
      </c>
      <c r="AU264" s="254">
        <f t="shared" si="198"/>
        <v>185067.84</v>
      </c>
      <c r="AV264" s="255">
        <f t="shared" si="199"/>
        <v>426934.76</v>
      </c>
      <c r="AW264" s="256">
        <f t="shared" si="200"/>
        <v>0.43348037531542288</v>
      </c>
    </row>
    <row r="265" spans="1:49">
      <c r="A265" s="108">
        <v>263</v>
      </c>
      <c r="F265" s="45">
        <v>43130.049560185187</v>
      </c>
      <c r="G265" s="45">
        <v>43130.10434027778</v>
      </c>
      <c r="H265" s="53">
        <f>G265-F265-'user time'!J84-'user time'!J85</f>
        <v>4.0289351851668598E-2</v>
      </c>
      <c r="I265" s="86">
        <v>44.54</v>
      </c>
      <c r="J265" s="109" t="s">
        <v>260</v>
      </c>
      <c r="K265" s="88" t="s">
        <v>72</v>
      </c>
      <c r="L265" s="88" t="s">
        <v>73</v>
      </c>
      <c r="M265" s="88">
        <v>-369</v>
      </c>
      <c r="N265" s="108">
        <v>1</v>
      </c>
      <c r="O265" s="108">
        <v>200</v>
      </c>
      <c r="P265" s="88">
        <v>347</v>
      </c>
      <c r="Q265" s="88" t="s">
        <v>75</v>
      </c>
      <c r="R265" s="88" t="s">
        <v>348</v>
      </c>
      <c r="S265" s="110">
        <v>9300</v>
      </c>
      <c r="T265" s="110">
        <v>835</v>
      </c>
      <c r="U265" s="88">
        <v>983</v>
      </c>
      <c r="V265" s="90">
        <v>1500</v>
      </c>
      <c r="W265" s="111">
        <v>10</v>
      </c>
      <c r="X265" s="110">
        <v>44189</v>
      </c>
      <c r="Y265" s="110">
        <v>768605</v>
      </c>
      <c r="Z265" s="110">
        <v>6091641</v>
      </c>
      <c r="AA265" s="110">
        <v>1928447</v>
      </c>
      <c r="AB265" s="112">
        <v>4190268</v>
      </c>
      <c r="AC265" s="109">
        <v>160.19999999999999</v>
      </c>
      <c r="AD265" s="110">
        <v>-109.8</v>
      </c>
      <c r="AE265" s="110">
        <v>4.1500000000000004</v>
      </c>
      <c r="AF265" s="110">
        <v>-0.56999999999999995</v>
      </c>
      <c r="AG265" s="110">
        <v>109.8</v>
      </c>
      <c r="AH265" s="110">
        <v>-110.1</v>
      </c>
      <c r="AI265" s="110">
        <v>3.51</v>
      </c>
      <c r="AJ265" s="109">
        <v>-0.52</v>
      </c>
      <c r="AK265" s="113" t="s">
        <v>59</v>
      </c>
      <c r="AL265" s="107" t="s">
        <v>181</v>
      </c>
      <c r="AN265" s="107">
        <v>0.95599999999999996</v>
      </c>
      <c r="AO265" s="48">
        <f t="shared" si="342"/>
        <v>123414525.97484614</v>
      </c>
      <c r="AP265" s="156">
        <f t="shared" si="343"/>
        <v>86390168.182392299</v>
      </c>
      <c r="AQ265" s="161">
        <f t="shared" si="344"/>
        <v>5696415199.2816248</v>
      </c>
      <c r="AR265" s="163">
        <f t="shared" si="345"/>
        <v>2.8664699073855151</v>
      </c>
      <c r="AS265" s="49">
        <f t="shared" si="346"/>
        <v>0.25628174603174603</v>
      </c>
      <c r="AT265" s="165">
        <f t="shared" si="347"/>
        <v>16.79253968253968</v>
      </c>
      <c r="AU265" s="254">
        <f t="shared" si="198"/>
        <v>184359.53320000001</v>
      </c>
      <c r="AV265" s="255">
        <f t="shared" si="199"/>
        <v>427511.96679999999</v>
      </c>
      <c r="AW265" s="256">
        <f t="shared" si="200"/>
        <v>0.43123829861410096</v>
      </c>
    </row>
    <row r="266" spans="1:49">
      <c r="A266" s="108">
        <v>264</v>
      </c>
      <c r="F266" s="45">
        <v>43130.104386574072</v>
      </c>
      <c r="G266" s="45">
        <v>43130.154872685183</v>
      </c>
      <c r="H266" s="53">
        <f>G266-F266-SUM('user time'!J86:J88)</f>
        <v>4.0532407407536747E-2</v>
      </c>
      <c r="I266" s="86">
        <v>44.53</v>
      </c>
      <c r="J266" s="109" t="s">
        <v>260</v>
      </c>
      <c r="K266" s="88" t="s">
        <v>72</v>
      </c>
      <c r="L266" s="88" t="s">
        <v>73</v>
      </c>
      <c r="M266" s="88">
        <v>-369</v>
      </c>
      <c r="N266" s="108">
        <v>1</v>
      </c>
      <c r="O266" s="108">
        <v>200</v>
      </c>
      <c r="P266" s="88">
        <v>347</v>
      </c>
      <c r="Q266" s="88" t="s">
        <v>75</v>
      </c>
      <c r="R266" s="88" t="s">
        <v>348</v>
      </c>
      <c r="S266" s="110">
        <v>9300</v>
      </c>
      <c r="T266" s="110">
        <v>833</v>
      </c>
      <c r="U266" s="88">
        <v>983</v>
      </c>
      <c r="V266" s="90">
        <v>1500</v>
      </c>
      <c r="W266" s="111">
        <v>10</v>
      </c>
      <c r="X266" s="110">
        <v>43705</v>
      </c>
      <c r="Y266" s="110">
        <v>769147</v>
      </c>
      <c r="Z266" s="110">
        <v>6089966</v>
      </c>
      <c r="AA266" s="110">
        <v>1929805</v>
      </c>
      <c r="AB266" s="112">
        <v>4187061</v>
      </c>
      <c r="AC266" s="109">
        <v>160.19999999999999</v>
      </c>
      <c r="AD266" s="110">
        <v>-109.8</v>
      </c>
      <c r="AE266" s="110">
        <v>4.1500000000000004</v>
      </c>
      <c r="AF266" s="110">
        <v>-0.56999999999999995</v>
      </c>
      <c r="AG266" s="110">
        <v>109.8</v>
      </c>
      <c r="AH266" s="110">
        <v>-110.1</v>
      </c>
      <c r="AI266" s="110">
        <v>3.51</v>
      </c>
      <c r="AJ266" s="109">
        <v>-0.52</v>
      </c>
      <c r="AK266" s="113" t="s">
        <v>59</v>
      </c>
      <c r="AL266" s="107" t="s">
        <v>181</v>
      </c>
      <c r="AN266" s="107">
        <v>0.96</v>
      </c>
      <c r="AO266" s="48">
        <f t="shared" si="342"/>
        <v>124766346.64615384</v>
      </c>
      <c r="AP266" s="156">
        <f t="shared" si="343"/>
        <v>87336442.652307674</v>
      </c>
      <c r="AQ266" s="161">
        <f t="shared" si="344"/>
        <v>5783751641.9339323</v>
      </c>
      <c r="AR266" s="163">
        <f t="shared" si="345"/>
        <v>2.9070023147930519</v>
      </c>
      <c r="AS266" s="49">
        <f t="shared" si="346"/>
        <v>0.25622420634920634</v>
      </c>
      <c r="AT266" s="165">
        <f t="shared" si="347"/>
        <v>17.048763888888885</v>
      </c>
      <c r="AU266" s="254">
        <f t="shared" si="198"/>
        <v>185261.28</v>
      </c>
      <c r="AV266" s="255">
        <f t="shared" si="199"/>
        <v>426425.32</v>
      </c>
      <c r="AW266" s="256">
        <f t="shared" si="200"/>
        <v>0.43445187541865476</v>
      </c>
    </row>
    <row r="267" spans="1:49">
      <c r="A267" s="108">
        <v>265</v>
      </c>
      <c r="F267" s="45">
        <v>43130.154953703706</v>
      </c>
      <c r="G267" s="45">
        <v>43130.204236111109</v>
      </c>
      <c r="H267" s="53">
        <f>G267-F267-SUM('user time'!J89:J91)</f>
        <v>4.0486111106346728E-2</v>
      </c>
      <c r="I267" s="86">
        <v>44.49</v>
      </c>
      <c r="J267" s="109" t="s">
        <v>260</v>
      </c>
      <c r="K267" s="88" t="s">
        <v>72</v>
      </c>
      <c r="L267" s="88" t="s">
        <v>73</v>
      </c>
      <c r="M267" s="88">
        <v>-369</v>
      </c>
      <c r="N267" s="108">
        <v>1</v>
      </c>
      <c r="O267" s="108">
        <v>200</v>
      </c>
      <c r="P267" s="88">
        <v>347</v>
      </c>
      <c r="Q267" s="88" t="s">
        <v>75</v>
      </c>
      <c r="R267" s="88" t="s">
        <v>348</v>
      </c>
      <c r="S267" s="110">
        <v>9300</v>
      </c>
      <c r="T267" s="110">
        <v>840</v>
      </c>
      <c r="U267" s="88">
        <v>983</v>
      </c>
      <c r="V267" s="90">
        <v>1500</v>
      </c>
      <c r="W267" s="111">
        <v>10</v>
      </c>
      <c r="X267" s="110">
        <v>43612</v>
      </c>
      <c r="Y267" s="110">
        <v>770486</v>
      </c>
      <c r="Z267" s="110">
        <v>6079725</v>
      </c>
      <c r="AA267" s="110">
        <v>1927593</v>
      </c>
      <c r="AB267" s="112">
        <v>4179165</v>
      </c>
      <c r="AC267" s="109">
        <v>160.30000000000001</v>
      </c>
      <c r="AD267" s="110">
        <v>-109.8</v>
      </c>
      <c r="AE267" s="110">
        <v>4.1500000000000004</v>
      </c>
      <c r="AF267" s="110">
        <v>-0.56999999999999995</v>
      </c>
      <c r="AG267" s="110">
        <v>109.8</v>
      </c>
      <c r="AH267" s="110">
        <v>-110.1</v>
      </c>
      <c r="AI267" s="110">
        <v>3.51</v>
      </c>
      <c r="AJ267" s="109">
        <v>-0.52</v>
      </c>
      <c r="AK267" s="113" t="s">
        <v>59</v>
      </c>
      <c r="AL267" s="107" t="s">
        <v>181</v>
      </c>
      <c r="AN267" s="107">
        <v>0.96</v>
      </c>
      <c r="AO267" s="48">
        <f t="shared" si="342"/>
        <v>124480990.41230766</v>
      </c>
      <c r="AP267" s="156">
        <f t="shared" si="343"/>
        <v>87136693.288615361</v>
      </c>
      <c r="AQ267" s="161">
        <f t="shared" si="344"/>
        <v>5870888335.2225475</v>
      </c>
      <c r="AR267" s="163">
        <f t="shared" si="345"/>
        <v>2.9474884258993987</v>
      </c>
      <c r="AS267" s="49">
        <f t="shared" si="346"/>
        <v>0.25599404761904759</v>
      </c>
      <c r="AT267" s="165">
        <f t="shared" si="347"/>
        <v>17.304757936507933</v>
      </c>
      <c r="AU267" s="254">
        <f t="shared" si="198"/>
        <v>185048.92799999999</v>
      </c>
      <c r="AV267" s="255">
        <f t="shared" si="199"/>
        <v>425626.87200000003</v>
      </c>
      <c r="AW267" s="256">
        <f t="shared" si="200"/>
        <v>0.43476796267694295</v>
      </c>
    </row>
    <row r="268" spans="1:49">
      <c r="A268" s="108">
        <v>266</v>
      </c>
      <c r="F268" s="45">
        <v>43130.204270833332</v>
      </c>
      <c r="G268" s="45">
        <v>43130.269780092596</v>
      </c>
      <c r="H268" s="53">
        <f>G268-F268-'user time'!J92-'user time'!J93</f>
        <v>4.0081018523476897E-2</v>
      </c>
      <c r="I268" s="86">
        <v>44.57</v>
      </c>
      <c r="J268" s="109" t="s">
        <v>260</v>
      </c>
      <c r="K268" s="88" t="s">
        <v>72</v>
      </c>
      <c r="L268" s="88" t="s">
        <v>73</v>
      </c>
      <c r="M268" s="88">
        <v>-369</v>
      </c>
      <c r="N268" s="108">
        <v>1</v>
      </c>
      <c r="O268" s="108">
        <v>200</v>
      </c>
      <c r="P268" s="88">
        <v>347</v>
      </c>
      <c r="Q268" s="88" t="s">
        <v>75</v>
      </c>
      <c r="R268" s="88" t="s">
        <v>348</v>
      </c>
      <c r="S268" s="110">
        <v>9300</v>
      </c>
      <c r="T268" s="110">
        <v>827</v>
      </c>
      <c r="U268" s="88">
        <v>983</v>
      </c>
      <c r="V268" s="90">
        <v>1500</v>
      </c>
      <c r="W268" s="111">
        <v>10</v>
      </c>
      <c r="X268" s="110">
        <v>43926</v>
      </c>
      <c r="Y268" s="110">
        <v>769388</v>
      </c>
      <c r="Z268" s="110">
        <v>6053568</v>
      </c>
      <c r="AA268" s="110">
        <v>1920938</v>
      </c>
      <c r="AB268" s="112">
        <v>4161905</v>
      </c>
      <c r="AC268" s="109">
        <v>160.19999999999999</v>
      </c>
      <c r="AD268" s="110">
        <v>-109.9</v>
      </c>
      <c r="AE268" s="110">
        <v>4.16</v>
      </c>
      <c r="AF268" s="110">
        <v>-0.56999999999999995</v>
      </c>
      <c r="AG268" s="110">
        <v>109.8</v>
      </c>
      <c r="AH268" s="110">
        <v>-110.1</v>
      </c>
      <c r="AI268" s="110">
        <v>3.51</v>
      </c>
      <c r="AJ268" s="109">
        <v>-0.52</v>
      </c>
      <c r="AK268" s="113" t="s">
        <v>59</v>
      </c>
      <c r="AL268" s="107" t="s">
        <v>181</v>
      </c>
      <c r="AN268" s="107">
        <v>0.96099999999999997</v>
      </c>
      <c r="AO268" s="48">
        <f t="shared" si="342"/>
        <v>122937926.35642308</v>
      </c>
      <c r="AP268" s="156">
        <f t="shared" si="343"/>
        <v>86056548.44949615</v>
      </c>
      <c r="AQ268" s="161">
        <f t="shared" si="344"/>
        <v>5956944883.6720438</v>
      </c>
      <c r="AR268" s="163">
        <f t="shared" si="345"/>
        <v>2.9875694444228755</v>
      </c>
      <c r="AS268" s="49">
        <f t="shared" si="346"/>
        <v>0.25203273809523813</v>
      </c>
      <c r="AT268" s="165">
        <f t="shared" si="347"/>
        <v>17.556790674603171</v>
      </c>
      <c r="AU268" s="254">
        <f t="shared" si="198"/>
        <v>184602.14179999998</v>
      </c>
      <c r="AV268" s="255">
        <f t="shared" si="199"/>
        <v>423682.15820000001</v>
      </c>
      <c r="AW268" s="256">
        <f t="shared" si="200"/>
        <v>0.43570902910869846</v>
      </c>
    </row>
    <row r="269" spans="1:49">
      <c r="A269" s="108">
        <v>267</v>
      </c>
      <c r="F269" s="45">
        <v>43130.269837962966</v>
      </c>
      <c r="G269" s="45">
        <v>43130.311053240737</v>
      </c>
      <c r="H269" s="53">
        <f>G269-F269-'user time'!J94-'user time'!J95</f>
        <v>4.0231481475402009E-2</v>
      </c>
      <c r="I269" s="86">
        <v>44.57</v>
      </c>
      <c r="J269" s="109" t="s">
        <v>260</v>
      </c>
      <c r="K269" s="88" t="s">
        <v>72</v>
      </c>
      <c r="L269" s="88" t="s">
        <v>73</v>
      </c>
      <c r="M269" s="88">
        <v>-369</v>
      </c>
      <c r="N269" s="108">
        <v>1</v>
      </c>
      <c r="O269" s="108">
        <v>200</v>
      </c>
      <c r="P269" s="88">
        <v>347</v>
      </c>
      <c r="Q269" s="88" t="s">
        <v>75</v>
      </c>
      <c r="R269" s="88" t="s">
        <v>348</v>
      </c>
      <c r="S269" s="110">
        <v>9300</v>
      </c>
      <c r="T269" s="110">
        <v>827</v>
      </c>
      <c r="U269" s="88">
        <v>983</v>
      </c>
      <c r="V269" s="90">
        <v>1500</v>
      </c>
      <c r="W269" s="111">
        <v>10</v>
      </c>
      <c r="X269" s="110">
        <v>43642</v>
      </c>
      <c r="Y269" s="110">
        <v>768516</v>
      </c>
      <c r="Z269" s="110">
        <v>6041603</v>
      </c>
      <c r="AA269" s="110">
        <v>1917742</v>
      </c>
      <c r="AB269" s="112">
        <v>4151508</v>
      </c>
      <c r="AC269" s="109">
        <v>160.19999999999999</v>
      </c>
      <c r="AD269" s="110">
        <v>-109.9</v>
      </c>
      <c r="AE269" s="110">
        <v>4.1500000000000004</v>
      </c>
      <c r="AF269" s="110">
        <v>-0.56999999999999995</v>
      </c>
      <c r="AG269" s="110">
        <v>109.8</v>
      </c>
      <c r="AH269" s="110">
        <v>-110.1</v>
      </c>
      <c r="AI269" s="110">
        <v>3.51</v>
      </c>
      <c r="AJ269" s="109">
        <v>-0.52</v>
      </c>
      <c r="AK269" s="113" t="s">
        <v>59</v>
      </c>
      <c r="AL269" s="107" t="s">
        <v>181</v>
      </c>
      <c r="AN269" s="107">
        <v>0.95699999999999996</v>
      </c>
      <c r="AO269" s="48">
        <f t="shared" si="342"/>
        <v>122681348.66815384</v>
      </c>
      <c r="AP269" s="156">
        <f t="shared" si="343"/>
        <v>85876944.067707688</v>
      </c>
      <c r="AQ269" s="161">
        <f t="shared" si="344"/>
        <v>6042821827.7397518</v>
      </c>
      <c r="AR269" s="163">
        <f t="shared" si="345"/>
        <v>3.0278009258982777</v>
      </c>
      <c r="AS269" s="49">
        <f t="shared" si="346"/>
        <v>0.25203273809523813</v>
      </c>
      <c r="AT269" s="165">
        <f t="shared" si="347"/>
        <v>17.808823412698409</v>
      </c>
      <c r="AU269" s="254">
        <f t="shared" si="198"/>
        <v>183527.9094</v>
      </c>
      <c r="AV269" s="255">
        <f t="shared" si="199"/>
        <v>423397.0906</v>
      </c>
      <c r="AW269" s="256">
        <f t="shared" si="200"/>
        <v>0.43346521143997679</v>
      </c>
    </row>
    <row r="270" spans="1:49">
      <c r="A270" s="108">
        <v>268</v>
      </c>
      <c r="F270" s="45">
        <v>43130.311122685183</v>
      </c>
      <c r="G270" s="45">
        <v>43130.326423611114</v>
      </c>
      <c r="H270" s="53">
        <f>G270-F270</f>
        <v>1.5300925930205267E-2</v>
      </c>
      <c r="I270" s="86">
        <v>44.59</v>
      </c>
      <c r="J270" s="109" t="s">
        <v>260</v>
      </c>
      <c r="K270" s="88" t="s">
        <v>72</v>
      </c>
      <c r="L270" s="88" t="s">
        <v>73</v>
      </c>
      <c r="M270" s="88">
        <v>-369</v>
      </c>
      <c r="N270" s="108">
        <v>1</v>
      </c>
      <c r="O270" s="108">
        <v>200</v>
      </c>
      <c r="P270" s="88">
        <v>347</v>
      </c>
      <c r="Q270" s="88" t="s">
        <v>75</v>
      </c>
      <c r="R270" s="88" t="s">
        <v>348</v>
      </c>
      <c r="S270" s="110">
        <v>9300</v>
      </c>
      <c r="T270" s="110">
        <v>836</v>
      </c>
      <c r="U270" s="88">
        <v>983</v>
      </c>
      <c r="V270" s="90">
        <v>1500</v>
      </c>
      <c r="W270" s="111">
        <v>10</v>
      </c>
      <c r="X270" s="110">
        <v>44219</v>
      </c>
      <c r="Y270" s="110">
        <v>768224</v>
      </c>
      <c r="Z270" s="110">
        <v>6054552</v>
      </c>
      <c r="AA270" s="110">
        <v>1922846</v>
      </c>
      <c r="AB270" s="112">
        <v>4158752</v>
      </c>
      <c r="AC270" s="109">
        <v>160.19999999999999</v>
      </c>
      <c r="AD270" s="110">
        <v>-109.9</v>
      </c>
      <c r="AE270" s="110">
        <v>4.1500000000000004</v>
      </c>
      <c r="AF270" s="110">
        <v>-0.56999999999999995</v>
      </c>
      <c r="AG270" s="110">
        <v>109.8</v>
      </c>
      <c r="AH270" s="110">
        <v>-110.1</v>
      </c>
      <c r="AI270" s="110">
        <v>3.51</v>
      </c>
      <c r="AJ270" s="109">
        <v>-0.52</v>
      </c>
      <c r="AK270" s="113" t="s">
        <v>59</v>
      </c>
      <c r="AL270" s="107" t="s">
        <v>395</v>
      </c>
      <c r="AN270" s="107">
        <v>0.95899999999999996</v>
      </c>
      <c r="AO270" s="48">
        <f t="shared" si="342"/>
        <v>46880390.636692308</v>
      </c>
      <c r="AP270" s="156">
        <f t="shared" si="343"/>
        <v>32816273.445684612</v>
      </c>
      <c r="AQ270" s="161">
        <f t="shared" si="344"/>
        <v>6075638101.1854362</v>
      </c>
      <c r="AR270" s="163">
        <f t="shared" si="345"/>
        <v>3.0431018518284829</v>
      </c>
      <c r="AS270" s="49">
        <f t="shared" si="346"/>
        <v>9.7319444444444445E-2</v>
      </c>
      <c r="AT270" s="165">
        <f t="shared" si="347"/>
        <v>17.906142857142854</v>
      </c>
      <c r="AU270" s="254">
        <f t="shared" si="198"/>
        <v>184400.9314</v>
      </c>
      <c r="AV270" s="255">
        <f t="shared" si="199"/>
        <v>423758.86860000005</v>
      </c>
      <c r="AW270" s="256">
        <f t="shared" si="200"/>
        <v>0.43515533258151612</v>
      </c>
    </row>
    <row r="271" spans="1:49">
      <c r="A271" s="108">
        <v>269</v>
      </c>
      <c r="F271" s="45">
        <v>43130.328344907408</v>
      </c>
      <c r="G271" s="45">
        <v>43130.369467592594</v>
      </c>
      <c r="H271" s="53">
        <f>G271-F271-'user time'!J96</f>
        <v>4.0810185186564929E-2</v>
      </c>
      <c r="I271" s="86">
        <v>44.6</v>
      </c>
      <c r="J271" s="109" t="s">
        <v>260</v>
      </c>
      <c r="K271" s="88" t="s">
        <v>72</v>
      </c>
      <c r="L271" s="88" t="s">
        <v>73</v>
      </c>
      <c r="M271" s="88">
        <v>-369</v>
      </c>
      <c r="N271" s="108">
        <v>1</v>
      </c>
      <c r="O271" s="108">
        <v>200</v>
      </c>
      <c r="P271" s="88">
        <v>347</v>
      </c>
      <c r="Q271" s="88" t="s">
        <v>75</v>
      </c>
      <c r="R271" s="88" t="s">
        <v>348</v>
      </c>
      <c r="U271" s="88">
        <v>983</v>
      </c>
      <c r="V271" s="90">
        <v>1500</v>
      </c>
      <c r="W271" s="111">
        <v>10</v>
      </c>
      <c r="X271" s="110">
        <v>43868</v>
      </c>
      <c r="Y271" s="110">
        <v>769081</v>
      </c>
      <c r="Z271" s="110">
        <v>6075399</v>
      </c>
      <c r="AA271" s="110">
        <v>1928421</v>
      </c>
      <c r="AB271" s="112">
        <v>4172879</v>
      </c>
      <c r="AC271" s="109">
        <v>160.19999999999999</v>
      </c>
      <c r="AD271" s="110">
        <v>-109.9</v>
      </c>
      <c r="AE271" s="110">
        <v>4.1500000000000004</v>
      </c>
      <c r="AF271" s="110">
        <v>-0.56999999999999995</v>
      </c>
      <c r="AG271" s="110">
        <v>109.8</v>
      </c>
      <c r="AH271" s="110">
        <v>-110.1</v>
      </c>
      <c r="AI271" s="110">
        <v>3.5</v>
      </c>
      <c r="AJ271" s="109">
        <v>-0.52</v>
      </c>
      <c r="AK271" s="113" t="s">
        <v>59</v>
      </c>
      <c r="AL271" s="107" t="s">
        <v>181</v>
      </c>
      <c r="AN271" s="107">
        <v>0.95499999999999996</v>
      </c>
      <c r="AO271" s="48">
        <f t="shared" si="342"/>
        <v>124877497.80634616</v>
      </c>
      <c r="AP271" s="156">
        <f t="shared" si="343"/>
        <v>87414248.464442313</v>
      </c>
      <c r="AQ271" s="161">
        <f t="shared" si="344"/>
        <v>6163052349.6498785</v>
      </c>
      <c r="AR271" s="163">
        <f t="shared" si="345"/>
        <v>3.0839120370150477</v>
      </c>
      <c r="AS271" s="49">
        <f t="shared" si="346"/>
        <v>0.25662698412698415</v>
      </c>
      <c r="AT271" s="165">
        <f t="shared" si="347"/>
        <v>18.162769841269839</v>
      </c>
      <c r="AU271" s="254">
        <f t="shared" si="198"/>
        <v>184164.20550000001</v>
      </c>
      <c r="AV271" s="255">
        <f t="shared" si="199"/>
        <v>425965.79450000002</v>
      </c>
      <c r="AW271" s="256">
        <f t="shared" si="200"/>
        <v>0.43234505652307725</v>
      </c>
    </row>
    <row r="272" spans="1:49">
      <c r="A272" s="108">
        <v>270</v>
      </c>
      <c r="F272" s="45">
        <v>43130.369502314818</v>
      </c>
      <c r="G272" s="45">
        <v>43130.416967592595</v>
      </c>
      <c r="H272" s="53">
        <f>G272-F272-'user time'!J97-'user time'!J98</f>
        <v>4.7025462962704323E-2</v>
      </c>
      <c r="I272" s="86">
        <v>44.62</v>
      </c>
      <c r="J272" s="109" t="s">
        <v>260</v>
      </c>
      <c r="K272" s="88" t="s">
        <v>72</v>
      </c>
      <c r="L272" s="88" t="s">
        <v>73</v>
      </c>
      <c r="M272" s="88">
        <v>-369</v>
      </c>
      <c r="N272" s="108">
        <v>1</v>
      </c>
      <c r="O272" s="108">
        <v>200</v>
      </c>
      <c r="P272" s="88">
        <v>347</v>
      </c>
      <c r="Q272" s="88" t="s">
        <v>75</v>
      </c>
      <c r="R272" s="88" t="s">
        <v>348</v>
      </c>
      <c r="S272" s="110">
        <v>9200</v>
      </c>
      <c r="T272" s="110">
        <v>830</v>
      </c>
      <c r="U272" s="88">
        <v>983</v>
      </c>
      <c r="V272" s="90">
        <v>1500</v>
      </c>
      <c r="W272" s="111">
        <v>10</v>
      </c>
      <c r="X272" s="110">
        <v>43723</v>
      </c>
      <c r="Y272" s="110">
        <v>772194</v>
      </c>
      <c r="Z272" s="110">
        <v>6080563</v>
      </c>
      <c r="AA272" s="110">
        <v>1930310</v>
      </c>
      <c r="AB272" s="112">
        <v>4178207</v>
      </c>
      <c r="AC272" s="109">
        <v>160.19999999999999</v>
      </c>
      <c r="AD272" s="110">
        <v>-109.9</v>
      </c>
      <c r="AE272" s="110">
        <v>4.1500000000000004</v>
      </c>
      <c r="AF272" s="110">
        <v>-0.56999999999999995</v>
      </c>
      <c r="AG272" s="110">
        <v>109.8</v>
      </c>
      <c r="AH272" s="110">
        <v>-110.1</v>
      </c>
      <c r="AI272" s="110">
        <v>3.51</v>
      </c>
      <c r="AJ272" s="109">
        <v>-0.52</v>
      </c>
      <c r="AK272" s="113" t="s">
        <v>59</v>
      </c>
      <c r="AL272" s="107" t="s">
        <v>181</v>
      </c>
      <c r="AN272" s="107">
        <v>0.95499999999999996</v>
      </c>
      <c r="AO272" s="48">
        <f t="shared" ref="AO272" si="348">(HOUR(H272)*60*60+MINUTE(H272)*60+SECOND(H272))/5.2*AA272/W272*AN272</f>
        <v>144036948.09903845</v>
      </c>
      <c r="AP272" s="156">
        <f t="shared" ref="AP272" si="349">AO272*0.7</f>
        <v>100825863.66932692</v>
      </c>
      <c r="AQ272" s="161">
        <f t="shared" ref="AQ272" si="350">AP272+AQ271</f>
        <v>6263878213.3192053</v>
      </c>
      <c r="AR272" s="163">
        <f t="shared" ref="AR272" si="351">H272+AR271</f>
        <v>3.1309374999777519</v>
      </c>
      <c r="AS272" s="49">
        <f t="shared" ref="AS272" si="352">I272*(HOUR(H272)*60+MINUTE(H272))/60/(7*24)</f>
        <v>0.29658134920634921</v>
      </c>
      <c r="AT272" s="165">
        <f t="shared" ref="AT272" si="353">AS272+AT271</f>
        <v>18.459351190476188</v>
      </c>
      <c r="AU272" s="254">
        <f t="shared" si="198"/>
        <v>184344.60499999998</v>
      </c>
      <c r="AV272" s="255">
        <f t="shared" si="199"/>
        <v>426507.09500000003</v>
      </c>
      <c r="AW272" s="256">
        <f t="shared" si="200"/>
        <v>0.43221931630469118</v>
      </c>
    </row>
    <row r="273" spans="1:70">
      <c r="A273" s="108">
        <v>271</v>
      </c>
      <c r="F273" s="45">
        <v>43130.416990740741</v>
      </c>
      <c r="G273" s="45">
        <v>43130.427037037036</v>
      </c>
      <c r="H273" s="53">
        <f>G273-F273</f>
        <v>1.0046296294603962E-2</v>
      </c>
      <c r="I273" s="86">
        <v>44.61</v>
      </c>
      <c r="J273" s="109" t="s">
        <v>260</v>
      </c>
      <c r="K273" s="88" t="s">
        <v>72</v>
      </c>
      <c r="L273" s="88" t="s">
        <v>73</v>
      </c>
      <c r="M273" s="88">
        <v>-369</v>
      </c>
      <c r="N273" s="108">
        <v>1</v>
      </c>
      <c r="O273" s="108">
        <v>200</v>
      </c>
      <c r="P273" s="88">
        <v>347</v>
      </c>
      <c r="Q273" s="88" t="s">
        <v>75</v>
      </c>
      <c r="R273" s="88" t="s">
        <v>348</v>
      </c>
      <c r="S273" s="110">
        <v>9300</v>
      </c>
      <c r="T273" s="110">
        <v>840</v>
      </c>
      <c r="U273" s="88">
        <v>983</v>
      </c>
      <c r="V273" s="90">
        <v>1500</v>
      </c>
      <c r="W273" s="111">
        <v>10</v>
      </c>
      <c r="X273" s="110">
        <v>43858</v>
      </c>
      <c r="Y273" s="110">
        <v>769530</v>
      </c>
      <c r="Z273" s="110">
        <v>6093218</v>
      </c>
      <c r="AA273" s="110">
        <v>1930517</v>
      </c>
      <c r="AB273" s="112">
        <v>4189164</v>
      </c>
      <c r="AC273" s="109">
        <v>160.19999999999999</v>
      </c>
      <c r="AD273" s="110">
        <v>-109.9</v>
      </c>
      <c r="AE273" s="110">
        <v>4.16</v>
      </c>
      <c r="AF273" s="110">
        <v>-0.56999999999999995</v>
      </c>
      <c r="AG273" s="110">
        <v>109.8</v>
      </c>
      <c r="AH273" s="110">
        <v>-110.1</v>
      </c>
      <c r="AI273" s="110">
        <v>3.51</v>
      </c>
      <c r="AJ273" s="109">
        <v>-0.52</v>
      </c>
      <c r="AK273" s="113" t="s">
        <v>59</v>
      </c>
      <c r="AL273" s="107" t="s">
        <v>181</v>
      </c>
      <c r="AN273" s="107">
        <v>0.95499999999999996</v>
      </c>
      <c r="AO273" s="48">
        <f t="shared" ref="AO273" si="354">(HOUR(H273)*60*60+MINUTE(H273)*60+SECOND(H273))/5.2*AA273/W273*AN273</f>
        <v>30774668.499615379</v>
      </c>
      <c r="AP273" s="156">
        <f t="shared" ref="AP273" si="355">AO273*0.7</f>
        <v>21542267.949730765</v>
      </c>
      <c r="AQ273" s="161">
        <f t="shared" ref="AQ273" si="356">AP273+AQ272</f>
        <v>6285420481.2689362</v>
      </c>
      <c r="AR273" s="163">
        <f t="shared" ref="AR273" si="357">H273+AR272</f>
        <v>3.1409837962723559</v>
      </c>
      <c r="AS273" s="49">
        <f t="shared" ref="AS273" si="358">I273*(HOUR(H273)*60+MINUTE(H273))/60/(7*24)</f>
        <v>6.1958333333333324E-2</v>
      </c>
      <c r="AT273" s="165">
        <f t="shared" ref="AT273" si="359">AS273+AT272</f>
        <v>18.521309523809521</v>
      </c>
      <c r="AU273" s="254">
        <f t="shared" si="198"/>
        <v>184364.37350000002</v>
      </c>
      <c r="AV273" s="255">
        <f t="shared" si="199"/>
        <v>427603.72650000005</v>
      </c>
      <c r="AW273" s="256">
        <f t="shared" si="200"/>
        <v>0.43115707856208307</v>
      </c>
    </row>
    <row r="274" spans="1:70" s="190" customFormat="1">
      <c r="A274" s="176">
        <v>272</v>
      </c>
      <c r="F274" s="171">
        <v>43130.760405092595</v>
      </c>
      <c r="G274" s="171">
        <v>43130.760405092595</v>
      </c>
      <c r="H274" s="172">
        <f>G274-F274</f>
        <v>0</v>
      </c>
      <c r="I274" s="173">
        <v>49.84</v>
      </c>
      <c r="J274" s="174" t="s">
        <v>260</v>
      </c>
      <c r="K274" s="175" t="s">
        <v>72</v>
      </c>
      <c r="L274" s="175" t="s">
        <v>73</v>
      </c>
      <c r="M274" s="175">
        <v>-369</v>
      </c>
      <c r="N274" s="176">
        <v>1</v>
      </c>
      <c r="O274" s="176">
        <v>200</v>
      </c>
      <c r="P274" s="175">
        <v>347</v>
      </c>
      <c r="Q274" s="175" t="s">
        <v>75</v>
      </c>
      <c r="R274" s="175" t="s">
        <v>286</v>
      </c>
      <c r="S274" s="177"/>
      <c r="T274" s="177"/>
      <c r="U274" s="175">
        <v>983</v>
      </c>
      <c r="V274" s="178">
        <v>1500</v>
      </c>
      <c r="W274" s="179">
        <v>10</v>
      </c>
      <c r="X274" s="177">
        <v>49393</v>
      </c>
      <c r="Y274" s="177">
        <v>849496</v>
      </c>
      <c r="Z274" s="177">
        <v>7109418</v>
      </c>
      <c r="AA274" s="177">
        <v>2089780</v>
      </c>
      <c r="AB274" s="180">
        <v>5046985</v>
      </c>
      <c r="AC274" s="174">
        <v>160.1</v>
      </c>
      <c r="AD274" s="177">
        <v>-109.9</v>
      </c>
      <c r="AE274" s="177">
        <v>4.1399999999999997</v>
      </c>
      <c r="AF274" s="177">
        <v>-0.56999999999999995</v>
      </c>
      <c r="AG274" s="177">
        <v>109.8</v>
      </c>
      <c r="AH274" s="177">
        <v>-110</v>
      </c>
      <c r="AI274" s="177">
        <v>3.5</v>
      </c>
      <c r="AJ274" s="174">
        <v>-0.52</v>
      </c>
      <c r="AK274" s="181"/>
      <c r="AL274" s="182" t="s">
        <v>400</v>
      </c>
      <c r="AM274" s="183"/>
      <c r="AN274" s="182"/>
      <c r="AO274" s="191"/>
      <c r="AP274" s="192"/>
      <c r="AQ274" s="193"/>
      <c r="AR274" s="186"/>
      <c r="AS274" s="187"/>
      <c r="AT274" s="188"/>
      <c r="AU274" s="187"/>
      <c r="AV274" s="187"/>
      <c r="AW274" s="177"/>
      <c r="AX274" s="177"/>
      <c r="AY274" s="177"/>
      <c r="AZ274" s="177"/>
      <c r="BA274" s="187"/>
      <c r="BB274" s="180"/>
      <c r="BC274" s="189"/>
      <c r="BD274" s="189"/>
      <c r="BE274" s="189"/>
      <c r="BF274" s="189"/>
      <c r="BG274" s="189"/>
      <c r="BH274" s="189"/>
      <c r="BI274" s="189"/>
      <c r="BJ274" s="189"/>
      <c r="BK274" s="189"/>
      <c r="BL274" s="189"/>
      <c r="BM274" s="189"/>
      <c r="BN274" s="189"/>
      <c r="BO274" s="189"/>
      <c r="BP274" s="189"/>
      <c r="BQ274" s="189"/>
      <c r="BR274" s="189"/>
    </row>
    <row r="275" spans="1:70" s="190" customFormat="1">
      <c r="A275" s="176">
        <v>273</v>
      </c>
      <c r="F275" s="171">
        <v>43130.763958333337</v>
      </c>
      <c r="G275" s="171">
        <v>43130.764606481483</v>
      </c>
      <c r="H275" s="172">
        <f>G275-F275</f>
        <v>6.4814814686542377E-4</v>
      </c>
      <c r="I275" s="173">
        <v>49.82</v>
      </c>
      <c r="J275" s="174" t="s">
        <v>260</v>
      </c>
      <c r="K275" s="175" t="s">
        <v>72</v>
      </c>
      <c r="L275" s="175" t="s">
        <v>73</v>
      </c>
      <c r="M275" s="175">
        <v>-369</v>
      </c>
      <c r="N275" s="176">
        <v>1</v>
      </c>
      <c r="O275" s="176">
        <v>200</v>
      </c>
      <c r="P275" s="175">
        <v>350</v>
      </c>
      <c r="Q275" s="175" t="s">
        <v>75</v>
      </c>
      <c r="R275" s="175" t="s">
        <v>286</v>
      </c>
      <c r="S275" s="177"/>
      <c r="T275" s="177"/>
      <c r="U275" s="175">
        <v>983</v>
      </c>
      <c r="V275" s="178">
        <v>1500</v>
      </c>
      <c r="W275" s="179"/>
      <c r="X275" s="177"/>
      <c r="Y275" s="177"/>
      <c r="Z275" s="177"/>
      <c r="AA275" s="177"/>
      <c r="AB275" s="180"/>
      <c r="AC275" s="174">
        <v>160.1</v>
      </c>
      <c r="AD275" s="177">
        <v>-109.9</v>
      </c>
      <c r="AE275" s="177">
        <v>4.1399999999999997</v>
      </c>
      <c r="AF275" s="177">
        <v>-0.56999999999999995</v>
      </c>
      <c r="AG275" s="177">
        <v>109.8</v>
      </c>
      <c r="AH275" s="177">
        <v>-110</v>
      </c>
      <c r="AI275" s="177">
        <v>2.52</v>
      </c>
      <c r="AJ275" s="174">
        <v>0.55000000000000004</v>
      </c>
      <c r="AK275" s="181"/>
      <c r="AL275" s="182" t="s">
        <v>402</v>
      </c>
      <c r="AM275" s="183"/>
      <c r="AN275" s="182">
        <v>0.97499999999999998</v>
      </c>
      <c r="AO275" s="191"/>
      <c r="AP275" s="192"/>
      <c r="AQ275" s="193"/>
      <c r="AR275" s="186"/>
      <c r="AS275" s="187"/>
      <c r="AT275" s="188"/>
      <c r="AU275" s="187"/>
      <c r="AV275" s="187"/>
      <c r="AW275" s="177"/>
      <c r="AX275" s="177"/>
      <c r="AY275" s="177"/>
      <c r="AZ275" s="177"/>
      <c r="BA275" s="187"/>
      <c r="BB275" s="180"/>
      <c r="BC275" s="189"/>
      <c r="BD275" s="189"/>
      <c r="BE275" s="189"/>
      <c r="BF275" s="189"/>
      <c r="BG275" s="189"/>
      <c r="BH275" s="189"/>
      <c r="BI275" s="189"/>
      <c r="BJ275" s="189"/>
      <c r="BK275" s="189"/>
      <c r="BL275" s="189"/>
      <c r="BM275" s="189"/>
      <c r="BN275" s="189"/>
      <c r="BO275" s="189"/>
      <c r="BP275" s="189"/>
      <c r="BQ275" s="189"/>
      <c r="BR275" s="189"/>
    </row>
    <row r="276" spans="1:70" s="149" customFormat="1">
      <c r="A276" s="138">
        <v>274</v>
      </c>
      <c r="F276" s="133"/>
      <c r="G276" s="133"/>
      <c r="H276" s="134"/>
      <c r="I276" s="135"/>
      <c r="J276" s="136"/>
      <c r="K276" s="137"/>
      <c r="L276" s="137"/>
      <c r="M276" s="137"/>
      <c r="N276" s="138"/>
      <c r="O276" s="138"/>
      <c r="P276" s="137"/>
      <c r="Q276" s="137"/>
      <c r="R276" s="235"/>
      <c r="S276" s="139"/>
      <c r="T276" s="139"/>
      <c r="U276" s="137"/>
      <c r="V276" s="140"/>
      <c r="W276" s="141"/>
      <c r="X276" s="139"/>
      <c r="Y276" s="139"/>
      <c r="Z276" s="139"/>
      <c r="AA276" s="139"/>
      <c r="AB276" s="142"/>
      <c r="AC276" s="136"/>
      <c r="AD276" s="139"/>
      <c r="AE276" s="139"/>
      <c r="AF276" s="139"/>
      <c r="AG276" s="139"/>
      <c r="AH276" s="139"/>
      <c r="AI276" s="139"/>
      <c r="AJ276" s="136"/>
      <c r="AK276" s="143"/>
      <c r="AL276" s="144" t="s">
        <v>401</v>
      </c>
      <c r="AM276" s="145"/>
      <c r="AN276" s="144"/>
      <c r="AO276" s="151"/>
      <c r="AP276" s="152"/>
      <c r="AQ276" s="160"/>
      <c r="AR276" s="162"/>
      <c r="AS276" s="147"/>
      <c r="AT276" s="164"/>
      <c r="AU276" s="147"/>
      <c r="AV276" s="147"/>
      <c r="AW276" s="139"/>
      <c r="AX276" s="139"/>
      <c r="AY276" s="139"/>
      <c r="AZ276" s="139"/>
      <c r="BA276" s="147"/>
      <c r="BB276" s="142"/>
      <c r="BC276" s="148"/>
      <c r="BD276" s="148"/>
      <c r="BE276" s="148"/>
      <c r="BF276" s="148"/>
      <c r="BG276" s="148"/>
      <c r="BH276" s="148"/>
      <c r="BI276" s="148"/>
      <c r="BJ276" s="148"/>
      <c r="BK276" s="148"/>
      <c r="BL276" s="148"/>
      <c r="BM276" s="148"/>
      <c r="BN276" s="148"/>
      <c r="BO276" s="148"/>
      <c r="BP276" s="148"/>
      <c r="BQ276" s="148"/>
      <c r="BR276" s="148"/>
    </row>
    <row r="277" spans="1:70" s="190" customFormat="1">
      <c r="A277" s="176">
        <v>275</v>
      </c>
      <c r="F277" s="171">
        <v>43130.764606481483</v>
      </c>
      <c r="G277" s="171">
        <v>43130.764606481483</v>
      </c>
      <c r="H277" s="172">
        <f t="shared" ref="H277:H281" si="360">G277-F277</f>
        <v>0</v>
      </c>
      <c r="I277" s="173">
        <v>49.82</v>
      </c>
      <c r="J277" s="174" t="s">
        <v>260</v>
      </c>
      <c r="K277" s="175" t="s">
        <v>72</v>
      </c>
      <c r="L277" s="175" t="s">
        <v>73</v>
      </c>
      <c r="M277" s="175">
        <v>-369</v>
      </c>
      <c r="N277" s="176">
        <v>1</v>
      </c>
      <c r="O277" s="176">
        <v>200</v>
      </c>
      <c r="P277" s="175">
        <v>345</v>
      </c>
      <c r="Q277" s="175" t="s">
        <v>75</v>
      </c>
      <c r="R277" s="175" t="s">
        <v>286</v>
      </c>
      <c r="S277" s="177"/>
      <c r="T277" s="177"/>
      <c r="U277" s="175">
        <v>983</v>
      </c>
      <c r="V277" s="178">
        <v>1500</v>
      </c>
      <c r="W277" s="179"/>
      <c r="X277" s="177"/>
      <c r="Y277" s="177"/>
      <c r="Z277" s="177"/>
      <c r="AA277" s="177"/>
      <c r="AB277" s="180"/>
      <c r="AC277" s="174">
        <v>160.1</v>
      </c>
      <c r="AD277" s="177">
        <v>-109.9</v>
      </c>
      <c r="AE277" s="177">
        <v>4.1399999999999997</v>
      </c>
      <c r="AF277" s="177">
        <v>-0.56999999999999995</v>
      </c>
      <c r="AG277" s="177">
        <v>109.8</v>
      </c>
      <c r="AH277" s="177">
        <v>-110</v>
      </c>
      <c r="AI277" s="177">
        <v>2.52</v>
      </c>
      <c r="AJ277" s="174">
        <v>0.55000000000000004</v>
      </c>
      <c r="AK277" s="181"/>
      <c r="AL277" s="182" t="s">
        <v>403</v>
      </c>
      <c r="AM277" s="183"/>
      <c r="AN277" s="182">
        <v>0.97670000000000001</v>
      </c>
      <c r="AO277" s="191"/>
      <c r="AP277" s="192"/>
      <c r="AQ277" s="193"/>
      <c r="AR277" s="186"/>
      <c r="AS277" s="187"/>
      <c r="AT277" s="188"/>
      <c r="AU277" s="187"/>
      <c r="AV277" s="187"/>
      <c r="AW277" s="177"/>
      <c r="AX277" s="177"/>
      <c r="AY277" s="177"/>
      <c r="AZ277" s="177"/>
      <c r="BA277" s="187"/>
      <c r="BB277" s="180"/>
      <c r="BC277" s="189"/>
      <c r="BD277" s="189"/>
      <c r="BE277" s="189"/>
      <c r="BF277" s="189"/>
      <c r="BG277" s="189"/>
      <c r="BH277" s="189"/>
      <c r="BI277" s="189"/>
      <c r="BJ277" s="189"/>
      <c r="BK277" s="189"/>
      <c r="BL277" s="189"/>
      <c r="BM277" s="189"/>
      <c r="BN277" s="189"/>
      <c r="BO277" s="189"/>
      <c r="BP277" s="189"/>
      <c r="BQ277" s="189"/>
      <c r="BR277" s="189"/>
    </row>
    <row r="278" spans="1:70" s="190" customFormat="1">
      <c r="A278" s="176">
        <v>276</v>
      </c>
      <c r="F278" s="171">
        <v>43130.767800925925</v>
      </c>
      <c r="G278" s="171">
        <v>43130.768391203703</v>
      </c>
      <c r="H278" s="172">
        <f t="shared" si="360"/>
        <v>5.9027777751907706E-4</v>
      </c>
      <c r="I278" s="173">
        <v>49.82</v>
      </c>
      <c r="J278" s="174" t="s">
        <v>260</v>
      </c>
      <c r="K278" s="175" t="s">
        <v>72</v>
      </c>
      <c r="L278" s="175" t="s">
        <v>73</v>
      </c>
      <c r="M278" s="175">
        <v>-369</v>
      </c>
      <c r="N278" s="176">
        <v>1</v>
      </c>
      <c r="O278" s="176">
        <v>200</v>
      </c>
      <c r="P278" s="175">
        <v>340</v>
      </c>
      <c r="Q278" s="175" t="s">
        <v>75</v>
      </c>
      <c r="R278" s="175" t="s">
        <v>286</v>
      </c>
      <c r="S278" s="177"/>
      <c r="T278" s="177"/>
      <c r="U278" s="175">
        <v>983</v>
      </c>
      <c r="V278" s="178">
        <v>1500</v>
      </c>
      <c r="W278" s="179"/>
      <c r="X278" s="177"/>
      <c r="Y278" s="177"/>
      <c r="Z278" s="177"/>
      <c r="AA278" s="177"/>
      <c r="AB278" s="180"/>
      <c r="AC278" s="174">
        <v>160.1</v>
      </c>
      <c r="AD278" s="177">
        <v>-109.9</v>
      </c>
      <c r="AE278" s="177">
        <v>4.1399999999999997</v>
      </c>
      <c r="AF278" s="177">
        <v>-0.56999999999999995</v>
      </c>
      <c r="AG278" s="177">
        <v>109.8</v>
      </c>
      <c r="AH278" s="177">
        <v>-110</v>
      </c>
      <c r="AI278" s="177">
        <v>2.52</v>
      </c>
      <c r="AJ278" s="174">
        <v>0.55000000000000004</v>
      </c>
      <c r="AK278" s="181"/>
      <c r="AL278" s="182" t="s">
        <v>404</v>
      </c>
      <c r="AM278" s="183"/>
      <c r="AN278" s="182">
        <v>0.97099999999999997</v>
      </c>
      <c r="AO278" s="191"/>
      <c r="AP278" s="192"/>
      <c r="AQ278" s="193"/>
      <c r="AR278" s="186"/>
      <c r="AS278" s="187"/>
      <c r="AT278" s="188"/>
      <c r="AU278" s="187"/>
      <c r="AV278" s="187"/>
      <c r="AW278" s="177"/>
      <c r="AX278" s="177"/>
      <c r="AY278" s="177"/>
      <c r="AZ278" s="177"/>
      <c r="BA278" s="187"/>
      <c r="BB278" s="180"/>
      <c r="BC278" s="189"/>
      <c r="BD278" s="189"/>
      <c r="BE278" s="189"/>
      <c r="BF278" s="189"/>
      <c r="BG278" s="189"/>
      <c r="BH278" s="189"/>
      <c r="BI278" s="189"/>
      <c r="BJ278" s="189"/>
      <c r="BK278" s="189"/>
      <c r="BL278" s="189"/>
      <c r="BM278" s="189"/>
      <c r="BN278" s="189"/>
      <c r="BO278" s="189"/>
      <c r="BP278" s="189"/>
      <c r="BQ278" s="189"/>
      <c r="BR278" s="189"/>
    </row>
    <row r="279" spans="1:70" s="190" customFormat="1">
      <c r="A279" s="176">
        <v>277</v>
      </c>
      <c r="F279" s="171">
        <v>43130.768900462965</v>
      </c>
      <c r="G279" s="171">
        <v>43130.768900462965</v>
      </c>
      <c r="H279" s="172">
        <f t="shared" si="360"/>
        <v>0</v>
      </c>
      <c r="I279" s="173">
        <v>49.82</v>
      </c>
      <c r="J279" s="174" t="s">
        <v>260</v>
      </c>
      <c r="K279" s="175" t="s">
        <v>72</v>
      </c>
      <c r="L279" s="175" t="s">
        <v>73</v>
      </c>
      <c r="M279" s="175">
        <v>-369</v>
      </c>
      <c r="N279" s="176">
        <v>1</v>
      </c>
      <c r="O279" s="176">
        <v>200</v>
      </c>
      <c r="P279" s="175">
        <v>335</v>
      </c>
      <c r="Q279" s="175" t="s">
        <v>75</v>
      </c>
      <c r="R279" s="175" t="s">
        <v>286</v>
      </c>
      <c r="S279" s="177"/>
      <c r="T279" s="177"/>
      <c r="U279" s="175">
        <v>983</v>
      </c>
      <c r="V279" s="178">
        <v>1500</v>
      </c>
      <c r="W279" s="179"/>
      <c r="X279" s="177"/>
      <c r="Y279" s="177"/>
      <c r="Z279" s="177"/>
      <c r="AA279" s="177"/>
      <c r="AB279" s="180"/>
      <c r="AC279" s="174">
        <v>160.1</v>
      </c>
      <c r="AD279" s="177">
        <v>-109.9</v>
      </c>
      <c r="AE279" s="177">
        <v>4.1399999999999997</v>
      </c>
      <c r="AF279" s="177">
        <v>-0.56999999999999995</v>
      </c>
      <c r="AG279" s="177">
        <v>109.8</v>
      </c>
      <c r="AH279" s="177">
        <v>-110</v>
      </c>
      <c r="AI279" s="177">
        <v>2.52</v>
      </c>
      <c r="AJ279" s="174">
        <v>0.55000000000000004</v>
      </c>
      <c r="AK279" s="181"/>
      <c r="AL279" s="182" t="s">
        <v>405</v>
      </c>
      <c r="AM279" s="183"/>
      <c r="AN279" s="182">
        <v>0.82199999999999995</v>
      </c>
      <c r="AO279" s="191"/>
      <c r="AP279" s="192"/>
      <c r="AQ279" s="193"/>
      <c r="AR279" s="186"/>
      <c r="AS279" s="187"/>
      <c r="AT279" s="188"/>
      <c r="AU279" s="187"/>
      <c r="AV279" s="187"/>
      <c r="AW279" s="177"/>
      <c r="AX279" s="177"/>
      <c r="AY279" s="177"/>
      <c r="AZ279" s="177"/>
      <c r="BA279" s="187"/>
      <c r="BB279" s="180"/>
      <c r="BC279" s="189"/>
      <c r="BD279" s="189"/>
      <c r="BE279" s="189"/>
      <c r="BF279" s="189"/>
      <c r="BG279" s="189"/>
      <c r="BH279" s="189"/>
      <c r="BI279" s="189"/>
      <c r="BJ279" s="189"/>
      <c r="BK279" s="189"/>
      <c r="BL279" s="189"/>
      <c r="BM279" s="189"/>
      <c r="BN279" s="189"/>
      <c r="BO279" s="189"/>
      <c r="BP279" s="189"/>
      <c r="BQ279" s="189"/>
      <c r="BR279" s="189"/>
    </row>
    <row r="280" spans="1:70" s="190" customFormat="1">
      <c r="A280" s="176">
        <v>278</v>
      </c>
      <c r="F280" s="171">
        <v>43130.769062500003</v>
      </c>
      <c r="G280" s="171">
        <v>43130.769513888888</v>
      </c>
      <c r="H280" s="172">
        <f t="shared" si="360"/>
        <v>4.5138888526707888E-4</v>
      </c>
      <c r="I280" s="173">
        <v>49.82</v>
      </c>
      <c r="J280" s="174" t="s">
        <v>260</v>
      </c>
      <c r="K280" s="175" t="s">
        <v>72</v>
      </c>
      <c r="L280" s="175" t="s">
        <v>73</v>
      </c>
      <c r="M280" s="175">
        <v>-369</v>
      </c>
      <c r="N280" s="176">
        <v>1</v>
      </c>
      <c r="O280" s="176">
        <v>200</v>
      </c>
      <c r="P280" s="175">
        <v>355</v>
      </c>
      <c r="Q280" s="175" t="s">
        <v>75</v>
      </c>
      <c r="R280" s="175" t="s">
        <v>286</v>
      </c>
      <c r="S280" s="177"/>
      <c r="T280" s="177"/>
      <c r="U280" s="175">
        <v>983</v>
      </c>
      <c r="V280" s="178">
        <v>1500</v>
      </c>
      <c r="W280" s="179"/>
      <c r="X280" s="177"/>
      <c r="Y280" s="177"/>
      <c r="Z280" s="177"/>
      <c r="AA280" s="177"/>
      <c r="AB280" s="180"/>
      <c r="AC280" s="174">
        <v>160.1</v>
      </c>
      <c r="AD280" s="177">
        <v>-109.9</v>
      </c>
      <c r="AE280" s="177">
        <v>4.1399999999999997</v>
      </c>
      <c r="AF280" s="177">
        <v>-0.56999999999999995</v>
      </c>
      <c r="AG280" s="177">
        <v>109.8</v>
      </c>
      <c r="AH280" s="177">
        <v>-110</v>
      </c>
      <c r="AI280" s="177">
        <v>2.52</v>
      </c>
      <c r="AJ280" s="174">
        <v>0.55000000000000004</v>
      </c>
      <c r="AK280" s="181"/>
      <c r="AL280" s="182" t="s">
        <v>406</v>
      </c>
      <c r="AM280" s="183"/>
      <c r="AN280" s="182">
        <v>0.97899999999999998</v>
      </c>
      <c r="AO280" s="191"/>
      <c r="AP280" s="192"/>
      <c r="AQ280" s="193"/>
      <c r="AR280" s="186"/>
      <c r="AS280" s="187"/>
      <c r="AT280" s="188"/>
      <c r="AU280" s="187"/>
      <c r="AV280" s="187"/>
      <c r="AW280" s="177"/>
      <c r="AX280" s="177"/>
      <c r="AY280" s="177"/>
      <c r="AZ280" s="177"/>
      <c r="BA280" s="187"/>
      <c r="BB280" s="180"/>
      <c r="BC280" s="189"/>
      <c r="BD280" s="189"/>
      <c r="BE280" s="189"/>
      <c r="BF280" s="189"/>
      <c r="BG280" s="189"/>
      <c r="BH280" s="189"/>
      <c r="BI280" s="189"/>
      <c r="BJ280" s="189"/>
      <c r="BK280" s="189"/>
      <c r="BL280" s="189"/>
      <c r="BM280" s="189"/>
      <c r="BN280" s="189"/>
      <c r="BO280" s="189"/>
      <c r="BP280" s="189"/>
      <c r="BQ280" s="189"/>
      <c r="BR280" s="189"/>
    </row>
    <row r="281" spans="1:70" s="190" customFormat="1">
      <c r="A281" s="176">
        <v>279</v>
      </c>
      <c r="F281" s="171">
        <v>43130.76971064815</v>
      </c>
      <c r="G281" s="171">
        <v>43130.770648148151</v>
      </c>
      <c r="H281" s="172">
        <f t="shared" si="360"/>
        <v>9.3750000087311491E-4</v>
      </c>
      <c r="I281" s="173">
        <v>49.82</v>
      </c>
      <c r="J281" s="174" t="s">
        <v>260</v>
      </c>
      <c r="K281" s="175" t="s">
        <v>72</v>
      </c>
      <c r="L281" s="175" t="s">
        <v>73</v>
      </c>
      <c r="M281" s="175">
        <v>-369</v>
      </c>
      <c r="N281" s="176">
        <v>1</v>
      </c>
      <c r="O281" s="176">
        <v>200</v>
      </c>
      <c r="P281" s="175">
        <v>348</v>
      </c>
      <c r="Q281" s="175" t="s">
        <v>75</v>
      </c>
      <c r="R281" s="175" t="s">
        <v>286</v>
      </c>
      <c r="S281" s="177"/>
      <c r="T281" s="177"/>
      <c r="U281" s="175">
        <v>983</v>
      </c>
      <c r="V281" s="178">
        <v>1500</v>
      </c>
      <c r="W281" s="179"/>
      <c r="X281" s="177"/>
      <c r="Y281" s="177"/>
      <c r="Z281" s="177"/>
      <c r="AA281" s="177"/>
      <c r="AB281" s="180"/>
      <c r="AC281" s="174">
        <v>160.1</v>
      </c>
      <c r="AD281" s="177">
        <v>-109.9</v>
      </c>
      <c r="AE281" s="177">
        <v>4.1399999999999997</v>
      </c>
      <c r="AF281" s="177">
        <v>-0.56999999999999995</v>
      </c>
      <c r="AG281" s="177">
        <v>109.8</v>
      </c>
      <c r="AH281" s="177">
        <v>-110</v>
      </c>
      <c r="AI281" s="177">
        <v>2.52</v>
      </c>
      <c r="AJ281" s="174">
        <v>0.55000000000000004</v>
      </c>
      <c r="AK281" s="181"/>
      <c r="AL281" s="182" t="s">
        <v>407</v>
      </c>
      <c r="AM281" s="183"/>
      <c r="AN281" s="182">
        <v>0.98499999999999999</v>
      </c>
      <c r="AO281" s="191"/>
      <c r="AP281" s="192"/>
      <c r="AQ281" s="193"/>
      <c r="AR281" s="186"/>
      <c r="AS281" s="187"/>
      <c r="AT281" s="188"/>
      <c r="AU281" s="187"/>
      <c r="AV281" s="187"/>
      <c r="AW281" s="177"/>
      <c r="AX281" s="177"/>
      <c r="AY281" s="177"/>
      <c r="AZ281" s="177"/>
      <c r="BA281" s="187"/>
      <c r="BB281" s="180"/>
      <c r="BC281" s="189"/>
      <c r="BD281" s="189"/>
      <c r="BE281" s="189"/>
      <c r="BF281" s="189"/>
      <c r="BG281" s="189"/>
      <c r="BH281" s="189"/>
      <c r="BI281" s="189"/>
      <c r="BJ281" s="189"/>
      <c r="BK281" s="189"/>
      <c r="BL281" s="189"/>
      <c r="BM281" s="189"/>
      <c r="BN281" s="189"/>
      <c r="BO281" s="189"/>
      <c r="BP281" s="189"/>
      <c r="BQ281" s="189"/>
      <c r="BR281" s="189"/>
    </row>
    <row r="282" spans="1:70" s="190" customFormat="1">
      <c r="A282" s="176">
        <v>280</v>
      </c>
      <c r="F282" s="171">
        <v>43130.77140046296</v>
      </c>
      <c r="G282" s="171">
        <v>43130.771956018521</v>
      </c>
      <c r="H282" s="172">
        <f t="shared" ref="H282:H288" si="361">G282-F282</f>
        <v>5.5555556173203513E-4</v>
      </c>
      <c r="I282" s="173">
        <v>49.78</v>
      </c>
      <c r="J282" s="174" t="s">
        <v>260</v>
      </c>
      <c r="K282" s="175" t="s">
        <v>72</v>
      </c>
      <c r="L282" s="175" t="s">
        <v>73</v>
      </c>
      <c r="M282" s="175">
        <v>-369</v>
      </c>
      <c r="N282" s="176">
        <v>1</v>
      </c>
      <c r="O282" s="176">
        <v>200</v>
      </c>
      <c r="P282" s="175">
        <v>348</v>
      </c>
      <c r="Q282" s="175" t="s">
        <v>75</v>
      </c>
      <c r="R282" s="175" t="s">
        <v>286</v>
      </c>
      <c r="S282" s="177"/>
      <c r="T282" s="177"/>
      <c r="U282" s="175">
        <v>983</v>
      </c>
      <c r="V282" s="178">
        <v>1500</v>
      </c>
      <c r="W282" s="179"/>
      <c r="X282" s="177"/>
      <c r="Y282" s="177"/>
      <c r="Z282" s="177"/>
      <c r="AA282" s="177"/>
      <c r="AB282" s="180"/>
      <c r="AC282" s="174">
        <v>160.1</v>
      </c>
      <c r="AD282" s="177">
        <v>-109.9</v>
      </c>
      <c r="AE282" s="177">
        <v>4.1399999999999997</v>
      </c>
      <c r="AF282" s="177">
        <v>-0.56999999999999995</v>
      </c>
      <c r="AG282" s="177">
        <v>109.8</v>
      </c>
      <c r="AH282" s="177">
        <v>-110</v>
      </c>
      <c r="AI282" s="177">
        <v>0.5</v>
      </c>
      <c r="AJ282" s="174">
        <v>0.1</v>
      </c>
      <c r="AK282" s="181"/>
      <c r="AL282" s="182" t="s">
        <v>408</v>
      </c>
      <c r="AM282" s="183"/>
      <c r="AN282" s="182"/>
      <c r="AO282" s="191"/>
      <c r="AP282" s="192"/>
      <c r="AQ282" s="193"/>
      <c r="AR282" s="186"/>
      <c r="AS282" s="187"/>
      <c r="AT282" s="188"/>
      <c r="AU282" s="187"/>
      <c r="AV282" s="187"/>
      <c r="AW282" s="177"/>
      <c r="AX282" s="177"/>
      <c r="AY282" s="177"/>
      <c r="AZ282" s="177"/>
      <c r="BA282" s="187"/>
      <c r="BB282" s="180"/>
      <c r="BC282" s="189"/>
      <c r="BD282" s="189"/>
      <c r="BE282" s="189"/>
      <c r="BF282" s="189"/>
      <c r="BG282" s="189"/>
      <c r="BH282" s="189"/>
      <c r="BI282" s="189"/>
      <c r="BJ282" s="189"/>
      <c r="BK282" s="189"/>
      <c r="BL282" s="189"/>
      <c r="BM282" s="189"/>
      <c r="BN282" s="189"/>
      <c r="BO282" s="189"/>
      <c r="BP282" s="189"/>
      <c r="BQ282" s="189"/>
      <c r="BR282" s="189"/>
    </row>
    <row r="283" spans="1:70" s="190" customFormat="1">
      <c r="A283" s="176">
        <v>281</v>
      </c>
      <c r="F283" s="171">
        <v>43130.772233796299</v>
      </c>
      <c r="G283" s="171">
        <v>43130.772662037038</v>
      </c>
      <c r="H283" s="172">
        <f t="shared" si="361"/>
        <v>4.2824073898373172E-4</v>
      </c>
      <c r="I283" s="173">
        <v>49.78</v>
      </c>
      <c r="J283" s="174" t="s">
        <v>260</v>
      </c>
      <c r="K283" s="175" t="s">
        <v>72</v>
      </c>
      <c r="L283" s="175" t="s">
        <v>73</v>
      </c>
      <c r="M283" s="175">
        <v>-369</v>
      </c>
      <c r="N283" s="176">
        <v>1</v>
      </c>
      <c r="O283" s="176">
        <v>200</v>
      </c>
      <c r="P283" s="175">
        <v>348</v>
      </c>
      <c r="Q283" s="175" t="s">
        <v>75</v>
      </c>
      <c r="R283" s="175" t="s">
        <v>286</v>
      </c>
      <c r="S283" s="177"/>
      <c r="T283" s="177"/>
      <c r="U283" s="175">
        <v>983</v>
      </c>
      <c r="V283" s="178">
        <v>1500</v>
      </c>
      <c r="W283" s="179"/>
      <c r="X283" s="177"/>
      <c r="Y283" s="177"/>
      <c r="Z283" s="177"/>
      <c r="AA283" s="177"/>
      <c r="AB283" s="180"/>
      <c r="AC283" s="174">
        <v>160.1</v>
      </c>
      <c r="AD283" s="177">
        <v>-109.9</v>
      </c>
      <c r="AE283" s="177">
        <v>4.1399999999999997</v>
      </c>
      <c r="AF283" s="177">
        <v>-0.56999999999999995</v>
      </c>
      <c r="AG283" s="177">
        <v>109.8</v>
      </c>
      <c r="AH283" s="177">
        <v>-110</v>
      </c>
      <c r="AI283" s="177">
        <v>1</v>
      </c>
      <c r="AJ283" s="174">
        <v>0.7</v>
      </c>
      <c r="AK283" s="181"/>
      <c r="AL283" s="182" t="s">
        <v>409</v>
      </c>
      <c r="AM283" s="183"/>
      <c r="AN283" s="182"/>
      <c r="AO283" s="191"/>
      <c r="AP283" s="192"/>
      <c r="AQ283" s="193"/>
      <c r="AR283" s="186"/>
      <c r="AS283" s="187"/>
      <c r="AT283" s="188"/>
      <c r="AU283" s="187"/>
      <c r="AV283" s="187"/>
      <c r="AW283" s="177"/>
      <c r="AX283" s="177"/>
      <c r="AY283" s="177"/>
      <c r="AZ283" s="177"/>
      <c r="BA283" s="187"/>
      <c r="BB283" s="180"/>
      <c r="BC283" s="189"/>
      <c r="BD283" s="189"/>
      <c r="BE283" s="189"/>
      <c r="BF283" s="189"/>
      <c r="BG283" s="189"/>
      <c r="BH283" s="189"/>
      <c r="BI283" s="189"/>
      <c r="BJ283" s="189"/>
      <c r="BK283" s="189"/>
      <c r="BL283" s="189"/>
      <c r="BM283" s="189"/>
      <c r="BN283" s="189"/>
      <c r="BO283" s="189"/>
      <c r="BP283" s="189"/>
      <c r="BQ283" s="189"/>
      <c r="BR283" s="189"/>
    </row>
    <row r="284" spans="1:70" s="190" customFormat="1">
      <c r="A284" s="176">
        <v>282</v>
      </c>
      <c r="F284" s="171">
        <v>43130.773726851854</v>
      </c>
      <c r="G284" s="171">
        <v>43130.774456018517</v>
      </c>
      <c r="H284" s="172">
        <f t="shared" si="361"/>
        <v>7.2916666249511763E-4</v>
      </c>
      <c r="I284" s="173">
        <v>49.78</v>
      </c>
      <c r="J284" s="174" t="s">
        <v>260</v>
      </c>
      <c r="K284" s="175" t="s">
        <v>72</v>
      </c>
      <c r="L284" s="175" t="s">
        <v>73</v>
      </c>
      <c r="M284" s="175">
        <v>-369</v>
      </c>
      <c r="N284" s="176">
        <v>1</v>
      </c>
      <c r="O284" s="176">
        <v>200</v>
      </c>
      <c r="P284" s="175">
        <v>348</v>
      </c>
      <c r="Q284" s="175" t="s">
        <v>75</v>
      </c>
      <c r="R284" s="175" t="s">
        <v>286</v>
      </c>
      <c r="S284" s="177"/>
      <c r="T284" s="177"/>
      <c r="U284" s="175">
        <v>983</v>
      </c>
      <c r="V284" s="178">
        <v>1500</v>
      </c>
      <c r="W284" s="179"/>
      <c r="X284" s="177"/>
      <c r="Y284" s="177"/>
      <c r="Z284" s="177"/>
      <c r="AA284" s="177"/>
      <c r="AB284" s="180"/>
      <c r="AC284" s="174">
        <v>160.1</v>
      </c>
      <c r="AD284" s="177">
        <v>-109.9</v>
      </c>
      <c r="AE284" s="177">
        <v>4.1399999999999997</v>
      </c>
      <c r="AF284" s="177">
        <v>-0.56999999999999995</v>
      </c>
      <c r="AG284" s="177">
        <v>109.8</v>
      </c>
      <c r="AH284" s="177">
        <v>-110</v>
      </c>
      <c r="AI284" s="177">
        <v>1.5</v>
      </c>
      <c r="AJ284" s="174">
        <v>1.2</v>
      </c>
      <c r="AK284" s="181"/>
      <c r="AL284" s="182" t="s">
        <v>410</v>
      </c>
      <c r="AM284" s="183"/>
      <c r="AN284" s="182">
        <v>0.96099999999999997</v>
      </c>
      <c r="AO284" s="191"/>
      <c r="AP284" s="192"/>
      <c r="AQ284" s="193"/>
      <c r="AR284" s="186"/>
      <c r="AS284" s="187"/>
      <c r="AT284" s="188"/>
      <c r="AU284" s="187"/>
      <c r="AV284" s="187"/>
      <c r="AW284" s="177"/>
      <c r="AX284" s="177"/>
      <c r="AY284" s="177"/>
      <c r="AZ284" s="177"/>
      <c r="BA284" s="187"/>
      <c r="BB284" s="180"/>
      <c r="BC284" s="189"/>
      <c r="BD284" s="189"/>
      <c r="BE284" s="189"/>
      <c r="BF284" s="189"/>
      <c r="BG284" s="189"/>
      <c r="BH284" s="189"/>
      <c r="BI284" s="189"/>
      <c r="BJ284" s="189"/>
      <c r="BK284" s="189"/>
      <c r="BL284" s="189"/>
      <c r="BM284" s="189"/>
      <c r="BN284" s="189"/>
      <c r="BO284" s="189"/>
      <c r="BP284" s="189"/>
      <c r="BQ284" s="189"/>
      <c r="BR284" s="189"/>
    </row>
    <row r="285" spans="1:70" s="190" customFormat="1">
      <c r="A285" s="176">
        <v>283</v>
      </c>
      <c r="F285" s="171">
        <v>43130.774652777778</v>
      </c>
      <c r="G285" s="171">
        <v>43130.775092592594</v>
      </c>
      <c r="H285" s="172">
        <f t="shared" si="361"/>
        <v>4.398148157633841E-4</v>
      </c>
      <c r="I285" s="173">
        <v>49.78</v>
      </c>
      <c r="J285" s="174" t="s">
        <v>260</v>
      </c>
      <c r="K285" s="175" t="s">
        <v>72</v>
      </c>
      <c r="L285" s="175" t="s">
        <v>73</v>
      </c>
      <c r="M285" s="175">
        <v>-369</v>
      </c>
      <c r="N285" s="176">
        <v>1</v>
      </c>
      <c r="O285" s="176">
        <v>200</v>
      </c>
      <c r="P285" s="175">
        <v>348</v>
      </c>
      <c r="Q285" s="175" t="s">
        <v>75</v>
      </c>
      <c r="R285" s="175" t="s">
        <v>286</v>
      </c>
      <c r="S285" s="177"/>
      <c r="T285" s="177"/>
      <c r="U285" s="175">
        <v>983</v>
      </c>
      <c r="V285" s="178">
        <v>1500</v>
      </c>
      <c r="W285" s="179"/>
      <c r="X285" s="177"/>
      <c r="Y285" s="177"/>
      <c r="Z285" s="177"/>
      <c r="AA285" s="177"/>
      <c r="AB285" s="180"/>
      <c r="AC285" s="174">
        <v>160.1</v>
      </c>
      <c r="AD285" s="177">
        <v>-109.9</v>
      </c>
      <c r="AE285" s="177">
        <v>4.1399999999999997</v>
      </c>
      <c r="AF285" s="177">
        <v>-0.56999999999999995</v>
      </c>
      <c r="AG285" s="177">
        <v>109.8</v>
      </c>
      <c r="AH285" s="177">
        <v>-110</v>
      </c>
      <c r="AI285" s="177">
        <v>2</v>
      </c>
      <c r="AJ285" s="174">
        <v>1.7</v>
      </c>
      <c r="AK285" s="181"/>
      <c r="AL285" s="182" t="s">
        <v>411</v>
      </c>
      <c r="AM285" s="183"/>
      <c r="AN285" s="182">
        <v>0.96399999999999997</v>
      </c>
      <c r="AO285" s="191"/>
      <c r="AP285" s="192"/>
      <c r="AQ285" s="193"/>
      <c r="AR285" s="186"/>
      <c r="AS285" s="187"/>
      <c r="AT285" s="188"/>
      <c r="AU285" s="187"/>
      <c r="AV285" s="187"/>
      <c r="AW285" s="177"/>
      <c r="AX285" s="177"/>
      <c r="AY285" s="177"/>
      <c r="AZ285" s="177"/>
      <c r="BA285" s="187"/>
      <c r="BB285" s="180"/>
      <c r="BC285" s="189"/>
      <c r="BD285" s="189"/>
      <c r="BE285" s="189"/>
      <c r="BF285" s="189"/>
      <c r="BG285" s="189"/>
      <c r="BH285" s="189"/>
      <c r="BI285" s="189"/>
      <c r="BJ285" s="189"/>
      <c r="BK285" s="189"/>
      <c r="BL285" s="189"/>
      <c r="BM285" s="189"/>
      <c r="BN285" s="189"/>
      <c r="BO285" s="189"/>
      <c r="BP285" s="189"/>
      <c r="BQ285" s="189"/>
      <c r="BR285" s="189"/>
    </row>
    <row r="286" spans="1:70" s="190" customFormat="1">
      <c r="A286" s="176">
        <v>284</v>
      </c>
      <c r="F286" s="171">
        <v>43130.775277777779</v>
      </c>
      <c r="G286" s="171">
        <v>43130.775868055556</v>
      </c>
      <c r="H286" s="172">
        <f t="shared" si="361"/>
        <v>5.9027777751907706E-4</v>
      </c>
      <c r="I286" s="173">
        <v>49.78</v>
      </c>
      <c r="J286" s="174" t="s">
        <v>260</v>
      </c>
      <c r="K286" s="175" t="s">
        <v>72</v>
      </c>
      <c r="L286" s="175" t="s">
        <v>73</v>
      </c>
      <c r="M286" s="175">
        <v>-369</v>
      </c>
      <c r="N286" s="176">
        <v>1</v>
      </c>
      <c r="O286" s="176">
        <v>200</v>
      </c>
      <c r="P286" s="175">
        <v>348</v>
      </c>
      <c r="Q286" s="175" t="s">
        <v>75</v>
      </c>
      <c r="R286" s="175" t="s">
        <v>286</v>
      </c>
      <c r="S286" s="177"/>
      <c r="T286" s="177"/>
      <c r="U286" s="175">
        <v>983</v>
      </c>
      <c r="V286" s="178">
        <v>1500</v>
      </c>
      <c r="W286" s="179"/>
      <c r="X286" s="177"/>
      <c r="Y286" s="177"/>
      <c r="Z286" s="177"/>
      <c r="AA286" s="177"/>
      <c r="AB286" s="180"/>
      <c r="AC286" s="174">
        <v>160.1</v>
      </c>
      <c r="AD286" s="177">
        <v>-109.9</v>
      </c>
      <c r="AE286" s="177">
        <v>4.1399999999999997</v>
      </c>
      <c r="AF286" s="177">
        <v>-0.56999999999999995</v>
      </c>
      <c r="AG286" s="177">
        <v>109.8</v>
      </c>
      <c r="AH286" s="177">
        <v>-110</v>
      </c>
      <c r="AI286" s="177">
        <v>2.5</v>
      </c>
      <c r="AJ286" s="174">
        <v>2.2000000000000002</v>
      </c>
      <c r="AK286" s="181"/>
      <c r="AL286" s="182" t="s">
        <v>412</v>
      </c>
      <c r="AM286" s="183"/>
      <c r="AN286" s="182">
        <v>0.96099999999999997</v>
      </c>
      <c r="AO286" s="191"/>
      <c r="AP286" s="192"/>
      <c r="AQ286" s="193"/>
      <c r="AR286" s="186"/>
      <c r="AS286" s="187"/>
      <c r="AT286" s="188"/>
      <c r="AU286" s="187"/>
      <c r="AV286" s="187"/>
      <c r="AW286" s="177"/>
      <c r="AX286" s="177"/>
      <c r="AY286" s="177"/>
      <c r="AZ286" s="177"/>
      <c r="BA286" s="187"/>
      <c r="BB286" s="180"/>
      <c r="BC286" s="189"/>
      <c r="BD286" s="189"/>
      <c r="BE286" s="189"/>
      <c r="BF286" s="189"/>
      <c r="BG286" s="189"/>
      <c r="BH286" s="189"/>
      <c r="BI286" s="189"/>
      <c r="BJ286" s="189"/>
      <c r="BK286" s="189"/>
      <c r="BL286" s="189"/>
      <c r="BM286" s="189"/>
      <c r="BN286" s="189"/>
      <c r="BO286" s="189"/>
      <c r="BP286" s="189"/>
      <c r="BQ286" s="189"/>
      <c r="BR286" s="189"/>
    </row>
    <row r="287" spans="1:70" s="190" customFormat="1">
      <c r="A287" s="176">
        <v>285</v>
      </c>
      <c r="F287" s="171">
        <v>43130.776076388887</v>
      </c>
      <c r="G287" s="171">
        <v>43130.776585648149</v>
      </c>
      <c r="H287" s="172">
        <f t="shared" si="361"/>
        <v>5.092592618893832E-4</v>
      </c>
      <c r="I287" s="173">
        <v>49.78</v>
      </c>
      <c r="J287" s="174" t="s">
        <v>260</v>
      </c>
      <c r="K287" s="175" t="s">
        <v>72</v>
      </c>
      <c r="L287" s="175" t="s">
        <v>73</v>
      </c>
      <c r="M287" s="175">
        <v>-369</v>
      </c>
      <c r="N287" s="176">
        <v>1</v>
      </c>
      <c r="O287" s="176">
        <v>200</v>
      </c>
      <c r="P287" s="175">
        <v>348</v>
      </c>
      <c r="Q287" s="175" t="s">
        <v>75</v>
      </c>
      <c r="R287" s="175" t="s">
        <v>286</v>
      </c>
      <c r="S287" s="177"/>
      <c r="T287" s="177"/>
      <c r="U287" s="175">
        <v>983</v>
      </c>
      <c r="V287" s="178">
        <v>1500</v>
      </c>
      <c r="W287" s="179"/>
      <c r="X287" s="177"/>
      <c r="Y287" s="177"/>
      <c r="Z287" s="177"/>
      <c r="AA287" s="177"/>
      <c r="AB287" s="180"/>
      <c r="AC287" s="174">
        <v>160.1</v>
      </c>
      <c r="AD287" s="177">
        <v>-109.9</v>
      </c>
      <c r="AE287" s="177">
        <v>4.1399999999999997</v>
      </c>
      <c r="AF287" s="177">
        <v>-0.56999999999999995</v>
      </c>
      <c r="AG287" s="177">
        <v>109.8</v>
      </c>
      <c r="AH287" s="177">
        <v>-110</v>
      </c>
      <c r="AI287" s="177">
        <v>3</v>
      </c>
      <c r="AJ287" s="174">
        <v>2.7</v>
      </c>
      <c r="AK287" s="181"/>
      <c r="AL287" s="182" t="s">
        <v>413</v>
      </c>
      <c r="AM287" s="183"/>
      <c r="AN287" s="182">
        <v>0.91200000000000003</v>
      </c>
      <c r="AO287" s="191"/>
      <c r="AP287" s="192"/>
      <c r="AQ287" s="193"/>
      <c r="AR287" s="186"/>
      <c r="AS287" s="187"/>
      <c r="AT287" s="188"/>
      <c r="AU287" s="187"/>
      <c r="AV287" s="187"/>
      <c r="AW287" s="177"/>
      <c r="AX287" s="177"/>
      <c r="AY287" s="177"/>
      <c r="AZ287" s="177"/>
      <c r="BA287" s="187"/>
      <c r="BB287" s="180"/>
      <c r="BC287" s="189"/>
      <c r="BD287" s="189"/>
      <c r="BE287" s="189"/>
      <c r="BF287" s="189"/>
      <c r="BG287" s="189"/>
      <c r="BH287" s="189"/>
      <c r="BI287" s="189"/>
      <c r="BJ287" s="189"/>
      <c r="BK287" s="189"/>
      <c r="BL287" s="189"/>
      <c r="BM287" s="189"/>
      <c r="BN287" s="189"/>
      <c r="BO287" s="189"/>
      <c r="BP287" s="189"/>
      <c r="BQ287" s="189"/>
      <c r="BR287" s="189"/>
    </row>
    <row r="288" spans="1:70" s="190" customFormat="1">
      <c r="A288" s="176">
        <v>286</v>
      </c>
      <c r="F288" s="171">
        <v>43130.776782407411</v>
      </c>
      <c r="G288" s="171">
        <v>43130.777442129627</v>
      </c>
      <c r="H288" s="172">
        <f t="shared" si="361"/>
        <v>6.5972221636911854E-4</v>
      </c>
      <c r="I288" s="173">
        <v>49.78</v>
      </c>
      <c r="J288" s="174" t="s">
        <v>260</v>
      </c>
      <c r="K288" s="175" t="s">
        <v>72</v>
      </c>
      <c r="L288" s="175" t="s">
        <v>73</v>
      </c>
      <c r="M288" s="175">
        <v>-369</v>
      </c>
      <c r="N288" s="176">
        <v>1</v>
      </c>
      <c r="O288" s="176">
        <v>200</v>
      </c>
      <c r="P288" s="175">
        <v>348</v>
      </c>
      <c r="Q288" s="175" t="s">
        <v>75</v>
      </c>
      <c r="R288" s="175" t="s">
        <v>286</v>
      </c>
      <c r="S288" s="177"/>
      <c r="T288" s="177"/>
      <c r="U288" s="175">
        <v>983</v>
      </c>
      <c r="V288" s="178">
        <v>1500</v>
      </c>
      <c r="W288" s="179"/>
      <c r="X288" s="177"/>
      <c r="Y288" s="177"/>
      <c r="Z288" s="177"/>
      <c r="AA288" s="177"/>
      <c r="AB288" s="180"/>
      <c r="AC288" s="174">
        <v>160.1</v>
      </c>
      <c r="AD288" s="177">
        <v>-109.9</v>
      </c>
      <c r="AE288" s="177">
        <v>4.1399999999999997</v>
      </c>
      <c r="AF288" s="177">
        <v>-0.56999999999999995</v>
      </c>
      <c r="AG288" s="177">
        <v>109.8</v>
      </c>
      <c r="AH288" s="177">
        <v>-110</v>
      </c>
      <c r="AI288" s="177">
        <v>3.5</v>
      </c>
      <c r="AJ288" s="174">
        <v>3.2</v>
      </c>
      <c r="AK288" s="181"/>
      <c r="AL288" s="182" t="s">
        <v>414</v>
      </c>
      <c r="AM288" s="183"/>
      <c r="AN288" s="182">
        <v>0.65900000000000003</v>
      </c>
      <c r="AO288" s="191"/>
      <c r="AP288" s="192"/>
      <c r="AQ288" s="193"/>
      <c r="AR288" s="186"/>
      <c r="AS288" s="187"/>
      <c r="AT288" s="188"/>
      <c r="AU288" s="187"/>
      <c r="AV288" s="187"/>
      <c r="AW288" s="177"/>
      <c r="AX288" s="177"/>
      <c r="AY288" s="177"/>
      <c r="AZ288" s="177"/>
      <c r="BA288" s="187"/>
      <c r="BB288" s="180"/>
      <c r="BC288" s="189"/>
      <c r="BD288" s="189"/>
      <c r="BE288" s="189"/>
      <c r="BF288" s="189"/>
      <c r="BG288" s="189"/>
      <c r="BH288" s="189"/>
      <c r="BI288" s="189"/>
      <c r="BJ288" s="189"/>
      <c r="BK288" s="189"/>
      <c r="BL288" s="189"/>
      <c r="BM288" s="189"/>
      <c r="BN288" s="189"/>
      <c r="BO288" s="189"/>
      <c r="BP288" s="189"/>
      <c r="BQ288" s="189"/>
      <c r="BR288" s="189"/>
    </row>
    <row r="289" spans="1:70" s="190" customFormat="1">
      <c r="A289" s="176">
        <v>287</v>
      </c>
      <c r="F289" s="171">
        <v>43130.779340277775</v>
      </c>
      <c r="G289" s="171">
        <v>43130.77983796296</v>
      </c>
      <c r="H289" s="172">
        <f t="shared" ref="H289" si="362">G289-F289</f>
        <v>4.9768518510973081E-4</v>
      </c>
      <c r="I289" s="173">
        <v>49.89</v>
      </c>
      <c r="J289" s="174" t="s">
        <v>260</v>
      </c>
      <c r="K289" s="175" t="s">
        <v>72</v>
      </c>
      <c r="L289" s="175" t="s">
        <v>73</v>
      </c>
      <c r="M289" s="175">
        <v>-369</v>
      </c>
      <c r="N289" s="176">
        <v>1</v>
      </c>
      <c r="O289" s="176">
        <v>200</v>
      </c>
      <c r="P289" s="175">
        <v>348</v>
      </c>
      <c r="Q289" s="175" t="s">
        <v>75</v>
      </c>
      <c r="R289" s="175" t="s">
        <v>286</v>
      </c>
      <c r="S289" s="177"/>
      <c r="T289" s="177"/>
      <c r="U289" s="175">
        <v>983</v>
      </c>
      <c r="V289" s="178">
        <v>1500</v>
      </c>
      <c r="W289" s="179"/>
      <c r="X289" s="177"/>
      <c r="Y289" s="177"/>
      <c r="Z289" s="177"/>
      <c r="AA289" s="177"/>
      <c r="AB289" s="180"/>
      <c r="AC289" s="174">
        <v>160.1</v>
      </c>
      <c r="AD289" s="177">
        <v>-109.9</v>
      </c>
      <c r="AE289" s="177">
        <v>-0.02</v>
      </c>
      <c r="AF289" s="177">
        <v>-0.88</v>
      </c>
      <c r="AG289" s="177">
        <v>109.8</v>
      </c>
      <c r="AH289" s="177">
        <v>-110</v>
      </c>
      <c r="AI289" s="177">
        <v>2.71</v>
      </c>
      <c r="AJ289" s="174">
        <v>0.73</v>
      </c>
      <c r="AK289" s="181"/>
      <c r="AL289" s="182" t="s">
        <v>415</v>
      </c>
      <c r="AM289" s="183"/>
      <c r="AN289" s="182">
        <v>0.93799999999999994</v>
      </c>
      <c r="AO289" s="191"/>
      <c r="AP289" s="192"/>
      <c r="AQ289" s="193"/>
      <c r="AR289" s="186"/>
      <c r="AS289" s="187"/>
      <c r="AT289" s="188"/>
      <c r="AU289" s="187"/>
      <c r="AV289" s="187"/>
      <c r="AW289" s="177"/>
      <c r="AX289" s="177"/>
      <c r="AY289" s="177"/>
      <c r="AZ289" s="177"/>
      <c r="BA289" s="187"/>
      <c r="BB289" s="180"/>
      <c r="BC289" s="189"/>
      <c r="BD289" s="189"/>
      <c r="BE289" s="189"/>
      <c r="BF289" s="189"/>
      <c r="BG289" s="189"/>
      <c r="BH289" s="189"/>
      <c r="BI289" s="189"/>
      <c r="BJ289" s="189"/>
      <c r="BK289" s="189"/>
      <c r="BL289" s="189"/>
      <c r="BM289" s="189"/>
      <c r="BN289" s="189"/>
      <c r="BO289" s="189"/>
      <c r="BP289" s="189"/>
      <c r="BQ289" s="189"/>
      <c r="BR289" s="189"/>
    </row>
    <row r="290" spans="1:70" s="190" customFormat="1">
      <c r="A290" s="176">
        <v>288</v>
      </c>
      <c r="F290" s="171">
        <v>43130.780150462961</v>
      </c>
      <c r="G290" s="171">
        <v>43130.780624999999</v>
      </c>
      <c r="H290" s="172">
        <f t="shared" ref="H290:H294" si="363">G290-F290</f>
        <v>4.7453703882638365E-4</v>
      </c>
      <c r="I290" s="173">
        <v>49.89</v>
      </c>
      <c r="J290" s="174" t="s">
        <v>260</v>
      </c>
      <c r="K290" s="175" t="s">
        <v>72</v>
      </c>
      <c r="L290" s="175" t="s">
        <v>73</v>
      </c>
      <c r="M290" s="175">
        <v>-369</v>
      </c>
      <c r="N290" s="176">
        <v>1</v>
      </c>
      <c r="O290" s="176">
        <v>200</v>
      </c>
      <c r="P290" s="175">
        <v>348</v>
      </c>
      <c r="Q290" s="175" t="s">
        <v>75</v>
      </c>
      <c r="R290" s="175" t="s">
        <v>286</v>
      </c>
      <c r="S290" s="177"/>
      <c r="T290" s="177"/>
      <c r="U290" s="175">
        <v>983</v>
      </c>
      <c r="V290" s="178">
        <v>1500</v>
      </c>
      <c r="W290" s="179"/>
      <c r="X290" s="177"/>
      <c r="Y290" s="177"/>
      <c r="Z290" s="177"/>
      <c r="AA290" s="177"/>
      <c r="AB290" s="180"/>
      <c r="AC290" s="174">
        <v>160.1</v>
      </c>
      <c r="AD290" s="177">
        <v>-109.9</v>
      </c>
      <c r="AE290" s="177">
        <v>1</v>
      </c>
      <c r="AF290" s="177">
        <v>0</v>
      </c>
      <c r="AG290" s="177">
        <v>109.8</v>
      </c>
      <c r="AH290" s="177">
        <v>-110</v>
      </c>
      <c r="AI290" s="177">
        <v>2.71</v>
      </c>
      <c r="AJ290" s="174">
        <v>0.73</v>
      </c>
      <c r="AK290" s="181"/>
      <c r="AL290" s="182" t="s">
        <v>416</v>
      </c>
      <c r="AM290" s="183"/>
      <c r="AN290" s="182">
        <v>0.98699999999999999</v>
      </c>
      <c r="AO290" s="191"/>
      <c r="AP290" s="192"/>
      <c r="AQ290" s="193"/>
      <c r="AR290" s="186"/>
      <c r="AS290" s="187"/>
      <c r="AT290" s="188"/>
      <c r="AU290" s="187"/>
      <c r="AV290" s="187"/>
      <c r="AW290" s="177"/>
      <c r="AX290" s="177"/>
      <c r="AY290" s="177"/>
      <c r="AZ290" s="177"/>
      <c r="BA290" s="187"/>
      <c r="BB290" s="180"/>
      <c r="BC290" s="189"/>
      <c r="BD290" s="189"/>
      <c r="BE290" s="189"/>
      <c r="BF290" s="189"/>
      <c r="BG290" s="189"/>
      <c r="BH290" s="189"/>
      <c r="BI290" s="189"/>
      <c r="BJ290" s="189"/>
      <c r="BK290" s="189"/>
      <c r="BL290" s="189"/>
      <c r="BM290" s="189"/>
      <c r="BN290" s="189"/>
      <c r="BO290" s="189"/>
      <c r="BP290" s="189"/>
      <c r="BQ290" s="189"/>
      <c r="BR290" s="189"/>
    </row>
    <row r="291" spans="1:70" s="190" customFormat="1">
      <c r="A291" s="176">
        <v>289</v>
      </c>
      <c r="F291" s="171">
        <v>43130.780891203707</v>
      </c>
      <c r="G291" s="171">
        <v>43130.781342592592</v>
      </c>
      <c r="H291" s="172">
        <f t="shared" si="363"/>
        <v>4.5138888526707888E-4</v>
      </c>
      <c r="I291" s="173">
        <v>49.89</v>
      </c>
      <c r="J291" s="174" t="s">
        <v>260</v>
      </c>
      <c r="K291" s="175" t="s">
        <v>72</v>
      </c>
      <c r="L291" s="175" t="s">
        <v>73</v>
      </c>
      <c r="M291" s="175">
        <v>-369</v>
      </c>
      <c r="N291" s="176">
        <v>1</v>
      </c>
      <c r="O291" s="176">
        <v>200</v>
      </c>
      <c r="P291" s="175">
        <v>348</v>
      </c>
      <c r="Q291" s="175" t="s">
        <v>75</v>
      </c>
      <c r="R291" s="175" t="s">
        <v>286</v>
      </c>
      <c r="S291" s="177"/>
      <c r="T291" s="177"/>
      <c r="U291" s="175">
        <v>983</v>
      </c>
      <c r="V291" s="178">
        <v>1500</v>
      </c>
      <c r="W291" s="179"/>
      <c r="X291" s="177"/>
      <c r="Y291" s="177"/>
      <c r="Z291" s="177"/>
      <c r="AA291" s="177"/>
      <c r="AB291" s="180"/>
      <c r="AC291" s="174">
        <v>160.1</v>
      </c>
      <c r="AD291" s="177">
        <v>-109.9</v>
      </c>
      <c r="AE291" s="177">
        <v>1.98</v>
      </c>
      <c r="AF291" s="177">
        <v>1.1000000000000001</v>
      </c>
      <c r="AG291" s="177">
        <v>109.8</v>
      </c>
      <c r="AH291" s="177">
        <v>-110</v>
      </c>
      <c r="AI291" s="177">
        <v>2.71</v>
      </c>
      <c r="AJ291" s="174">
        <v>0.73</v>
      </c>
      <c r="AK291" s="181"/>
      <c r="AL291" s="182" t="s">
        <v>417</v>
      </c>
      <c r="AM291" s="183"/>
      <c r="AN291" s="182">
        <v>0.99399999999999999</v>
      </c>
      <c r="AO291" s="191"/>
      <c r="AP291" s="192"/>
      <c r="AQ291" s="193"/>
      <c r="AR291" s="186"/>
      <c r="AS291" s="187"/>
      <c r="AT291" s="188"/>
      <c r="AU291" s="187"/>
      <c r="AV291" s="187"/>
      <c r="AW291" s="177"/>
      <c r="AX291" s="177"/>
      <c r="AY291" s="177"/>
      <c r="AZ291" s="177"/>
      <c r="BA291" s="187"/>
      <c r="BB291" s="180"/>
      <c r="BC291" s="189"/>
      <c r="BD291" s="189"/>
      <c r="BE291" s="189"/>
      <c r="BF291" s="189"/>
      <c r="BG291" s="189"/>
      <c r="BH291" s="189"/>
      <c r="BI291" s="189"/>
      <c r="BJ291" s="189"/>
      <c r="BK291" s="189"/>
      <c r="BL291" s="189"/>
      <c r="BM291" s="189"/>
      <c r="BN291" s="189"/>
      <c r="BO291" s="189"/>
      <c r="BP291" s="189"/>
      <c r="BQ291" s="189"/>
      <c r="BR291" s="189"/>
    </row>
    <row r="292" spans="1:70" s="190" customFormat="1">
      <c r="A292" s="176">
        <v>290</v>
      </c>
      <c r="F292" s="171">
        <v>43130.781608796293</v>
      </c>
      <c r="G292" s="171">
        <v>43130.782048611109</v>
      </c>
      <c r="H292" s="172">
        <f t="shared" si="363"/>
        <v>4.398148157633841E-4</v>
      </c>
      <c r="I292" s="173">
        <v>49.89</v>
      </c>
      <c r="J292" s="174" t="s">
        <v>260</v>
      </c>
      <c r="K292" s="175" t="s">
        <v>72</v>
      </c>
      <c r="L292" s="175" t="s">
        <v>73</v>
      </c>
      <c r="M292" s="175">
        <v>-369</v>
      </c>
      <c r="N292" s="176">
        <v>1</v>
      </c>
      <c r="O292" s="176">
        <v>200</v>
      </c>
      <c r="P292" s="175">
        <v>348</v>
      </c>
      <c r="Q292" s="175" t="s">
        <v>75</v>
      </c>
      <c r="R292" s="175" t="s">
        <v>286</v>
      </c>
      <c r="S292" s="177"/>
      <c r="T292" s="177"/>
      <c r="U292" s="175">
        <v>983</v>
      </c>
      <c r="V292" s="178">
        <v>1500</v>
      </c>
      <c r="W292" s="179"/>
      <c r="X292" s="177"/>
      <c r="Y292" s="177"/>
      <c r="Z292" s="177"/>
      <c r="AA292" s="177"/>
      <c r="AB292" s="180"/>
      <c r="AC292" s="174">
        <v>160.1</v>
      </c>
      <c r="AD292" s="177">
        <v>-109.9</v>
      </c>
      <c r="AE292" s="177">
        <v>3.01</v>
      </c>
      <c r="AF292" s="177">
        <v>2.14</v>
      </c>
      <c r="AG292" s="177">
        <v>109.8</v>
      </c>
      <c r="AH292" s="177">
        <v>-110</v>
      </c>
      <c r="AI292" s="177">
        <v>2.71</v>
      </c>
      <c r="AJ292" s="174">
        <v>0.73</v>
      </c>
      <c r="AK292" s="181"/>
      <c r="AL292" s="182" t="s">
        <v>418</v>
      </c>
      <c r="AM292" s="183"/>
      <c r="AN292" s="182">
        <v>0.99199999999999999</v>
      </c>
      <c r="AO292" s="191"/>
      <c r="AP292" s="192"/>
      <c r="AQ292" s="193"/>
      <c r="AR292" s="186"/>
      <c r="AS292" s="187"/>
      <c r="AT292" s="188"/>
      <c r="AU292" s="187"/>
      <c r="AV292" s="187"/>
      <c r="AW292" s="177"/>
      <c r="AX292" s="177"/>
      <c r="AY292" s="177"/>
      <c r="AZ292" s="177"/>
      <c r="BA292" s="187"/>
      <c r="BB292" s="180"/>
      <c r="BC292" s="189"/>
      <c r="BD292" s="189"/>
      <c r="BE292" s="189"/>
      <c r="BF292" s="189"/>
      <c r="BG292" s="189"/>
      <c r="BH292" s="189"/>
      <c r="BI292" s="189"/>
      <c r="BJ292" s="189"/>
      <c r="BK292" s="189"/>
      <c r="BL292" s="189"/>
      <c r="BM292" s="189"/>
      <c r="BN292" s="189"/>
      <c r="BO292" s="189"/>
      <c r="BP292" s="189"/>
      <c r="BQ292" s="189"/>
      <c r="BR292" s="189"/>
    </row>
    <row r="293" spans="1:70" s="190" customFormat="1">
      <c r="A293" s="176">
        <v>291</v>
      </c>
      <c r="F293" s="171">
        <v>43130.78230324074</v>
      </c>
      <c r="G293" s="171">
        <v>43130.782835648148</v>
      </c>
      <c r="H293" s="172">
        <f t="shared" si="363"/>
        <v>5.3240740817273036E-4</v>
      </c>
      <c r="I293" s="173">
        <v>49.89</v>
      </c>
      <c r="J293" s="174" t="s">
        <v>260</v>
      </c>
      <c r="K293" s="175" t="s">
        <v>72</v>
      </c>
      <c r="L293" s="175" t="s">
        <v>73</v>
      </c>
      <c r="M293" s="175">
        <v>-369</v>
      </c>
      <c r="N293" s="176">
        <v>1</v>
      </c>
      <c r="O293" s="176">
        <v>200</v>
      </c>
      <c r="P293" s="175">
        <v>348</v>
      </c>
      <c r="Q293" s="175" t="s">
        <v>75</v>
      </c>
      <c r="R293" s="175" t="s">
        <v>286</v>
      </c>
      <c r="S293" s="177"/>
      <c r="T293" s="177"/>
      <c r="U293" s="175">
        <v>983</v>
      </c>
      <c r="V293" s="178">
        <v>1500</v>
      </c>
      <c r="W293" s="179"/>
      <c r="X293" s="177"/>
      <c r="Y293" s="177"/>
      <c r="Z293" s="177"/>
      <c r="AA293" s="177"/>
      <c r="AB293" s="180"/>
      <c r="AC293" s="174">
        <v>160.1</v>
      </c>
      <c r="AD293" s="177">
        <v>-109.9</v>
      </c>
      <c r="AE293" s="177">
        <v>3.98</v>
      </c>
      <c r="AF293" s="177">
        <v>3.11</v>
      </c>
      <c r="AG293" s="177">
        <v>109.8</v>
      </c>
      <c r="AH293" s="177">
        <v>-110</v>
      </c>
      <c r="AI293" s="177">
        <v>2.71</v>
      </c>
      <c r="AJ293" s="174">
        <v>0.73</v>
      </c>
      <c r="AK293" s="181"/>
      <c r="AL293" s="182" t="s">
        <v>419</v>
      </c>
      <c r="AM293" s="183"/>
      <c r="AN293" s="182">
        <v>0.97599999999999998</v>
      </c>
      <c r="AO293" s="191"/>
      <c r="AP293" s="192"/>
      <c r="AQ293" s="193"/>
      <c r="AR293" s="186"/>
      <c r="AS293" s="187"/>
      <c r="AT293" s="188"/>
      <c r="AU293" s="187"/>
      <c r="AV293" s="187"/>
      <c r="AW293" s="177"/>
      <c r="AX293" s="177"/>
      <c r="AY293" s="177"/>
      <c r="AZ293" s="177"/>
      <c r="BA293" s="187"/>
      <c r="BB293" s="180"/>
      <c r="BC293" s="189"/>
      <c r="BD293" s="189"/>
      <c r="BE293" s="189"/>
      <c r="BF293" s="189"/>
      <c r="BG293" s="189"/>
      <c r="BH293" s="189"/>
      <c r="BI293" s="189"/>
      <c r="BJ293" s="189"/>
      <c r="BK293" s="189"/>
      <c r="BL293" s="189"/>
      <c r="BM293" s="189"/>
      <c r="BN293" s="189"/>
      <c r="BO293" s="189"/>
      <c r="BP293" s="189"/>
      <c r="BQ293" s="189"/>
      <c r="BR293" s="189"/>
    </row>
    <row r="294" spans="1:70" s="190" customFormat="1">
      <c r="A294" s="176">
        <v>292</v>
      </c>
      <c r="F294" s="171">
        <v>43130.783321759256</v>
      </c>
      <c r="G294" s="171">
        <v>43130.784155092595</v>
      </c>
      <c r="H294" s="172">
        <f t="shared" si="363"/>
        <v>8.3333333896007389E-4</v>
      </c>
      <c r="I294" s="173">
        <v>49.89</v>
      </c>
      <c r="J294" s="174" t="s">
        <v>260</v>
      </c>
      <c r="K294" s="175" t="s">
        <v>72</v>
      </c>
      <c r="L294" s="175" t="s">
        <v>73</v>
      </c>
      <c r="M294" s="175">
        <v>-369</v>
      </c>
      <c r="N294" s="176">
        <v>1</v>
      </c>
      <c r="O294" s="176">
        <v>200</v>
      </c>
      <c r="P294" s="175">
        <v>348</v>
      </c>
      <c r="Q294" s="175" t="s">
        <v>75</v>
      </c>
      <c r="R294" s="175" t="s">
        <v>286</v>
      </c>
      <c r="S294" s="177"/>
      <c r="T294" s="177"/>
      <c r="U294" s="175">
        <v>983</v>
      </c>
      <c r="V294" s="178">
        <v>1500</v>
      </c>
      <c r="W294" s="179"/>
      <c r="X294" s="177"/>
      <c r="Y294" s="177"/>
      <c r="Z294" s="177"/>
      <c r="AA294" s="177"/>
      <c r="AB294" s="180"/>
      <c r="AC294" s="174">
        <v>160.1</v>
      </c>
      <c r="AD294" s="177">
        <v>-109.9</v>
      </c>
      <c r="AE294" s="177">
        <v>2.4900000000000002</v>
      </c>
      <c r="AF294" s="177">
        <v>1.66</v>
      </c>
      <c r="AG294" s="177">
        <v>109.8</v>
      </c>
      <c r="AH294" s="177">
        <v>-110</v>
      </c>
      <c r="AI294" s="177">
        <v>2.71</v>
      </c>
      <c r="AJ294" s="174">
        <v>0.73</v>
      </c>
      <c r="AK294" s="181"/>
      <c r="AL294" s="182" t="s">
        <v>420</v>
      </c>
      <c r="AM294" s="183"/>
      <c r="AN294" s="182">
        <v>0.995</v>
      </c>
      <c r="AO294" s="191"/>
      <c r="AP294" s="192"/>
      <c r="AQ294" s="193"/>
      <c r="AR294" s="186"/>
      <c r="AS294" s="187"/>
      <c r="AT294" s="188"/>
      <c r="AU294" s="187"/>
      <c r="AV294" s="187"/>
      <c r="AW294" s="177"/>
      <c r="AX294" s="177"/>
      <c r="AY294" s="177"/>
      <c r="AZ294" s="177"/>
      <c r="BA294" s="187"/>
      <c r="BB294" s="180"/>
      <c r="BC294" s="189"/>
      <c r="BD294" s="189"/>
      <c r="BE294" s="189"/>
      <c r="BF294" s="189"/>
      <c r="BG294" s="189"/>
      <c r="BH294" s="189"/>
      <c r="BI294" s="189"/>
      <c r="BJ294" s="189"/>
      <c r="BK294" s="189"/>
      <c r="BL294" s="189"/>
      <c r="BM294" s="189"/>
      <c r="BN294" s="189"/>
      <c r="BO294" s="189"/>
      <c r="BP294" s="189"/>
      <c r="BQ294" s="189"/>
      <c r="BR294" s="189"/>
    </row>
    <row r="295" spans="1:70" s="190" customFormat="1">
      <c r="A295" s="176">
        <v>293</v>
      </c>
      <c r="F295" s="171">
        <v>43130.786030092589</v>
      </c>
      <c r="G295" s="171">
        <v>43130.788148148145</v>
      </c>
      <c r="H295" s="172">
        <f t="shared" ref="H295" si="364">G295-F295</f>
        <v>2.118055555911269E-3</v>
      </c>
      <c r="I295" s="173">
        <v>49.8</v>
      </c>
      <c r="J295" s="174" t="s">
        <v>260</v>
      </c>
      <c r="K295" s="175" t="s">
        <v>72</v>
      </c>
      <c r="L295" s="175" t="s">
        <v>73</v>
      </c>
      <c r="M295" s="175">
        <v>-369</v>
      </c>
      <c r="N295" s="176">
        <v>1</v>
      </c>
      <c r="O295" s="176">
        <v>200</v>
      </c>
      <c r="P295" s="175">
        <v>348</v>
      </c>
      <c r="Q295" s="175" t="s">
        <v>75</v>
      </c>
      <c r="R295" s="175" t="s">
        <v>286</v>
      </c>
      <c r="S295" s="177"/>
      <c r="T295" s="177"/>
      <c r="U295" s="175">
        <v>983</v>
      </c>
      <c r="V295" s="178">
        <v>1500</v>
      </c>
      <c r="W295" s="179">
        <v>10</v>
      </c>
      <c r="X295" s="177">
        <v>48273</v>
      </c>
      <c r="Y295" s="177">
        <v>848958</v>
      </c>
      <c r="Z295" s="177">
        <v>7081892</v>
      </c>
      <c r="AA295" s="177">
        <v>2139222</v>
      </c>
      <c r="AB295" s="180">
        <v>4968902</v>
      </c>
      <c r="AC295" s="174">
        <v>160.1</v>
      </c>
      <c r="AD295" s="177">
        <v>-109.9</v>
      </c>
      <c r="AE295" s="177">
        <v>3.94</v>
      </c>
      <c r="AF295" s="177">
        <v>-0.77</v>
      </c>
      <c r="AG295" s="177">
        <v>109.8</v>
      </c>
      <c r="AH295" s="177">
        <v>-110</v>
      </c>
      <c r="AI295" s="177">
        <v>3.71</v>
      </c>
      <c r="AJ295" s="174">
        <v>-0.34</v>
      </c>
      <c r="AK295" s="181"/>
      <c r="AL295" s="182" t="s">
        <v>400</v>
      </c>
      <c r="AM295" s="183"/>
      <c r="AN295" s="182">
        <v>0.97099999999999997</v>
      </c>
      <c r="AO295" s="191"/>
      <c r="AP295" s="192"/>
      <c r="AQ295" s="193"/>
      <c r="AR295" s="186"/>
      <c r="AS295" s="187"/>
      <c r="AT295" s="188"/>
      <c r="AU295" s="187"/>
      <c r="AV295" s="187"/>
      <c r="AW295" s="177"/>
      <c r="AX295" s="177"/>
      <c r="AY295" s="177"/>
      <c r="AZ295" s="177"/>
      <c r="BA295" s="187"/>
      <c r="BB295" s="180"/>
      <c r="BC295" s="189"/>
      <c r="BD295" s="189"/>
      <c r="BE295" s="189"/>
      <c r="BF295" s="189"/>
      <c r="BG295" s="189"/>
      <c r="BH295" s="189"/>
      <c r="BI295" s="189"/>
      <c r="BJ295" s="189"/>
      <c r="BK295" s="189"/>
      <c r="BL295" s="189"/>
      <c r="BM295" s="189"/>
      <c r="BN295" s="189"/>
      <c r="BO295" s="189"/>
      <c r="BP295" s="189"/>
      <c r="BQ295" s="189"/>
      <c r="BR295" s="189"/>
    </row>
    <row r="296" spans="1:70" s="190" customFormat="1">
      <c r="A296" s="176">
        <v>294</v>
      </c>
      <c r="F296" s="171">
        <v>43130.788854166669</v>
      </c>
      <c r="G296" s="171">
        <v>43130.791377314818</v>
      </c>
      <c r="H296" s="172">
        <f t="shared" ref="H296:H297" si="365">G296-F296</f>
        <v>2.5231481486116536E-3</v>
      </c>
      <c r="I296" s="173">
        <v>49.8</v>
      </c>
      <c r="J296" s="174" t="s">
        <v>260</v>
      </c>
      <c r="K296" s="175" t="s">
        <v>72</v>
      </c>
      <c r="L296" s="175" t="s">
        <v>73</v>
      </c>
      <c r="M296" s="175">
        <v>-369</v>
      </c>
      <c r="N296" s="176">
        <v>1</v>
      </c>
      <c r="O296" s="176">
        <v>200</v>
      </c>
      <c r="P296" s="175">
        <v>348</v>
      </c>
      <c r="Q296" s="175" t="s">
        <v>75</v>
      </c>
      <c r="R296" s="175" t="s">
        <v>421</v>
      </c>
      <c r="S296" s="177"/>
      <c r="T296" s="177"/>
      <c r="U296" s="175">
        <v>983</v>
      </c>
      <c r="V296" s="178">
        <v>1500</v>
      </c>
      <c r="W296" s="179"/>
      <c r="X296" s="177"/>
      <c r="Y296" s="177"/>
      <c r="Z296" s="177"/>
      <c r="AA296" s="177"/>
      <c r="AB296" s="180"/>
      <c r="AC296" s="174">
        <v>160.1</v>
      </c>
      <c r="AD296" s="177">
        <v>-109.9</v>
      </c>
      <c r="AE296" s="177">
        <v>3.94</v>
      </c>
      <c r="AF296" s="177">
        <v>-0.77</v>
      </c>
      <c r="AG296" s="177">
        <v>109.8</v>
      </c>
      <c r="AH296" s="177">
        <v>-110</v>
      </c>
      <c r="AI296" s="177">
        <v>3.71</v>
      </c>
      <c r="AJ296" s="174">
        <v>-0.34</v>
      </c>
      <c r="AK296" s="181"/>
      <c r="AL296" s="182" t="s">
        <v>423</v>
      </c>
      <c r="AM296" s="183"/>
      <c r="AN296" s="182"/>
      <c r="AO296" s="191"/>
      <c r="AP296" s="192"/>
      <c r="AQ296" s="193"/>
      <c r="AR296" s="186"/>
      <c r="AS296" s="187"/>
      <c r="AT296" s="188"/>
      <c r="AU296" s="187"/>
      <c r="AV296" s="187"/>
      <c r="AW296" s="177"/>
      <c r="AX296" s="177"/>
      <c r="AY296" s="177"/>
      <c r="AZ296" s="177"/>
      <c r="BA296" s="187"/>
      <c r="BB296" s="180"/>
      <c r="BC296" s="189"/>
      <c r="BD296" s="189"/>
      <c r="BE296" s="189"/>
      <c r="BF296" s="189"/>
      <c r="BG296" s="189"/>
      <c r="BH296" s="189"/>
      <c r="BI296" s="189"/>
      <c r="BJ296" s="189"/>
      <c r="BK296" s="189"/>
      <c r="BL296" s="189"/>
      <c r="BM296" s="189"/>
      <c r="BN296" s="189"/>
      <c r="BO296" s="189"/>
      <c r="BP296" s="189"/>
      <c r="BQ296" s="189"/>
      <c r="BR296" s="189"/>
    </row>
    <row r="297" spans="1:70" s="190" customFormat="1">
      <c r="A297" s="176">
        <v>295</v>
      </c>
      <c r="F297" s="171">
        <v>43130.791631944441</v>
      </c>
      <c r="G297" s="171">
        <v>43130.794085648151</v>
      </c>
      <c r="H297" s="172">
        <f t="shared" si="365"/>
        <v>2.4537037097616121E-3</v>
      </c>
      <c r="I297" s="173">
        <v>49.8</v>
      </c>
      <c r="J297" s="174" t="s">
        <v>260</v>
      </c>
      <c r="K297" s="175" t="s">
        <v>72</v>
      </c>
      <c r="L297" s="175" t="s">
        <v>73</v>
      </c>
      <c r="M297" s="175">
        <v>-369</v>
      </c>
      <c r="N297" s="176">
        <v>1</v>
      </c>
      <c r="O297" s="176">
        <v>200</v>
      </c>
      <c r="P297" s="175">
        <v>348</v>
      </c>
      <c r="Q297" s="175" t="s">
        <v>75</v>
      </c>
      <c r="R297" s="175" t="s">
        <v>421</v>
      </c>
      <c r="S297" s="177"/>
      <c r="T297" s="177"/>
      <c r="U297" s="175">
        <v>983</v>
      </c>
      <c r="V297" s="178">
        <v>1500</v>
      </c>
      <c r="W297" s="179"/>
      <c r="X297" s="177"/>
      <c r="Y297" s="177"/>
      <c r="Z297" s="177"/>
      <c r="AA297" s="177"/>
      <c r="AB297" s="180"/>
      <c r="AC297" s="174">
        <v>160.1</v>
      </c>
      <c r="AD297" s="177">
        <v>-109.9</v>
      </c>
      <c r="AE297" s="177">
        <v>3.94</v>
      </c>
      <c r="AF297" s="177">
        <v>-0.77</v>
      </c>
      <c r="AG297" s="177">
        <v>109.8</v>
      </c>
      <c r="AH297" s="177">
        <v>-110</v>
      </c>
      <c r="AI297" s="177">
        <v>3.71</v>
      </c>
      <c r="AJ297" s="174">
        <v>-0.34</v>
      </c>
      <c r="AK297" s="181"/>
      <c r="AL297" s="182" t="s">
        <v>424</v>
      </c>
      <c r="AM297" s="183"/>
      <c r="AN297" s="182"/>
      <c r="AO297" s="191"/>
      <c r="AP297" s="192"/>
      <c r="AQ297" s="193"/>
      <c r="AR297" s="186"/>
      <c r="AS297" s="187"/>
      <c r="AT297" s="188"/>
      <c r="AU297" s="187"/>
      <c r="AV297" s="187"/>
      <c r="AW297" s="177"/>
      <c r="AX297" s="177"/>
      <c r="AY297" s="177"/>
      <c r="AZ297" s="177"/>
      <c r="BA297" s="187"/>
      <c r="BB297" s="180"/>
      <c r="BC297" s="189"/>
      <c r="BD297" s="189"/>
      <c r="BE297" s="189"/>
      <c r="BF297" s="189"/>
      <c r="BG297" s="189"/>
      <c r="BH297" s="189"/>
      <c r="BI297" s="189"/>
      <c r="BJ297" s="189"/>
      <c r="BK297" s="189"/>
      <c r="BL297" s="189"/>
      <c r="BM297" s="189"/>
      <c r="BN297" s="189"/>
      <c r="BO297" s="189"/>
      <c r="BP297" s="189"/>
      <c r="BQ297" s="189"/>
      <c r="BR297" s="189"/>
    </row>
    <row r="298" spans="1:70" s="190" customFormat="1">
      <c r="A298" s="176">
        <v>296</v>
      </c>
      <c r="F298" s="171">
        <v>43130.795694444445</v>
      </c>
      <c r="G298" s="171">
        <v>43130.796967592592</v>
      </c>
      <c r="H298" s="172">
        <f t="shared" ref="H298" si="366">G298-F298</f>
        <v>1.2731481474475004E-3</v>
      </c>
      <c r="I298" s="173">
        <v>49.8</v>
      </c>
      <c r="J298" s="174" t="s">
        <v>260</v>
      </c>
      <c r="K298" s="175" t="s">
        <v>72</v>
      </c>
      <c r="L298" s="175" t="s">
        <v>73</v>
      </c>
      <c r="M298" s="175">
        <v>-369</v>
      </c>
      <c r="N298" s="176">
        <v>1</v>
      </c>
      <c r="O298" s="176">
        <v>200</v>
      </c>
      <c r="P298" s="175">
        <v>348</v>
      </c>
      <c r="Q298" s="175" t="s">
        <v>75</v>
      </c>
      <c r="R298" s="175" t="s">
        <v>422</v>
      </c>
      <c r="S298" s="177"/>
      <c r="T298" s="177"/>
      <c r="U298" s="175">
        <v>983</v>
      </c>
      <c r="V298" s="178">
        <v>-1900</v>
      </c>
      <c r="W298" s="179"/>
      <c r="X298" s="177"/>
      <c r="Y298" s="177"/>
      <c r="Z298" s="177"/>
      <c r="AA298" s="177"/>
      <c r="AB298" s="180"/>
      <c r="AC298" s="174">
        <v>160.1</v>
      </c>
      <c r="AD298" s="177">
        <v>-109.9</v>
      </c>
      <c r="AE298" s="177">
        <v>3.94</v>
      </c>
      <c r="AF298" s="177">
        <v>-0.77</v>
      </c>
      <c r="AG298" s="177">
        <v>109.8</v>
      </c>
      <c r="AH298" s="177">
        <v>-110</v>
      </c>
      <c r="AI298" s="177">
        <v>3.71</v>
      </c>
      <c r="AJ298" s="174">
        <v>-0.34</v>
      </c>
      <c r="AK298" s="181"/>
      <c r="AL298" s="182" t="s">
        <v>335</v>
      </c>
      <c r="AM298" s="183"/>
      <c r="AN298" s="182"/>
      <c r="AO298" s="191"/>
      <c r="AP298" s="192"/>
      <c r="AQ298" s="193"/>
      <c r="AR298" s="186"/>
      <c r="AS298" s="187"/>
      <c r="AT298" s="188"/>
      <c r="AU298" s="187"/>
      <c r="AV298" s="187"/>
      <c r="AW298" s="177"/>
      <c r="AX298" s="177"/>
      <c r="AY298" s="177"/>
      <c r="AZ298" s="177"/>
      <c r="BA298" s="187"/>
      <c r="BB298" s="180"/>
      <c r="BC298" s="189"/>
      <c r="BD298" s="189"/>
      <c r="BE298" s="189"/>
      <c r="BF298" s="189"/>
      <c r="BG298" s="189"/>
      <c r="BH298" s="189"/>
      <c r="BI298" s="189"/>
      <c r="BJ298" s="189"/>
      <c r="BK298" s="189"/>
      <c r="BL298" s="189"/>
      <c r="BM298" s="189"/>
      <c r="BN298" s="189"/>
      <c r="BO298" s="189"/>
      <c r="BP298" s="189"/>
      <c r="BQ298" s="189"/>
      <c r="BR298" s="189"/>
    </row>
    <row r="299" spans="1:70" s="190" customFormat="1">
      <c r="A299" s="176">
        <v>297</v>
      </c>
      <c r="F299" s="171">
        <v>43130.7971875</v>
      </c>
      <c r="G299" s="171">
        <v>43130.798414351855</v>
      </c>
      <c r="H299" s="172">
        <f t="shared" ref="H299:H301" si="367">G299-F299</f>
        <v>1.2268518548808061E-3</v>
      </c>
      <c r="I299" s="173">
        <v>49.8</v>
      </c>
      <c r="J299" s="174" t="s">
        <v>260</v>
      </c>
      <c r="K299" s="175" t="s">
        <v>72</v>
      </c>
      <c r="L299" s="175" t="s">
        <v>73</v>
      </c>
      <c r="M299" s="175">
        <v>-369</v>
      </c>
      <c r="N299" s="176">
        <v>1</v>
      </c>
      <c r="O299" s="176">
        <v>200</v>
      </c>
      <c r="P299" s="175">
        <v>348</v>
      </c>
      <c r="Q299" s="175" t="s">
        <v>75</v>
      </c>
      <c r="R299" s="175" t="s">
        <v>422</v>
      </c>
      <c r="S299" s="177"/>
      <c r="T299" s="177"/>
      <c r="U299" s="175">
        <v>983</v>
      </c>
      <c r="V299" s="178">
        <v>-1550</v>
      </c>
      <c r="W299" s="179"/>
      <c r="X299" s="177"/>
      <c r="Y299" s="177"/>
      <c r="Z299" s="177"/>
      <c r="AA299" s="177"/>
      <c r="AB299" s="180"/>
      <c r="AC299" s="174">
        <v>160.1</v>
      </c>
      <c r="AD299" s="177">
        <v>-109.9</v>
      </c>
      <c r="AE299" s="177">
        <v>3.94</v>
      </c>
      <c r="AF299" s="177">
        <v>-0.77</v>
      </c>
      <c r="AG299" s="177">
        <v>109.8</v>
      </c>
      <c r="AH299" s="177">
        <v>-110</v>
      </c>
      <c r="AI299" s="177">
        <v>3.71</v>
      </c>
      <c r="AJ299" s="174">
        <v>-0.34</v>
      </c>
      <c r="AK299" s="181"/>
      <c r="AL299" s="182" t="s">
        <v>336</v>
      </c>
      <c r="AM299" s="183"/>
      <c r="AN299" s="182"/>
      <c r="AO299" s="191"/>
      <c r="AP299" s="192"/>
      <c r="AQ299" s="193"/>
      <c r="AR299" s="186"/>
      <c r="AS299" s="187"/>
      <c r="AT299" s="188"/>
      <c r="AU299" s="187"/>
      <c r="AV299" s="187"/>
      <c r="AW299" s="177"/>
      <c r="AX299" s="177"/>
      <c r="AY299" s="177"/>
      <c r="AZ299" s="177"/>
      <c r="BA299" s="187"/>
      <c r="BB299" s="180"/>
      <c r="BC299" s="189"/>
      <c r="BD299" s="189"/>
      <c r="BE299" s="189"/>
      <c r="BF299" s="189"/>
      <c r="BG299" s="189"/>
      <c r="BH299" s="189"/>
      <c r="BI299" s="189"/>
      <c r="BJ299" s="189"/>
      <c r="BK299" s="189"/>
      <c r="BL299" s="189"/>
      <c r="BM299" s="189"/>
      <c r="BN299" s="189"/>
      <c r="BO299" s="189"/>
      <c r="BP299" s="189"/>
      <c r="BQ299" s="189"/>
      <c r="BR299" s="189"/>
    </row>
    <row r="300" spans="1:70" s="190" customFormat="1">
      <c r="A300" s="176">
        <v>298</v>
      </c>
      <c r="F300" s="171">
        <v>43130.798611111109</v>
      </c>
      <c r="G300" s="171">
        <v>43130.799861111111</v>
      </c>
      <c r="H300" s="172">
        <f t="shared" si="367"/>
        <v>1.2500000011641532E-3</v>
      </c>
      <c r="I300" s="173">
        <v>49.8</v>
      </c>
      <c r="J300" s="174" t="s">
        <v>260</v>
      </c>
      <c r="K300" s="175" t="s">
        <v>72</v>
      </c>
      <c r="L300" s="175" t="s">
        <v>73</v>
      </c>
      <c r="M300" s="175">
        <v>-369</v>
      </c>
      <c r="N300" s="176">
        <v>1</v>
      </c>
      <c r="O300" s="176">
        <v>200</v>
      </c>
      <c r="P300" s="175">
        <v>348</v>
      </c>
      <c r="Q300" s="175" t="s">
        <v>75</v>
      </c>
      <c r="R300" s="175" t="s">
        <v>422</v>
      </c>
      <c r="S300" s="177"/>
      <c r="T300" s="177"/>
      <c r="U300" s="175">
        <v>983</v>
      </c>
      <c r="V300" s="178">
        <v>-1200</v>
      </c>
      <c r="W300" s="179"/>
      <c r="X300" s="177"/>
      <c r="Y300" s="177"/>
      <c r="Z300" s="177"/>
      <c r="AA300" s="177"/>
      <c r="AB300" s="180"/>
      <c r="AC300" s="174">
        <v>160.1</v>
      </c>
      <c r="AD300" s="177">
        <v>-109.9</v>
      </c>
      <c r="AE300" s="177">
        <v>3.94</v>
      </c>
      <c r="AF300" s="177">
        <v>-0.77</v>
      </c>
      <c r="AG300" s="177">
        <v>109.8</v>
      </c>
      <c r="AH300" s="177">
        <v>-110</v>
      </c>
      <c r="AI300" s="177">
        <v>3.71</v>
      </c>
      <c r="AJ300" s="174">
        <v>-0.34</v>
      </c>
      <c r="AK300" s="181"/>
      <c r="AL300" s="182" t="s">
        <v>337</v>
      </c>
      <c r="AM300" s="183"/>
      <c r="AN300" s="182"/>
      <c r="AO300" s="191"/>
      <c r="AP300" s="192"/>
      <c r="AQ300" s="193"/>
      <c r="AR300" s="186"/>
      <c r="AS300" s="187"/>
      <c r="AT300" s="188"/>
      <c r="AU300" s="187"/>
      <c r="AV300" s="187"/>
      <c r="AW300" s="177"/>
      <c r="AX300" s="177"/>
      <c r="AY300" s="177"/>
      <c r="AZ300" s="177"/>
      <c r="BA300" s="187"/>
      <c r="BB300" s="180"/>
      <c r="BC300" s="189"/>
      <c r="BD300" s="189"/>
      <c r="BE300" s="189"/>
      <c r="BF300" s="189"/>
      <c r="BG300" s="189"/>
      <c r="BH300" s="189"/>
      <c r="BI300" s="189"/>
      <c r="BJ300" s="189"/>
      <c r="BK300" s="189"/>
      <c r="BL300" s="189"/>
      <c r="BM300" s="189"/>
      <c r="BN300" s="189"/>
      <c r="BO300" s="189"/>
      <c r="BP300" s="189"/>
      <c r="BQ300" s="189"/>
      <c r="BR300" s="189"/>
    </row>
    <row r="301" spans="1:70" s="190" customFormat="1">
      <c r="A301" s="176">
        <v>299</v>
      </c>
      <c r="F301" s="171">
        <v>43130.800011574072</v>
      </c>
      <c r="G301" s="171">
        <v>43130.801238425927</v>
      </c>
      <c r="H301" s="172">
        <f t="shared" si="367"/>
        <v>1.2268518548808061E-3</v>
      </c>
      <c r="I301" s="173">
        <v>49.8</v>
      </c>
      <c r="J301" s="174" t="s">
        <v>260</v>
      </c>
      <c r="K301" s="175" t="s">
        <v>72</v>
      </c>
      <c r="L301" s="175" t="s">
        <v>73</v>
      </c>
      <c r="M301" s="175">
        <v>-369</v>
      </c>
      <c r="N301" s="176">
        <v>1</v>
      </c>
      <c r="O301" s="176">
        <v>200</v>
      </c>
      <c r="P301" s="175">
        <v>348</v>
      </c>
      <c r="Q301" s="175" t="s">
        <v>75</v>
      </c>
      <c r="R301" s="175" t="s">
        <v>422</v>
      </c>
      <c r="S301" s="177"/>
      <c r="T301" s="177"/>
      <c r="U301" s="175">
        <v>983</v>
      </c>
      <c r="V301" s="178">
        <v>-900</v>
      </c>
      <c r="W301" s="179"/>
      <c r="X301" s="177"/>
      <c r="Y301" s="177"/>
      <c r="Z301" s="177"/>
      <c r="AA301" s="177"/>
      <c r="AB301" s="180"/>
      <c r="AC301" s="174">
        <v>160.1</v>
      </c>
      <c r="AD301" s="177">
        <v>-109.9</v>
      </c>
      <c r="AE301" s="177">
        <v>3.94</v>
      </c>
      <c r="AF301" s="177">
        <v>-0.77</v>
      </c>
      <c r="AG301" s="177">
        <v>109.8</v>
      </c>
      <c r="AH301" s="177">
        <v>-110</v>
      </c>
      <c r="AI301" s="177">
        <v>3.71</v>
      </c>
      <c r="AJ301" s="174">
        <v>-0.34</v>
      </c>
      <c r="AK301" s="181"/>
      <c r="AL301" s="182" t="s">
        <v>338</v>
      </c>
      <c r="AM301" s="183"/>
      <c r="AN301" s="182"/>
      <c r="AO301" s="191"/>
      <c r="AP301" s="192"/>
      <c r="AQ301" s="193"/>
      <c r="AR301" s="186"/>
      <c r="AS301" s="187"/>
      <c r="AT301" s="188"/>
      <c r="AU301" s="187"/>
      <c r="AV301" s="187"/>
      <c r="AW301" s="177"/>
      <c r="AX301" s="177"/>
      <c r="AY301" s="177"/>
      <c r="AZ301" s="177"/>
      <c r="BA301" s="187"/>
      <c r="BB301" s="180"/>
      <c r="BC301" s="189"/>
      <c r="BD301" s="189"/>
      <c r="BE301" s="189"/>
      <c r="BF301" s="189"/>
      <c r="BG301" s="189"/>
      <c r="BH301" s="189"/>
      <c r="BI301" s="189"/>
      <c r="BJ301" s="189"/>
      <c r="BK301" s="189"/>
      <c r="BL301" s="189"/>
      <c r="BM301" s="189"/>
      <c r="BN301" s="189"/>
      <c r="BO301" s="189"/>
      <c r="BP301" s="189"/>
      <c r="BQ301" s="189"/>
      <c r="BR301" s="189"/>
    </row>
    <row r="302" spans="1:70" s="190" customFormat="1">
      <c r="A302" s="176">
        <v>300</v>
      </c>
      <c r="F302" s="171">
        <v>43130.801388888889</v>
      </c>
      <c r="G302" s="171">
        <v>43130.802627314813</v>
      </c>
      <c r="H302" s="172">
        <f t="shared" ref="H302:H304" si="368">G302-F302</f>
        <v>1.2384259243845008E-3</v>
      </c>
      <c r="I302" s="173">
        <v>49.8</v>
      </c>
      <c r="J302" s="174" t="s">
        <v>260</v>
      </c>
      <c r="K302" s="175" t="s">
        <v>72</v>
      </c>
      <c r="L302" s="175" t="s">
        <v>73</v>
      </c>
      <c r="M302" s="175">
        <v>-369</v>
      </c>
      <c r="N302" s="176">
        <v>1</v>
      </c>
      <c r="O302" s="176">
        <v>200</v>
      </c>
      <c r="P302" s="175">
        <v>348</v>
      </c>
      <c r="Q302" s="175" t="s">
        <v>75</v>
      </c>
      <c r="R302" s="175" t="s">
        <v>422</v>
      </c>
      <c r="S302" s="177"/>
      <c r="T302" s="177"/>
      <c r="U302" s="175">
        <v>983</v>
      </c>
      <c r="V302" s="178">
        <v>-600</v>
      </c>
      <c r="W302" s="179"/>
      <c r="X302" s="177"/>
      <c r="Y302" s="177"/>
      <c r="Z302" s="177"/>
      <c r="AA302" s="177"/>
      <c r="AB302" s="180"/>
      <c r="AC302" s="174">
        <v>160.1</v>
      </c>
      <c r="AD302" s="177">
        <v>-109.9</v>
      </c>
      <c r="AE302" s="177">
        <v>3.94</v>
      </c>
      <c r="AF302" s="177">
        <v>-0.77</v>
      </c>
      <c r="AG302" s="177">
        <v>109.8</v>
      </c>
      <c r="AH302" s="177">
        <v>-110</v>
      </c>
      <c r="AI302" s="177">
        <v>3.71</v>
      </c>
      <c r="AJ302" s="174">
        <v>-0.34</v>
      </c>
      <c r="AK302" s="181"/>
      <c r="AL302" s="182" t="s">
        <v>339</v>
      </c>
      <c r="AM302" s="183"/>
      <c r="AN302" s="182"/>
      <c r="AO302" s="191"/>
      <c r="AP302" s="192"/>
      <c r="AQ302" s="193"/>
      <c r="AR302" s="186"/>
      <c r="AS302" s="187"/>
      <c r="AT302" s="188"/>
      <c r="AU302" s="187"/>
      <c r="AV302" s="187"/>
      <c r="AW302" s="177"/>
      <c r="AX302" s="177"/>
      <c r="AY302" s="177"/>
      <c r="AZ302" s="177"/>
      <c r="BA302" s="187"/>
      <c r="BB302" s="180"/>
      <c r="BC302" s="189"/>
      <c r="BD302" s="189"/>
      <c r="BE302" s="189"/>
      <c r="BF302" s="189"/>
      <c r="BG302" s="189"/>
      <c r="BH302" s="189"/>
      <c r="BI302" s="189"/>
      <c r="BJ302" s="189"/>
      <c r="BK302" s="189"/>
      <c r="BL302" s="189"/>
      <c r="BM302" s="189"/>
      <c r="BN302" s="189"/>
      <c r="BO302" s="189"/>
      <c r="BP302" s="189"/>
      <c r="BQ302" s="189"/>
      <c r="BR302" s="189"/>
    </row>
    <row r="303" spans="1:70" s="190" customFormat="1">
      <c r="A303" s="176">
        <v>301</v>
      </c>
      <c r="F303" s="171">
        <v>43130.802800925929</v>
      </c>
      <c r="G303" s="171">
        <v>43130.804074074076</v>
      </c>
      <c r="H303" s="172">
        <f t="shared" si="368"/>
        <v>1.2731481474475004E-3</v>
      </c>
      <c r="I303" s="173">
        <v>49.8</v>
      </c>
      <c r="J303" s="174" t="s">
        <v>260</v>
      </c>
      <c r="K303" s="175" t="s">
        <v>72</v>
      </c>
      <c r="L303" s="175" t="s">
        <v>73</v>
      </c>
      <c r="M303" s="175">
        <v>-369</v>
      </c>
      <c r="N303" s="176">
        <v>1</v>
      </c>
      <c r="O303" s="176">
        <v>200</v>
      </c>
      <c r="P303" s="175">
        <v>348</v>
      </c>
      <c r="Q303" s="175" t="s">
        <v>75</v>
      </c>
      <c r="R303" s="175" t="s">
        <v>422</v>
      </c>
      <c r="S303" s="177"/>
      <c r="T303" s="177"/>
      <c r="U303" s="175">
        <v>983</v>
      </c>
      <c r="V303" s="178">
        <v>-300</v>
      </c>
      <c r="W303" s="179"/>
      <c r="X303" s="177"/>
      <c r="Y303" s="177"/>
      <c r="Z303" s="177"/>
      <c r="AA303" s="177"/>
      <c r="AB303" s="180"/>
      <c r="AC303" s="174">
        <v>160.1</v>
      </c>
      <c r="AD303" s="177">
        <v>-109.9</v>
      </c>
      <c r="AE303" s="177">
        <v>3.94</v>
      </c>
      <c r="AF303" s="177">
        <v>-0.77</v>
      </c>
      <c r="AG303" s="177">
        <v>109.8</v>
      </c>
      <c r="AH303" s="177">
        <v>-110</v>
      </c>
      <c r="AI303" s="177">
        <v>3.71</v>
      </c>
      <c r="AJ303" s="174">
        <v>-0.34</v>
      </c>
      <c r="AK303" s="181"/>
      <c r="AL303" s="182" t="s">
        <v>340</v>
      </c>
      <c r="AM303" s="183"/>
      <c r="AN303" s="182"/>
      <c r="AO303" s="191"/>
      <c r="AP303" s="192"/>
      <c r="AQ303" s="193"/>
      <c r="AR303" s="186"/>
      <c r="AS303" s="187"/>
      <c r="AT303" s="188"/>
      <c r="AU303" s="187"/>
      <c r="AV303" s="187"/>
      <c r="AW303" s="177"/>
      <c r="AX303" s="177"/>
      <c r="AY303" s="177"/>
      <c r="AZ303" s="177"/>
      <c r="BA303" s="187"/>
      <c r="BB303" s="180"/>
      <c r="BC303" s="189"/>
      <c r="BD303" s="189"/>
      <c r="BE303" s="189"/>
      <c r="BF303" s="189"/>
      <c r="BG303" s="189"/>
      <c r="BH303" s="189"/>
      <c r="BI303" s="189"/>
      <c r="BJ303" s="189"/>
      <c r="BK303" s="189"/>
      <c r="BL303" s="189"/>
      <c r="BM303" s="189"/>
      <c r="BN303" s="189"/>
      <c r="BO303" s="189"/>
      <c r="BP303" s="189"/>
      <c r="BQ303" s="189"/>
      <c r="BR303" s="189"/>
    </row>
    <row r="304" spans="1:70" s="190" customFormat="1">
      <c r="A304" s="176">
        <v>302</v>
      </c>
      <c r="F304" s="171">
        <v>43130.804293981484</v>
      </c>
      <c r="G304" s="171">
        <v>43130.805520833332</v>
      </c>
      <c r="H304" s="172">
        <f t="shared" si="368"/>
        <v>1.2268518476048484E-3</v>
      </c>
      <c r="I304" s="173">
        <v>49.8</v>
      </c>
      <c r="J304" s="174" t="s">
        <v>260</v>
      </c>
      <c r="K304" s="175" t="s">
        <v>72</v>
      </c>
      <c r="L304" s="175" t="s">
        <v>73</v>
      </c>
      <c r="M304" s="175">
        <v>-369</v>
      </c>
      <c r="N304" s="176">
        <v>1</v>
      </c>
      <c r="O304" s="176">
        <v>200</v>
      </c>
      <c r="P304" s="175">
        <v>348</v>
      </c>
      <c r="Q304" s="175" t="s">
        <v>75</v>
      </c>
      <c r="R304" s="175" t="s">
        <v>422</v>
      </c>
      <c r="S304" s="177"/>
      <c r="T304" s="177"/>
      <c r="U304" s="175">
        <v>983</v>
      </c>
      <c r="V304" s="178">
        <v>0</v>
      </c>
      <c r="W304" s="179"/>
      <c r="X304" s="177"/>
      <c r="Y304" s="177"/>
      <c r="Z304" s="177"/>
      <c r="AA304" s="177"/>
      <c r="AB304" s="180"/>
      <c r="AC304" s="174">
        <v>160.1</v>
      </c>
      <c r="AD304" s="177">
        <v>-109.9</v>
      </c>
      <c r="AE304" s="177">
        <v>3.94</v>
      </c>
      <c r="AF304" s="177">
        <v>-0.77</v>
      </c>
      <c r="AG304" s="177">
        <v>109.8</v>
      </c>
      <c r="AH304" s="177">
        <v>-110</v>
      </c>
      <c r="AI304" s="177">
        <v>3.71</v>
      </c>
      <c r="AJ304" s="174">
        <v>-0.34</v>
      </c>
      <c r="AK304" s="181"/>
      <c r="AL304" s="182" t="s">
        <v>246</v>
      </c>
      <c r="AM304" s="183"/>
      <c r="AN304" s="182"/>
      <c r="AO304" s="191"/>
      <c r="AP304" s="192"/>
      <c r="AQ304" s="193"/>
      <c r="AR304" s="186"/>
      <c r="AS304" s="187"/>
      <c r="AT304" s="188"/>
      <c r="AU304" s="187"/>
      <c r="AV304" s="187"/>
      <c r="AW304" s="177"/>
      <c r="AX304" s="177"/>
      <c r="AY304" s="177"/>
      <c r="AZ304" s="177"/>
      <c r="BA304" s="187"/>
      <c r="BB304" s="180"/>
      <c r="BC304" s="189"/>
      <c r="BD304" s="189"/>
      <c r="BE304" s="189"/>
      <c r="BF304" s="189"/>
      <c r="BG304" s="189"/>
      <c r="BH304" s="189"/>
      <c r="BI304" s="189"/>
      <c r="BJ304" s="189"/>
      <c r="BK304" s="189"/>
      <c r="BL304" s="189"/>
      <c r="BM304" s="189"/>
      <c r="BN304" s="189"/>
      <c r="BO304" s="189"/>
      <c r="BP304" s="189"/>
      <c r="BQ304" s="189"/>
      <c r="BR304" s="189"/>
    </row>
    <row r="305" spans="1:70" s="190" customFormat="1">
      <c r="A305" s="176">
        <v>303</v>
      </c>
      <c r="F305" s="171">
        <v>43130.805949074071</v>
      </c>
      <c r="G305" s="171">
        <v>43130.807210648149</v>
      </c>
      <c r="H305" s="172">
        <f t="shared" ref="H305:H308" si="369">G305-F305</f>
        <v>1.2615740779438056E-3</v>
      </c>
      <c r="I305" s="173">
        <v>49.8</v>
      </c>
      <c r="J305" s="174" t="s">
        <v>260</v>
      </c>
      <c r="K305" s="175" t="s">
        <v>72</v>
      </c>
      <c r="L305" s="175" t="s">
        <v>73</v>
      </c>
      <c r="M305" s="175">
        <v>-369</v>
      </c>
      <c r="N305" s="176">
        <v>1</v>
      </c>
      <c r="O305" s="176">
        <v>200</v>
      </c>
      <c r="P305" s="175">
        <v>348</v>
      </c>
      <c r="Q305" s="175" t="s">
        <v>75</v>
      </c>
      <c r="R305" s="175" t="s">
        <v>422</v>
      </c>
      <c r="S305" s="177"/>
      <c r="T305" s="177"/>
      <c r="U305" s="175">
        <v>983</v>
      </c>
      <c r="V305" s="178">
        <v>350</v>
      </c>
      <c r="W305" s="179"/>
      <c r="X305" s="177"/>
      <c r="Y305" s="177"/>
      <c r="Z305" s="177"/>
      <c r="AA305" s="177"/>
      <c r="AB305" s="180"/>
      <c r="AC305" s="174">
        <v>160.1</v>
      </c>
      <c r="AD305" s="177">
        <v>-109.9</v>
      </c>
      <c r="AE305" s="177">
        <v>3.94</v>
      </c>
      <c r="AF305" s="177">
        <v>-0.77</v>
      </c>
      <c r="AG305" s="177">
        <v>109.8</v>
      </c>
      <c r="AH305" s="177">
        <v>-110</v>
      </c>
      <c r="AI305" s="177">
        <v>3.71</v>
      </c>
      <c r="AJ305" s="174">
        <v>-0.34</v>
      </c>
      <c r="AK305" s="181"/>
      <c r="AL305" s="182" t="s">
        <v>247</v>
      </c>
      <c r="AM305" s="183"/>
      <c r="AN305" s="182"/>
      <c r="AO305" s="191"/>
      <c r="AP305" s="192"/>
      <c r="AQ305" s="193"/>
      <c r="AR305" s="186"/>
      <c r="AS305" s="187"/>
      <c r="AT305" s="188"/>
      <c r="AU305" s="187"/>
      <c r="AV305" s="187"/>
      <c r="AW305" s="177"/>
      <c r="AX305" s="177"/>
      <c r="AY305" s="177"/>
      <c r="AZ305" s="177"/>
      <c r="BA305" s="187"/>
      <c r="BB305" s="180"/>
      <c r="BC305" s="189"/>
      <c r="BD305" s="189"/>
      <c r="BE305" s="189"/>
      <c r="BF305" s="189"/>
      <c r="BG305" s="189"/>
      <c r="BH305" s="189"/>
      <c r="BI305" s="189"/>
      <c r="BJ305" s="189"/>
      <c r="BK305" s="189"/>
      <c r="BL305" s="189"/>
      <c r="BM305" s="189"/>
      <c r="BN305" s="189"/>
      <c r="BO305" s="189"/>
      <c r="BP305" s="189"/>
      <c r="BQ305" s="189"/>
      <c r="BR305" s="189"/>
    </row>
    <row r="306" spans="1:70" s="190" customFormat="1">
      <c r="A306" s="176">
        <v>304</v>
      </c>
      <c r="F306" s="171">
        <v>43130.807395833333</v>
      </c>
      <c r="G306" s="171">
        <v>43130.808715277781</v>
      </c>
      <c r="H306" s="172">
        <f t="shared" si="369"/>
        <v>1.3194444472901523E-3</v>
      </c>
      <c r="I306" s="173">
        <v>49.8</v>
      </c>
      <c r="J306" s="174" t="s">
        <v>260</v>
      </c>
      <c r="K306" s="175" t="s">
        <v>72</v>
      </c>
      <c r="L306" s="175" t="s">
        <v>73</v>
      </c>
      <c r="M306" s="175">
        <v>-369</v>
      </c>
      <c r="N306" s="176">
        <v>1</v>
      </c>
      <c r="O306" s="176">
        <v>200</v>
      </c>
      <c r="P306" s="175">
        <v>348</v>
      </c>
      <c r="Q306" s="175" t="s">
        <v>75</v>
      </c>
      <c r="R306" s="175" t="s">
        <v>422</v>
      </c>
      <c r="S306" s="177"/>
      <c r="T306" s="177"/>
      <c r="U306" s="175">
        <v>983</v>
      </c>
      <c r="V306" s="178">
        <v>700</v>
      </c>
      <c r="W306" s="179"/>
      <c r="X306" s="177"/>
      <c r="Y306" s="177"/>
      <c r="Z306" s="177"/>
      <c r="AA306" s="177"/>
      <c r="AB306" s="180"/>
      <c r="AC306" s="174">
        <v>160.1</v>
      </c>
      <c r="AD306" s="177">
        <v>-109.9</v>
      </c>
      <c r="AE306" s="177">
        <v>3.94</v>
      </c>
      <c r="AF306" s="177">
        <v>-0.77</v>
      </c>
      <c r="AG306" s="177">
        <v>109.8</v>
      </c>
      <c r="AH306" s="177">
        <v>-110</v>
      </c>
      <c r="AI306" s="177">
        <v>3.71</v>
      </c>
      <c r="AJ306" s="174">
        <v>-0.34</v>
      </c>
      <c r="AK306" s="181"/>
      <c r="AL306" s="182" t="s">
        <v>248</v>
      </c>
      <c r="AM306" s="183"/>
      <c r="AN306" s="182"/>
      <c r="AO306" s="191"/>
      <c r="AP306" s="192"/>
      <c r="AQ306" s="193"/>
      <c r="AR306" s="186"/>
      <c r="AS306" s="187"/>
      <c r="AT306" s="188"/>
      <c r="AU306" s="187"/>
      <c r="AV306" s="187"/>
      <c r="AW306" s="177"/>
      <c r="AX306" s="177"/>
      <c r="AY306" s="177"/>
      <c r="AZ306" s="177"/>
      <c r="BA306" s="187"/>
      <c r="BB306" s="180"/>
      <c r="BC306" s="189"/>
      <c r="BD306" s="189"/>
      <c r="BE306" s="189"/>
      <c r="BF306" s="189"/>
      <c r="BG306" s="189"/>
      <c r="BH306" s="189"/>
      <c r="BI306" s="189"/>
      <c r="BJ306" s="189"/>
      <c r="BK306" s="189"/>
      <c r="BL306" s="189"/>
      <c r="BM306" s="189"/>
      <c r="BN306" s="189"/>
      <c r="BO306" s="189"/>
      <c r="BP306" s="189"/>
      <c r="BQ306" s="189"/>
      <c r="BR306" s="189"/>
    </row>
    <row r="307" spans="1:70" s="190" customFormat="1">
      <c r="A307" s="176">
        <v>305</v>
      </c>
      <c r="F307" s="171">
        <v>43130.808969907404</v>
      </c>
      <c r="G307" s="171">
        <v>43130.810277777775</v>
      </c>
      <c r="H307" s="172">
        <f t="shared" si="369"/>
        <v>1.3078703705104999E-3</v>
      </c>
      <c r="I307" s="173">
        <v>49.8</v>
      </c>
      <c r="J307" s="174" t="s">
        <v>260</v>
      </c>
      <c r="K307" s="175" t="s">
        <v>72</v>
      </c>
      <c r="L307" s="175" t="s">
        <v>73</v>
      </c>
      <c r="M307" s="175">
        <v>-369</v>
      </c>
      <c r="N307" s="176">
        <v>1</v>
      </c>
      <c r="O307" s="176">
        <v>200</v>
      </c>
      <c r="P307" s="175">
        <v>348</v>
      </c>
      <c r="Q307" s="175" t="s">
        <v>75</v>
      </c>
      <c r="R307" s="175" t="s">
        <v>422</v>
      </c>
      <c r="S307" s="177"/>
      <c r="T307" s="177"/>
      <c r="U307" s="175">
        <v>983</v>
      </c>
      <c r="V307" s="178">
        <v>1800</v>
      </c>
      <c r="W307" s="179"/>
      <c r="X307" s="177"/>
      <c r="Y307" s="177"/>
      <c r="Z307" s="177"/>
      <c r="AA307" s="177"/>
      <c r="AB307" s="180"/>
      <c r="AC307" s="174">
        <v>160.1</v>
      </c>
      <c r="AD307" s="177">
        <v>-109.9</v>
      </c>
      <c r="AE307" s="177">
        <v>3.94</v>
      </c>
      <c r="AF307" s="177">
        <v>-0.77</v>
      </c>
      <c r="AG307" s="177">
        <v>109.8</v>
      </c>
      <c r="AH307" s="177">
        <v>-110</v>
      </c>
      <c r="AI307" s="177">
        <v>3.71</v>
      </c>
      <c r="AJ307" s="174">
        <v>-0.34</v>
      </c>
      <c r="AK307" s="181"/>
      <c r="AL307" s="182" t="s">
        <v>249</v>
      </c>
      <c r="AM307" s="183"/>
      <c r="AN307" s="182"/>
      <c r="AO307" s="191"/>
      <c r="AP307" s="192"/>
      <c r="AQ307" s="193"/>
      <c r="AR307" s="186"/>
      <c r="AS307" s="187"/>
      <c r="AT307" s="188"/>
      <c r="AU307" s="187"/>
      <c r="AV307" s="187"/>
      <c r="AW307" s="177"/>
      <c r="AX307" s="177"/>
      <c r="AY307" s="177"/>
      <c r="AZ307" s="177"/>
      <c r="BA307" s="187"/>
      <c r="BB307" s="180"/>
      <c r="BC307" s="189"/>
      <c r="BD307" s="189"/>
      <c r="BE307" s="189"/>
      <c r="BF307" s="189"/>
      <c r="BG307" s="189"/>
      <c r="BH307" s="189"/>
      <c r="BI307" s="189"/>
      <c r="BJ307" s="189"/>
      <c r="BK307" s="189"/>
      <c r="BL307" s="189"/>
      <c r="BM307" s="189"/>
      <c r="BN307" s="189"/>
      <c r="BO307" s="189"/>
      <c r="BP307" s="189"/>
      <c r="BQ307" s="189"/>
      <c r="BR307" s="189"/>
    </row>
    <row r="308" spans="1:70" s="190" customFormat="1">
      <c r="A308" s="176">
        <v>306</v>
      </c>
      <c r="F308" s="171">
        <v>43130.810497685183</v>
      </c>
      <c r="G308" s="171">
        <v>43130.811724537038</v>
      </c>
      <c r="H308" s="172">
        <f t="shared" si="369"/>
        <v>1.2268518548808061E-3</v>
      </c>
      <c r="I308" s="173">
        <v>49.8</v>
      </c>
      <c r="J308" s="174" t="s">
        <v>260</v>
      </c>
      <c r="K308" s="175" t="s">
        <v>72</v>
      </c>
      <c r="L308" s="175" t="s">
        <v>73</v>
      </c>
      <c r="M308" s="175">
        <v>-369</v>
      </c>
      <c r="N308" s="176">
        <v>1</v>
      </c>
      <c r="O308" s="176">
        <v>200</v>
      </c>
      <c r="P308" s="175">
        <v>348</v>
      </c>
      <c r="Q308" s="175" t="s">
        <v>75</v>
      </c>
      <c r="R308" s="175" t="s">
        <v>422</v>
      </c>
      <c r="S308" s="177"/>
      <c r="T308" s="177"/>
      <c r="U308" s="175">
        <v>983</v>
      </c>
      <c r="V308" s="178">
        <v>2150</v>
      </c>
      <c r="W308" s="179"/>
      <c r="X308" s="177"/>
      <c r="Y308" s="177"/>
      <c r="Z308" s="177"/>
      <c r="AA308" s="177"/>
      <c r="AB308" s="180"/>
      <c r="AC308" s="174">
        <v>160.1</v>
      </c>
      <c r="AD308" s="177">
        <v>-109.9</v>
      </c>
      <c r="AE308" s="177">
        <v>3.94</v>
      </c>
      <c r="AF308" s="177">
        <v>-0.77</v>
      </c>
      <c r="AG308" s="177">
        <v>109.8</v>
      </c>
      <c r="AH308" s="177">
        <v>-110</v>
      </c>
      <c r="AI308" s="177">
        <v>3.71</v>
      </c>
      <c r="AJ308" s="174">
        <v>-0.34</v>
      </c>
      <c r="AK308" s="181"/>
      <c r="AL308" s="182" t="s">
        <v>342</v>
      </c>
      <c r="AM308" s="183"/>
      <c r="AN308" s="182"/>
      <c r="AO308" s="191"/>
      <c r="AP308" s="192"/>
      <c r="AQ308" s="193"/>
      <c r="AR308" s="186"/>
      <c r="AS308" s="187"/>
      <c r="AT308" s="188"/>
      <c r="AU308" s="187"/>
      <c r="AV308" s="187"/>
      <c r="AW308" s="177"/>
      <c r="AX308" s="177"/>
      <c r="AY308" s="177"/>
      <c r="AZ308" s="177"/>
      <c r="BA308" s="187"/>
      <c r="BB308" s="180"/>
      <c r="BC308" s="189"/>
      <c r="BD308" s="189"/>
      <c r="BE308" s="189"/>
      <c r="BF308" s="189"/>
      <c r="BG308" s="189"/>
      <c r="BH308" s="189"/>
      <c r="BI308" s="189"/>
      <c r="BJ308" s="189"/>
      <c r="BK308" s="189"/>
      <c r="BL308" s="189"/>
      <c r="BM308" s="189"/>
      <c r="BN308" s="189"/>
      <c r="BO308" s="189"/>
      <c r="BP308" s="189"/>
      <c r="BQ308" s="189"/>
      <c r="BR308" s="189"/>
    </row>
    <row r="309" spans="1:70">
      <c r="A309" s="108">
        <v>307</v>
      </c>
      <c r="F309" s="45">
        <v>43130.812777777777</v>
      </c>
      <c r="G309" s="45">
        <v>43130.853090277778</v>
      </c>
      <c r="H309" s="53">
        <f>G309-F309</f>
        <v>4.0312500001164153E-2</v>
      </c>
      <c r="I309" s="86">
        <v>49.78</v>
      </c>
      <c r="J309" s="109" t="s">
        <v>260</v>
      </c>
      <c r="K309" s="88" t="s">
        <v>72</v>
      </c>
      <c r="L309" s="88" t="s">
        <v>73</v>
      </c>
      <c r="M309" s="88">
        <v>-369</v>
      </c>
      <c r="N309" s="108">
        <v>1</v>
      </c>
      <c r="O309" s="108">
        <v>200</v>
      </c>
      <c r="P309" s="88">
        <v>348</v>
      </c>
      <c r="Q309" s="88" t="s">
        <v>75</v>
      </c>
      <c r="R309" s="88" t="s">
        <v>348</v>
      </c>
      <c r="S309" s="110">
        <v>10000</v>
      </c>
      <c r="T309" s="110">
        <v>957</v>
      </c>
      <c r="U309" s="88">
        <v>983</v>
      </c>
      <c r="V309" s="90">
        <v>1500</v>
      </c>
      <c r="W309" s="111">
        <v>10</v>
      </c>
      <c r="X309" s="110">
        <v>49141</v>
      </c>
      <c r="Y309" s="110">
        <v>849794</v>
      </c>
      <c r="Z309" s="110">
        <v>7123696</v>
      </c>
      <c r="AA309" s="110">
        <v>2146012</v>
      </c>
      <c r="AB309" s="112">
        <v>5002474</v>
      </c>
      <c r="AC309" s="109">
        <v>160.1</v>
      </c>
      <c r="AD309" s="110">
        <v>-109.8</v>
      </c>
      <c r="AE309" s="110">
        <v>3.94</v>
      </c>
      <c r="AF309" s="110">
        <v>-0.77</v>
      </c>
      <c r="AG309" s="110">
        <v>109.8</v>
      </c>
      <c r="AH309" s="110">
        <v>-110.1</v>
      </c>
      <c r="AI309" s="110">
        <v>3.72</v>
      </c>
      <c r="AJ309" s="109">
        <v>-0.34</v>
      </c>
      <c r="AK309" s="113" t="s">
        <v>59</v>
      </c>
      <c r="AL309" s="107" t="s">
        <v>376</v>
      </c>
      <c r="AM309" s="114" t="s">
        <v>399</v>
      </c>
      <c r="AN309" s="107">
        <v>0.95299999999999996</v>
      </c>
      <c r="AO309" s="48">
        <f t="shared" ref="AO309:AO319" si="370">(HOUR(H309)*60*60+MINUTE(H309)*60+SECOND(H309))/5.2*AA309/W309*AN309</f>
        <v>136985682.4151538</v>
      </c>
      <c r="AP309" s="156">
        <f t="shared" ref="AP309:AP319" si="371">AO309*0.7</f>
        <v>95889977.690607652</v>
      </c>
      <c r="AQ309" s="161">
        <f>AP309+AQ273</f>
        <v>6381310458.9595442</v>
      </c>
      <c r="AR309" s="163">
        <f>H309+AR273</f>
        <v>3.1812962962735201</v>
      </c>
      <c r="AS309" s="49">
        <f t="shared" ref="AS309:AS319" si="372">I309*(HOUR(H309)*60+MINUTE(H309))/60/(7*24)</f>
        <v>0.28643253968253973</v>
      </c>
      <c r="AT309" s="165">
        <f>AS309+AT273</f>
        <v>18.807742063492061</v>
      </c>
      <c r="AU309" s="254">
        <f t="shared" ref="AU309:AU319" si="373">AA309/W309*AN309</f>
        <v>204514.9436</v>
      </c>
      <c r="AV309" s="255">
        <f t="shared" ref="AV309:AV319" si="374">AB309/W309+AA309/W309*(1-AN309)</f>
        <v>510333.65640000004</v>
      </c>
      <c r="AW309" s="256">
        <f t="shared" ref="AW309:AW319" si="375">AU309/AV309</f>
        <v>0.40074751299510802</v>
      </c>
    </row>
    <row r="310" spans="1:70">
      <c r="A310" s="108">
        <v>308</v>
      </c>
      <c r="F310" s="45">
        <v>43130.907847222225</v>
      </c>
      <c r="G310" s="45">
        <v>43130.951111111113</v>
      </c>
      <c r="H310" s="53">
        <f>G310-F310-SUM('user time'!J102:J104)</f>
        <v>4.2187499999870703E-2</v>
      </c>
      <c r="I310" s="86">
        <v>49.71</v>
      </c>
      <c r="J310" s="109" t="s">
        <v>260</v>
      </c>
      <c r="K310" s="88" t="s">
        <v>72</v>
      </c>
      <c r="L310" s="88" t="s">
        <v>73</v>
      </c>
      <c r="M310" s="88">
        <v>-369</v>
      </c>
      <c r="N310" s="108">
        <v>1</v>
      </c>
      <c r="O310" s="108">
        <v>200</v>
      </c>
      <c r="P310" s="88">
        <v>348</v>
      </c>
      <c r="Q310" s="88" t="s">
        <v>75</v>
      </c>
      <c r="R310" s="88" t="s">
        <v>348</v>
      </c>
      <c r="S310" s="110">
        <v>10000</v>
      </c>
      <c r="T310" s="110">
        <v>926</v>
      </c>
      <c r="U310" s="88">
        <v>983</v>
      </c>
      <c r="V310" s="90">
        <v>1500</v>
      </c>
      <c r="W310" s="111">
        <v>10</v>
      </c>
      <c r="X310" s="110">
        <v>49188</v>
      </c>
      <c r="Y310" s="110">
        <v>849442</v>
      </c>
      <c r="Z310" s="110">
        <v>6939079</v>
      </c>
      <c r="AA310" s="110">
        <v>2092408</v>
      </c>
      <c r="AB310" s="112">
        <v>4870717</v>
      </c>
      <c r="AC310" s="109">
        <v>160.19999999999999</v>
      </c>
      <c r="AD310" s="110">
        <v>-109.8</v>
      </c>
      <c r="AE310" s="110">
        <v>3.94</v>
      </c>
      <c r="AF310" s="110">
        <v>-0.76</v>
      </c>
      <c r="AG310" s="110">
        <v>109.8</v>
      </c>
      <c r="AH310" s="110">
        <v>-110</v>
      </c>
      <c r="AI310" s="110">
        <v>3.72</v>
      </c>
      <c r="AJ310" s="109">
        <v>-0.33</v>
      </c>
      <c r="AK310" s="113" t="s">
        <v>59</v>
      </c>
      <c r="AL310" s="107" t="s">
        <v>181</v>
      </c>
      <c r="AN310" s="107">
        <v>0.94699999999999995</v>
      </c>
      <c r="AO310" s="48">
        <f t="shared" si="370"/>
        <v>138896256.16384614</v>
      </c>
      <c r="AP310" s="156">
        <f t="shared" si="371"/>
        <v>97227379.314692289</v>
      </c>
      <c r="AQ310" s="161">
        <f t="shared" ref="AQ310:AQ319" si="376">AP310+AQ309</f>
        <v>6478537838.2742367</v>
      </c>
      <c r="AR310" s="163">
        <f t="shared" ref="AR310:AR319" si="377">H310+AR309</f>
        <v>3.2234837962733907</v>
      </c>
      <c r="AS310" s="49">
        <f t="shared" si="372"/>
        <v>0.29589285714285712</v>
      </c>
      <c r="AT310" s="165">
        <f t="shared" ref="AT310:AT319" si="378">AS310+AT309</f>
        <v>19.103634920634917</v>
      </c>
      <c r="AU310" s="254">
        <f t="shared" si="373"/>
        <v>198151.03759999998</v>
      </c>
      <c r="AV310" s="255">
        <f t="shared" si="374"/>
        <v>498161.46240000002</v>
      </c>
      <c r="AW310" s="256">
        <f t="shared" si="375"/>
        <v>0.39776468586181823</v>
      </c>
    </row>
    <row r="311" spans="1:70">
      <c r="A311" s="108">
        <v>309</v>
      </c>
      <c r="F311" s="45">
        <v>43130.951180555552</v>
      </c>
      <c r="G311" s="45">
        <v>43131.007280092592</v>
      </c>
      <c r="H311" s="53">
        <f>G311-F311-'user time'!J105</f>
        <v>4.1018518521180991E-2</v>
      </c>
      <c r="I311" s="86">
        <v>49.79</v>
      </c>
      <c r="J311" s="109" t="s">
        <v>260</v>
      </c>
      <c r="K311" s="88" t="s">
        <v>72</v>
      </c>
      <c r="L311" s="88" t="s">
        <v>73</v>
      </c>
      <c r="M311" s="88">
        <v>-369</v>
      </c>
      <c r="N311" s="108">
        <v>1</v>
      </c>
      <c r="O311" s="108">
        <v>200</v>
      </c>
      <c r="P311" s="88">
        <v>348</v>
      </c>
      <c r="Q311" s="88" t="s">
        <v>75</v>
      </c>
      <c r="R311" s="88" t="s">
        <v>348</v>
      </c>
      <c r="S311" s="110">
        <v>10000</v>
      </c>
      <c r="T311" s="110">
        <v>926</v>
      </c>
      <c r="U311" s="88">
        <v>983</v>
      </c>
      <c r="V311" s="90">
        <v>1500</v>
      </c>
      <c r="W311" s="111">
        <v>10</v>
      </c>
      <c r="X311" s="110">
        <v>49133</v>
      </c>
      <c r="Y311" s="110">
        <v>848955</v>
      </c>
      <c r="Z311" s="110">
        <v>6933322</v>
      </c>
      <c r="AA311" s="110">
        <v>2090545</v>
      </c>
      <c r="AB311" s="112">
        <v>4866849</v>
      </c>
      <c r="AC311" s="109">
        <v>160.19999999999999</v>
      </c>
      <c r="AD311" s="110">
        <v>-109.8</v>
      </c>
      <c r="AE311" s="110">
        <v>3.94</v>
      </c>
      <c r="AF311" s="110">
        <v>-0.76</v>
      </c>
      <c r="AG311" s="110">
        <v>109.8</v>
      </c>
      <c r="AH311" s="110">
        <v>-110</v>
      </c>
      <c r="AI311" s="110">
        <v>3.72</v>
      </c>
      <c r="AJ311" s="109">
        <v>-0.34</v>
      </c>
      <c r="AK311" s="113" t="s">
        <v>59</v>
      </c>
      <c r="AL311" s="107" t="s">
        <v>451</v>
      </c>
      <c r="AN311" s="107">
        <v>0.94599999999999995</v>
      </c>
      <c r="AO311" s="48">
        <f t="shared" si="370"/>
        <v>134784833.46307692</v>
      </c>
      <c r="AP311" s="156">
        <f t="shared" si="371"/>
        <v>94349383.424153835</v>
      </c>
      <c r="AQ311" s="161">
        <f t="shared" si="376"/>
        <v>6572887221.698391</v>
      </c>
      <c r="AR311" s="163">
        <f t="shared" si="377"/>
        <v>3.2645023147945715</v>
      </c>
      <c r="AS311" s="49">
        <f t="shared" si="372"/>
        <v>0.2914295634920635</v>
      </c>
      <c r="AT311" s="165">
        <f t="shared" si="378"/>
        <v>19.39506448412698</v>
      </c>
      <c r="AU311" s="254">
        <f t="shared" si="373"/>
        <v>197765.557</v>
      </c>
      <c r="AV311" s="255">
        <f t="shared" si="374"/>
        <v>497973.84300000005</v>
      </c>
      <c r="AW311" s="256">
        <f t="shared" si="375"/>
        <v>0.39714045181284746</v>
      </c>
    </row>
    <row r="312" spans="1:70">
      <c r="A312" s="108">
        <v>310</v>
      </c>
      <c r="F312" s="45">
        <v>43131.007326388892</v>
      </c>
      <c r="G312" s="45">
        <v>43131.056886574072</v>
      </c>
      <c r="H312" s="53">
        <f>G312-F312-SUM('user time'!J109:J111)</f>
        <v>4.1516203698389556E-2</v>
      </c>
      <c r="I312" s="86">
        <v>49.78</v>
      </c>
      <c r="J312" s="109" t="s">
        <v>260</v>
      </c>
      <c r="K312" s="88" t="s">
        <v>72</v>
      </c>
      <c r="L312" s="88" t="s">
        <v>73</v>
      </c>
      <c r="M312" s="88">
        <v>-369</v>
      </c>
      <c r="N312" s="108">
        <v>1</v>
      </c>
      <c r="O312" s="108">
        <v>200</v>
      </c>
      <c r="P312" s="88">
        <v>348</v>
      </c>
      <c r="Q312" s="88" t="s">
        <v>75</v>
      </c>
      <c r="R312" s="88" t="s">
        <v>348</v>
      </c>
      <c r="S312" s="110">
        <v>10300</v>
      </c>
      <c r="T312" s="110">
        <v>940</v>
      </c>
      <c r="U312" s="88">
        <v>983</v>
      </c>
      <c r="V312" s="90">
        <v>1500</v>
      </c>
      <c r="W312" s="111">
        <v>10</v>
      </c>
      <c r="X312" s="110">
        <v>48626</v>
      </c>
      <c r="Y312" s="110">
        <v>849669</v>
      </c>
      <c r="Z312" s="110">
        <v>6904972</v>
      </c>
      <c r="AA312" s="110">
        <v>2085136</v>
      </c>
      <c r="AB312" s="112">
        <v>4843370</v>
      </c>
      <c r="AC312" s="109">
        <v>160.19999999999999</v>
      </c>
      <c r="AD312" s="110">
        <v>-109.7</v>
      </c>
      <c r="AE312" s="110">
        <v>3.94</v>
      </c>
      <c r="AF312" s="110">
        <v>-0.76</v>
      </c>
      <c r="AG312" s="110">
        <v>109.8</v>
      </c>
      <c r="AH312" s="110">
        <v>-110</v>
      </c>
      <c r="AI312" s="110">
        <v>3.72</v>
      </c>
      <c r="AJ312" s="109">
        <v>-0.33</v>
      </c>
      <c r="AK312" s="113" t="s">
        <v>59</v>
      </c>
      <c r="AL312" s="107" t="s">
        <v>181</v>
      </c>
      <c r="AN312" s="107">
        <v>0.94599999999999995</v>
      </c>
      <c r="AO312" s="48">
        <f t="shared" si="370"/>
        <v>136067233.82830766</v>
      </c>
      <c r="AP312" s="156">
        <f t="shared" si="371"/>
        <v>95247063.679815352</v>
      </c>
      <c r="AQ312" s="161">
        <f t="shared" si="376"/>
        <v>6668134285.3782063</v>
      </c>
      <c r="AR312" s="163">
        <f t="shared" si="377"/>
        <v>3.3060185184929609</v>
      </c>
      <c r="AS312" s="49">
        <f t="shared" si="372"/>
        <v>0.29137103174603174</v>
      </c>
      <c r="AT312" s="165">
        <f t="shared" si="378"/>
        <v>19.686435515873011</v>
      </c>
      <c r="AU312" s="254">
        <f t="shared" si="373"/>
        <v>197253.86559999999</v>
      </c>
      <c r="AV312" s="255">
        <f t="shared" si="374"/>
        <v>495596.73440000002</v>
      </c>
      <c r="AW312" s="256">
        <f t="shared" si="375"/>
        <v>0.39801284372627616</v>
      </c>
    </row>
    <row r="313" spans="1:70">
      <c r="A313" s="108">
        <v>311</v>
      </c>
      <c r="F313" s="45">
        <v>43131.056909722225</v>
      </c>
      <c r="G313" s="45">
        <v>43131.098113425927</v>
      </c>
      <c r="H313" s="53">
        <f>G313-F313-'user time'!J112</f>
        <v>4.0810185183676101E-2</v>
      </c>
      <c r="I313" s="86">
        <v>49.78</v>
      </c>
      <c r="J313" s="109" t="s">
        <v>260</v>
      </c>
      <c r="K313" s="88" t="s">
        <v>72</v>
      </c>
      <c r="L313" s="88" t="s">
        <v>73</v>
      </c>
      <c r="M313" s="88">
        <v>-369</v>
      </c>
      <c r="N313" s="108">
        <v>1</v>
      </c>
      <c r="O313" s="108">
        <v>200</v>
      </c>
      <c r="P313" s="88">
        <v>348</v>
      </c>
      <c r="Q313" s="88" t="s">
        <v>75</v>
      </c>
      <c r="R313" s="88" t="s">
        <v>348</v>
      </c>
      <c r="S313" s="110">
        <v>10300</v>
      </c>
      <c r="T313" s="110">
        <v>919</v>
      </c>
      <c r="U313" s="88">
        <v>983</v>
      </c>
      <c r="V313" s="90">
        <v>1500</v>
      </c>
      <c r="W313" s="111">
        <v>10</v>
      </c>
      <c r="X313" s="110">
        <v>49234</v>
      </c>
      <c r="Y313" s="110">
        <v>851073</v>
      </c>
      <c r="Z313" s="110">
        <v>6911372</v>
      </c>
      <c r="AA313" s="110">
        <v>2082544</v>
      </c>
      <c r="AB313" s="112">
        <v>4852163</v>
      </c>
      <c r="AC313" s="109">
        <v>160.19999999999999</v>
      </c>
      <c r="AD313" s="110">
        <v>-109.8</v>
      </c>
      <c r="AE313" s="110">
        <v>3.94</v>
      </c>
      <c r="AF313" s="110">
        <v>-0.76</v>
      </c>
      <c r="AG313" s="110">
        <v>109.8</v>
      </c>
      <c r="AH313" s="110">
        <v>-110</v>
      </c>
      <c r="AI313" s="110">
        <v>3.72</v>
      </c>
      <c r="AJ313" s="109">
        <v>-0.34</v>
      </c>
      <c r="AK313" s="113" t="s">
        <v>59</v>
      </c>
      <c r="AL313" s="107" t="s">
        <v>181</v>
      </c>
      <c r="AN313" s="107">
        <v>0.94199999999999995</v>
      </c>
      <c r="AO313" s="48">
        <f t="shared" si="370"/>
        <v>133022177.60861538</v>
      </c>
      <c r="AP313" s="156">
        <f t="shared" si="371"/>
        <v>93115524.326030761</v>
      </c>
      <c r="AQ313" s="161">
        <f t="shared" si="376"/>
        <v>6761249809.704237</v>
      </c>
      <c r="AR313" s="163">
        <f t="shared" si="377"/>
        <v>3.3468287036766369</v>
      </c>
      <c r="AS313" s="49">
        <f t="shared" si="372"/>
        <v>0.28643253968253973</v>
      </c>
      <c r="AT313" s="165">
        <f t="shared" si="378"/>
        <v>19.972868055555551</v>
      </c>
      <c r="AU313" s="254">
        <f t="shared" si="373"/>
        <v>196175.64479999998</v>
      </c>
      <c r="AV313" s="255">
        <f t="shared" si="374"/>
        <v>497295.0552</v>
      </c>
      <c r="AW313" s="256">
        <f t="shared" si="375"/>
        <v>0.39448541212842525</v>
      </c>
    </row>
    <row r="314" spans="1:70">
      <c r="A314" s="108">
        <v>312</v>
      </c>
      <c r="F314" s="45">
        <v>43131.09814814815</v>
      </c>
      <c r="G314" s="45">
        <v>43131.138715277775</v>
      </c>
      <c r="H314" s="53">
        <f>G314-F314</f>
        <v>4.0567129624832887E-2</v>
      </c>
      <c r="I314" s="86">
        <v>49.88</v>
      </c>
      <c r="J314" s="109" t="s">
        <v>260</v>
      </c>
      <c r="K314" s="88" t="s">
        <v>72</v>
      </c>
      <c r="L314" s="88" t="s">
        <v>73</v>
      </c>
      <c r="M314" s="88">
        <v>-369</v>
      </c>
      <c r="N314" s="108">
        <v>1</v>
      </c>
      <c r="O314" s="108">
        <v>200</v>
      </c>
      <c r="P314" s="88">
        <v>348</v>
      </c>
      <c r="Q314" s="88" t="s">
        <v>75</v>
      </c>
      <c r="R314" s="88" t="s">
        <v>348</v>
      </c>
      <c r="S314" s="110">
        <v>10300</v>
      </c>
      <c r="T314" s="110">
        <v>929</v>
      </c>
      <c r="U314" s="88">
        <v>983</v>
      </c>
      <c r="V314" s="90">
        <v>1500</v>
      </c>
      <c r="W314" s="111">
        <v>10</v>
      </c>
      <c r="X314" s="110">
        <v>48730</v>
      </c>
      <c r="Y314" s="110">
        <v>850438</v>
      </c>
      <c r="Z314" s="110">
        <v>6854873</v>
      </c>
      <c r="AA314" s="110">
        <v>2072287</v>
      </c>
      <c r="AB314" s="112">
        <v>4806585</v>
      </c>
      <c r="AC314" s="109">
        <v>160.19999999999999</v>
      </c>
      <c r="AD314" s="110">
        <v>-109.8</v>
      </c>
      <c r="AE314" s="110">
        <v>3.94</v>
      </c>
      <c r="AF314" s="110">
        <v>-0.76</v>
      </c>
      <c r="AG314" s="110">
        <v>109.8</v>
      </c>
      <c r="AH314" s="110">
        <v>-110</v>
      </c>
      <c r="AI314" s="110">
        <v>3.72</v>
      </c>
      <c r="AJ314" s="109">
        <v>-0.33</v>
      </c>
      <c r="AK314" s="113" t="s">
        <v>59</v>
      </c>
      <c r="AL314" s="107" t="s">
        <v>181</v>
      </c>
      <c r="AN314" s="107">
        <v>0.93799999999999994</v>
      </c>
      <c r="AO314" s="48">
        <f t="shared" si="370"/>
        <v>131019947.05826923</v>
      </c>
      <c r="AP314" s="156">
        <f t="shared" si="371"/>
        <v>91713962.940788463</v>
      </c>
      <c r="AQ314" s="161">
        <f t="shared" si="376"/>
        <v>6852963772.6450253</v>
      </c>
      <c r="AR314" s="163">
        <f t="shared" si="377"/>
        <v>3.3873958333014698</v>
      </c>
      <c r="AS314" s="49">
        <f t="shared" si="372"/>
        <v>0.28700793650793655</v>
      </c>
      <c r="AT314" s="165">
        <f t="shared" si="378"/>
        <v>20.259875992063488</v>
      </c>
      <c r="AU314" s="254">
        <f t="shared" si="373"/>
        <v>194380.52059999999</v>
      </c>
      <c r="AV314" s="255">
        <f t="shared" si="374"/>
        <v>493506.67940000002</v>
      </c>
      <c r="AW314" s="256">
        <f t="shared" si="375"/>
        <v>0.39387616969303368</v>
      </c>
    </row>
    <row r="315" spans="1:70">
      <c r="A315" s="108">
        <v>313</v>
      </c>
      <c r="F315" s="45">
        <v>43131.139351851853</v>
      </c>
      <c r="G315" s="45">
        <v>43131.19189814815</v>
      </c>
      <c r="H315" s="53">
        <f>G315-F315-SUM('user time'!J114:J117)</f>
        <v>4.0023148149657267E-2</v>
      </c>
      <c r="I315" s="86">
        <v>49.8</v>
      </c>
      <c r="J315" s="109" t="s">
        <v>260</v>
      </c>
      <c r="K315" s="88" t="s">
        <v>72</v>
      </c>
      <c r="L315" s="88" t="s">
        <v>73</v>
      </c>
      <c r="M315" s="88">
        <v>-369</v>
      </c>
      <c r="N315" s="108">
        <v>1</v>
      </c>
      <c r="O315" s="108">
        <v>200</v>
      </c>
      <c r="P315" s="88">
        <v>348</v>
      </c>
      <c r="Q315" s="88" t="s">
        <v>75</v>
      </c>
      <c r="R315" s="88" t="s">
        <v>348</v>
      </c>
      <c r="S315" s="110">
        <v>10400</v>
      </c>
      <c r="T315" s="110">
        <v>934</v>
      </c>
      <c r="U315" s="88">
        <v>983</v>
      </c>
      <c r="V315" s="90">
        <v>1500</v>
      </c>
      <c r="W315" s="111">
        <v>10</v>
      </c>
      <c r="X315" s="110">
        <v>49228</v>
      </c>
      <c r="Y315" s="110">
        <v>850280</v>
      </c>
      <c r="Z315" s="110">
        <v>6911694</v>
      </c>
      <c r="AA315" s="110">
        <v>2097043</v>
      </c>
      <c r="AB315" s="112">
        <v>4838165</v>
      </c>
      <c r="AC315" s="109">
        <v>160.19999999999999</v>
      </c>
      <c r="AD315" s="110">
        <v>-109.8</v>
      </c>
      <c r="AE315" s="110">
        <v>3.94</v>
      </c>
      <c r="AF315" s="110">
        <v>-0.76</v>
      </c>
      <c r="AG315" s="110">
        <v>109.8</v>
      </c>
      <c r="AH315" s="110">
        <v>-110</v>
      </c>
      <c r="AI315" s="110">
        <v>3.72</v>
      </c>
      <c r="AJ315" s="109">
        <v>-0.34</v>
      </c>
      <c r="AK315" s="113" t="s">
        <v>59</v>
      </c>
      <c r="AL315" s="107" t="s">
        <v>181</v>
      </c>
      <c r="AN315" s="107">
        <v>0.95199999999999996</v>
      </c>
      <c r="AO315" s="48">
        <f t="shared" si="370"/>
        <v>132759598.24399999</v>
      </c>
      <c r="AP315" s="156">
        <f t="shared" si="371"/>
        <v>92931718.77079998</v>
      </c>
      <c r="AQ315" s="161">
        <f t="shared" si="376"/>
        <v>6945895491.4158249</v>
      </c>
      <c r="AR315" s="163">
        <f t="shared" si="377"/>
        <v>3.4274189814511269</v>
      </c>
      <c r="AS315" s="49">
        <f t="shared" si="372"/>
        <v>0.28160714285714283</v>
      </c>
      <c r="AT315" s="165">
        <f t="shared" si="378"/>
        <v>20.541483134920632</v>
      </c>
      <c r="AU315" s="254">
        <f t="shared" si="373"/>
        <v>199638.49359999999</v>
      </c>
      <c r="AV315" s="255">
        <f t="shared" si="374"/>
        <v>493882.3064</v>
      </c>
      <c r="AW315" s="256">
        <f t="shared" si="375"/>
        <v>0.40422280979288788</v>
      </c>
    </row>
    <row r="316" spans="1:70">
      <c r="A316" s="108">
        <v>314</v>
      </c>
      <c r="F316" s="45">
        <v>43131.191932870373</v>
      </c>
      <c r="G316" s="45">
        <v>43131.232627314814</v>
      </c>
      <c r="H316" s="53">
        <f>G316-F316</f>
        <v>4.0694444440305233E-2</v>
      </c>
      <c r="I316" s="86">
        <v>49.85</v>
      </c>
      <c r="J316" s="109" t="s">
        <v>260</v>
      </c>
      <c r="K316" s="88" t="s">
        <v>72</v>
      </c>
      <c r="L316" s="88" t="s">
        <v>73</v>
      </c>
      <c r="M316" s="88">
        <v>-369</v>
      </c>
      <c r="N316" s="108">
        <v>1</v>
      </c>
      <c r="O316" s="108">
        <v>200</v>
      </c>
      <c r="P316" s="88">
        <v>348</v>
      </c>
      <c r="Q316" s="88" t="s">
        <v>75</v>
      </c>
      <c r="R316" s="88" t="s">
        <v>348</v>
      </c>
      <c r="S316" s="110">
        <v>10300</v>
      </c>
      <c r="T316" s="110">
        <v>921</v>
      </c>
      <c r="U316" s="88">
        <v>983</v>
      </c>
      <c r="V316" s="90">
        <v>1500</v>
      </c>
      <c r="W316" s="111">
        <v>10</v>
      </c>
      <c r="X316" s="110">
        <v>48819</v>
      </c>
      <c r="Y316" s="110">
        <v>850699</v>
      </c>
      <c r="Z316" s="110">
        <v>6956407</v>
      </c>
      <c r="AA316" s="110">
        <v>2109313</v>
      </c>
      <c r="AB316" s="112">
        <v>4870975</v>
      </c>
      <c r="AC316" s="109">
        <v>160.19999999999999</v>
      </c>
      <c r="AD316" s="110">
        <v>-109.8</v>
      </c>
      <c r="AE316" s="110">
        <v>3.94</v>
      </c>
      <c r="AF316" s="110">
        <v>-0.76</v>
      </c>
      <c r="AG316" s="110">
        <v>109.8</v>
      </c>
      <c r="AH316" s="110">
        <v>-110</v>
      </c>
      <c r="AI316" s="110">
        <v>3.72</v>
      </c>
      <c r="AJ316" s="109">
        <v>-0.34</v>
      </c>
      <c r="AK316" s="113" t="s">
        <v>59</v>
      </c>
      <c r="AL316" s="107" t="s">
        <v>181</v>
      </c>
      <c r="AN316" s="107">
        <v>0.95299999999999996</v>
      </c>
      <c r="AO316" s="48">
        <f t="shared" si="370"/>
        <v>135918775.31007689</v>
      </c>
      <c r="AP316" s="156">
        <f t="shared" si="371"/>
        <v>95143142.717053816</v>
      </c>
      <c r="AQ316" s="161">
        <f t="shared" si="376"/>
        <v>7041038634.1328783</v>
      </c>
      <c r="AR316" s="163">
        <f t="shared" si="377"/>
        <v>3.4681134258914321</v>
      </c>
      <c r="AS316" s="49">
        <f t="shared" si="372"/>
        <v>0.28683531746031748</v>
      </c>
      <c r="AT316" s="165">
        <f t="shared" si="378"/>
        <v>20.828318452380948</v>
      </c>
      <c r="AU316" s="254">
        <f t="shared" si="373"/>
        <v>201017.52889999998</v>
      </c>
      <c r="AV316" s="255">
        <f t="shared" si="374"/>
        <v>497011.27110000001</v>
      </c>
      <c r="AW316" s="256">
        <f t="shared" si="375"/>
        <v>0.40445265648624434</v>
      </c>
    </row>
    <row r="317" spans="1:70">
      <c r="A317" s="108">
        <v>315</v>
      </c>
      <c r="F317" s="45">
        <v>43131.232673611114</v>
      </c>
      <c r="G317" s="45">
        <v>43131.281307870369</v>
      </c>
      <c r="H317" s="53">
        <f>G317-F317-SUM('user time'!J118:J123)</f>
        <v>3.8553240737258992E-2</v>
      </c>
      <c r="I317" s="86">
        <v>49.84</v>
      </c>
      <c r="J317" s="109" t="s">
        <v>260</v>
      </c>
      <c r="K317" s="88" t="s">
        <v>72</v>
      </c>
      <c r="L317" s="88" t="s">
        <v>73</v>
      </c>
      <c r="M317" s="88">
        <v>-369</v>
      </c>
      <c r="N317" s="108">
        <v>1</v>
      </c>
      <c r="O317" s="108">
        <v>200</v>
      </c>
      <c r="P317" s="88">
        <v>348</v>
      </c>
      <c r="Q317" s="88" t="s">
        <v>75</v>
      </c>
      <c r="R317" s="88" t="s">
        <v>348</v>
      </c>
      <c r="S317" s="110">
        <v>10400</v>
      </c>
      <c r="T317" s="110">
        <v>925</v>
      </c>
      <c r="U317" s="88">
        <v>983</v>
      </c>
      <c r="V317" s="90">
        <v>1500</v>
      </c>
      <c r="W317" s="111">
        <v>10</v>
      </c>
      <c r="X317" s="110">
        <v>49109</v>
      </c>
      <c r="Y317" s="110">
        <v>849727</v>
      </c>
      <c r="Z317" s="110">
        <v>6945549</v>
      </c>
      <c r="AA317" s="110">
        <v>2108109</v>
      </c>
      <c r="AB317" s="112">
        <v>4861620</v>
      </c>
      <c r="AC317" s="109">
        <v>160.19999999999999</v>
      </c>
      <c r="AD317" s="110">
        <v>-109.8</v>
      </c>
      <c r="AE317" s="110">
        <v>3.94</v>
      </c>
      <c r="AF317" s="110">
        <v>-0.76</v>
      </c>
      <c r="AG317" s="110">
        <v>109.8</v>
      </c>
      <c r="AH317" s="110">
        <v>-110</v>
      </c>
      <c r="AI317" s="110">
        <v>3.72</v>
      </c>
      <c r="AJ317" s="109">
        <v>-0.34</v>
      </c>
      <c r="AK317" s="113" t="s">
        <v>59</v>
      </c>
      <c r="AL317" s="107" t="s">
        <v>181</v>
      </c>
      <c r="AN317" s="107">
        <v>0.95199999999999996</v>
      </c>
      <c r="AO317" s="48">
        <f t="shared" si="370"/>
        <v>128558648.98476923</v>
      </c>
      <c r="AP317" s="156">
        <f t="shared" si="371"/>
        <v>89991054.289338455</v>
      </c>
      <c r="AQ317" s="161">
        <f t="shared" si="376"/>
        <v>7131029688.4222164</v>
      </c>
      <c r="AR317" s="163">
        <f t="shared" si="377"/>
        <v>3.506666666628691</v>
      </c>
      <c r="AS317" s="49">
        <f t="shared" si="372"/>
        <v>0.27194444444444449</v>
      </c>
      <c r="AT317" s="165">
        <f t="shared" si="378"/>
        <v>21.100262896825392</v>
      </c>
      <c r="AU317" s="254">
        <f t="shared" si="373"/>
        <v>200691.97679999997</v>
      </c>
      <c r="AV317" s="255">
        <f t="shared" si="374"/>
        <v>496280.92320000002</v>
      </c>
      <c r="AW317" s="256">
        <f t="shared" si="375"/>
        <v>0.40439188253690256</v>
      </c>
    </row>
    <row r="318" spans="1:70">
      <c r="A318" s="108">
        <v>316</v>
      </c>
      <c r="F318" s="45">
        <v>43131.281354166669</v>
      </c>
      <c r="G318" s="45">
        <v>43131.317986111113</v>
      </c>
      <c r="H318" s="53">
        <f>G318-F318</f>
        <v>3.6631944443797693E-2</v>
      </c>
      <c r="I318" s="86">
        <v>49.78</v>
      </c>
      <c r="J318" s="109" t="s">
        <v>260</v>
      </c>
      <c r="K318" s="88" t="s">
        <v>72</v>
      </c>
      <c r="L318" s="88" t="s">
        <v>73</v>
      </c>
      <c r="M318" s="88">
        <v>-369</v>
      </c>
      <c r="N318" s="108">
        <v>1</v>
      </c>
      <c r="O318" s="108">
        <v>200</v>
      </c>
      <c r="P318" s="88">
        <v>348</v>
      </c>
      <c r="Q318" s="88" t="s">
        <v>75</v>
      </c>
      <c r="R318" s="88" t="s">
        <v>348</v>
      </c>
      <c r="S318" s="110">
        <v>10300</v>
      </c>
      <c r="T318" s="110">
        <v>927</v>
      </c>
      <c r="U318" s="88">
        <v>983</v>
      </c>
      <c r="V318" s="90">
        <v>1500</v>
      </c>
      <c r="W318" s="111">
        <v>10</v>
      </c>
      <c r="X318" s="110">
        <v>49119</v>
      </c>
      <c r="Y318" s="110">
        <v>849026</v>
      </c>
      <c r="Z318" s="110">
        <v>6967290</v>
      </c>
      <c r="AA318" s="110">
        <v>2114306</v>
      </c>
      <c r="AB318" s="112">
        <v>4876860</v>
      </c>
      <c r="AC318" s="109">
        <v>160.19999999999999</v>
      </c>
      <c r="AD318" s="110">
        <v>-109.8</v>
      </c>
      <c r="AE318" s="110">
        <v>3.94</v>
      </c>
      <c r="AF318" s="110">
        <v>-0.76</v>
      </c>
      <c r="AG318" s="110">
        <v>109.8</v>
      </c>
      <c r="AH318" s="110">
        <v>-110</v>
      </c>
      <c r="AI318" s="110">
        <v>3.72</v>
      </c>
      <c r="AJ318" s="109">
        <v>-0.34</v>
      </c>
      <c r="AK318" s="113" t="s">
        <v>59</v>
      </c>
      <c r="AL318" s="107" t="s">
        <v>376</v>
      </c>
      <c r="AN318" s="107">
        <v>0.94899999999999995</v>
      </c>
      <c r="AO318" s="48">
        <f t="shared" si="370"/>
        <v>122124957.4425</v>
      </c>
      <c r="AP318" s="156">
        <f t="shared" si="371"/>
        <v>85487470.209749997</v>
      </c>
      <c r="AQ318" s="161">
        <f t="shared" si="376"/>
        <v>7216517158.6319666</v>
      </c>
      <c r="AR318" s="163">
        <f t="shared" si="377"/>
        <v>3.5432986110724887</v>
      </c>
      <c r="AS318" s="49">
        <f t="shared" si="372"/>
        <v>0.25680158730158731</v>
      </c>
      <c r="AT318" s="165">
        <f t="shared" si="378"/>
        <v>21.35706448412698</v>
      </c>
      <c r="AU318" s="254">
        <f t="shared" si="373"/>
        <v>200647.63939999999</v>
      </c>
      <c r="AV318" s="255">
        <f t="shared" si="374"/>
        <v>498468.96059999999</v>
      </c>
      <c r="AW318" s="256">
        <f t="shared" si="375"/>
        <v>0.40252785079833914</v>
      </c>
    </row>
    <row r="319" spans="1:70">
      <c r="A319" s="108">
        <v>317</v>
      </c>
      <c r="F319" s="45">
        <v>43131.326979166668</v>
      </c>
      <c r="G319" s="45">
        <v>43131.375023148146</v>
      </c>
      <c r="H319" s="53">
        <f>G319-F319</f>
        <v>4.8043981478258502E-2</v>
      </c>
      <c r="I319" s="86">
        <v>49.75</v>
      </c>
      <c r="J319" s="109" t="s">
        <v>260</v>
      </c>
      <c r="K319" s="88" t="s">
        <v>72</v>
      </c>
      <c r="L319" s="88" t="s">
        <v>73</v>
      </c>
      <c r="M319" s="88">
        <v>-369</v>
      </c>
      <c r="N319" s="108">
        <v>1</v>
      </c>
      <c r="O319" s="108">
        <v>200</v>
      </c>
      <c r="P319" s="88">
        <v>348</v>
      </c>
      <c r="Q319" s="88" t="s">
        <v>75</v>
      </c>
      <c r="R319" s="88" t="s">
        <v>348</v>
      </c>
      <c r="S319" s="110">
        <v>10300</v>
      </c>
      <c r="T319" s="110">
        <v>923</v>
      </c>
      <c r="U319" s="88">
        <v>983</v>
      </c>
      <c r="V319" s="90">
        <v>1500</v>
      </c>
      <c r="W319" s="111">
        <v>10</v>
      </c>
      <c r="X319" s="110">
        <v>48692</v>
      </c>
      <c r="Y319" s="110">
        <v>849689</v>
      </c>
      <c r="Z319" s="110">
        <v>6987933</v>
      </c>
      <c r="AA319" s="110">
        <v>2111073</v>
      </c>
      <c r="AB319" s="112">
        <v>4900587</v>
      </c>
      <c r="AC319" s="109">
        <v>160.19999999999999</v>
      </c>
      <c r="AD319" s="110">
        <v>-109.8</v>
      </c>
      <c r="AE319" s="110">
        <v>3.94</v>
      </c>
      <c r="AF319" s="110">
        <v>-0.76</v>
      </c>
      <c r="AG319" s="110">
        <v>109.8</v>
      </c>
      <c r="AH319" s="110">
        <v>-110</v>
      </c>
      <c r="AI319" s="110">
        <v>3.72</v>
      </c>
      <c r="AJ319" s="109">
        <v>-0.33</v>
      </c>
      <c r="AK319" s="113" t="s">
        <v>59</v>
      </c>
      <c r="AL319" s="107" t="s">
        <v>181</v>
      </c>
      <c r="AN319" s="107">
        <v>0.95099999999999996</v>
      </c>
      <c r="AO319" s="48">
        <f t="shared" si="370"/>
        <v>160262959.34371153</v>
      </c>
      <c r="AP319" s="156">
        <f t="shared" si="371"/>
        <v>112184071.54059806</v>
      </c>
      <c r="AQ319" s="161">
        <f t="shared" si="376"/>
        <v>7328701230.1725645</v>
      </c>
      <c r="AR319" s="163">
        <f t="shared" si="377"/>
        <v>3.5913425925507472</v>
      </c>
      <c r="AS319" s="49">
        <f t="shared" si="372"/>
        <v>0.34055059523809522</v>
      </c>
      <c r="AT319" s="165">
        <f t="shared" si="378"/>
        <v>21.697615079365075</v>
      </c>
      <c r="AU319" s="254">
        <f t="shared" si="373"/>
        <v>200763.04229999997</v>
      </c>
      <c r="AV319" s="255">
        <f t="shared" si="374"/>
        <v>500402.95770000003</v>
      </c>
      <c r="AW319" s="256">
        <f t="shared" si="375"/>
        <v>0.40120274912595699</v>
      </c>
    </row>
    <row r="320" spans="1:70" s="190" customFormat="1">
      <c r="A320" s="176">
        <v>318</v>
      </c>
      <c r="F320" s="171">
        <v>43132.666979166665</v>
      </c>
      <c r="G320" s="171">
        <v>43132.670324074075</v>
      </c>
      <c r="H320" s="172">
        <f>G320-F320</f>
        <v>3.3449074107920751E-3</v>
      </c>
      <c r="I320" s="173">
        <v>50.68</v>
      </c>
      <c r="J320" s="174" t="s">
        <v>260</v>
      </c>
      <c r="K320" s="175" t="s">
        <v>72</v>
      </c>
      <c r="L320" s="175" t="s">
        <v>73</v>
      </c>
      <c r="M320" s="175">
        <v>-369</v>
      </c>
      <c r="N320" s="176">
        <v>1</v>
      </c>
      <c r="O320" s="176">
        <v>200</v>
      </c>
      <c r="P320" s="175">
        <v>348</v>
      </c>
      <c r="Q320" s="175" t="s">
        <v>75</v>
      </c>
      <c r="R320" s="175" t="s">
        <v>438</v>
      </c>
      <c r="S320" s="177"/>
      <c r="T320" s="177"/>
      <c r="U320" s="175">
        <v>983</v>
      </c>
      <c r="V320" s="178">
        <v>1500</v>
      </c>
      <c r="W320" s="179">
        <v>10</v>
      </c>
      <c r="X320" s="177">
        <v>48986</v>
      </c>
      <c r="Y320" s="177">
        <v>864573</v>
      </c>
      <c r="Z320" s="177">
        <v>6576775</v>
      </c>
      <c r="AA320" s="177">
        <v>2078391</v>
      </c>
      <c r="AB320" s="180">
        <v>4519899</v>
      </c>
      <c r="AC320" s="174">
        <v>160.1</v>
      </c>
      <c r="AD320" s="177">
        <v>-109.9</v>
      </c>
      <c r="AE320" s="177">
        <v>3.94</v>
      </c>
      <c r="AF320" s="177">
        <v>-0.76</v>
      </c>
      <c r="AG320" s="177">
        <v>109.8</v>
      </c>
      <c r="AH320" s="177">
        <v>-110</v>
      </c>
      <c r="AI320" s="177">
        <v>3.72</v>
      </c>
      <c r="AJ320" s="174">
        <v>-0.34</v>
      </c>
      <c r="AK320" s="181"/>
      <c r="AL320" s="182" t="s">
        <v>439</v>
      </c>
      <c r="AM320" s="183"/>
      <c r="AN320" s="182"/>
      <c r="AO320" s="191"/>
      <c r="AP320" s="184"/>
      <c r="AQ320" s="193"/>
      <c r="AR320" s="186"/>
      <c r="AS320" s="187"/>
      <c r="AT320" s="188"/>
      <c r="AU320" s="187"/>
      <c r="AV320" s="187"/>
      <c r="AW320" s="177"/>
      <c r="AX320" s="177"/>
      <c r="AY320" s="177"/>
      <c r="AZ320" s="177"/>
      <c r="BA320" s="187"/>
      <c r="BB320" s="180"/>
      <c r="BC320" s="189"/>
      <c r="BD320" s="189"/>
      <c r="BE320" s="189"/>
      <c r="BF320" s="189"/>
      <c r="BG320" s="189"/>
      <c r="BH320" s="189"/>
      <c r="BI320" s="189"/>
      <c r="BJ320" s="189"/>
      <c r="BK320" s="189"/>
      <c r="BL320" s="189"/>
      <c r="BM320" s="189"/>
      <c r="BN320" s="189"/>
      <c r="BO320" s="189"/>
      <c r="BP320" s="189"/>
      <c r="BQ320" s="189"/>
      <c r="BR320" s="189"/>
    </row>
    <row r="321" spans="1:70" s="190" customFormat="1">
      <c r="A321" s="176">
        <v>319</v>
      </c>
      <c r="F321" s="171">
        <v>43132.670648148145</v>
      </c>
      <c r="G321" s="171">
        <v>43132.673182870371</v>
      </c>
      <c r="H321" s="172">
        <f>G321-F321</f>
        <v>2.534722225391306E-3</v>
      </c>
      <c r="I321" s="173">
        <v>50.68</v>
      </c>
      <c r="J321" s="174" t="s">
        <v>260</v>
      </c>
      <c r="K321" s="175" t="s">
        <v>72</v>
      </c>
      <c r="L321" s="175" t="s">
        <v>73</v>
      </c>
      <c r="M321" s="175">
        <v>-369</v>
      </c>
      <c r="N321" s="176">
        <v>1</v>
      </c>
      <c r="O321" s="176">
        <v>200</v>
      </c>
      <c r="P321" s="175">
        <v>348</v>
      </c>
      <c r="Q321" s="175" t="s">
        <v>75</v>
      </c>
      <c r="R321" s="175" t="s">
        <v>441</v>
      </c>
      <c r="S321" s="177"/>
      <c r="T321" s="177"/>
      <c r="U321" s="175">
        <v>983</v>
      </c>
      <c r="V321" s="178">
        <v>1500</v>
      </c>
      <c r="W321" s="179"/>
      <c r="X321" s="177"/>
      <c r="Y321" s="177"/>
      <c r="Z321" s="177"/>
      <c r="AA321" s="177"/>
      <c r="AB321" s="180"/>
      <c r="AC321" s="174">
        <v>160.1</v>
      </c>
      <c r="AD321" s="177">
        <v>-109.9</v>
      </c>
      <c r="AE321" s="177">
        <v>3.94</v>
      </c>
      <c r="AF321" s="177">
        <v>-0.76</v>
      </c>
      <c r="AG321" s="177">
        <v>109.8</v>
      </c>
      <c r="AH321" s="177">
        <v>-110</v>
      </c>
      <c r="AI321" s="177">
        <v>3.72</v>
      </c>
      <c r="AJ321" s="174">
        <v>-0.34</v>
      </c>
      <c r="AK321" s="181"/>
      <c r="AL321" s="182" t="s">
        <v>206</v>
      </c>
      <c r="AM321" s="183"/>
      <c r="AN321" s="182"/>
      <c r="AO321" s="191"/>
      <c r="AP321" s="192"/>
      <c r="AQ321" s="193"/>
      <c r="AR321" s="186"/>
      <c r="AS321" s="187"/>
      <c r="AT321" s="188"/>
      <c r="AU321" s="187"/>
      <c r="AV321" s="187"/>
      <c r="AW321" s="177"/>
      <c r="AX321" s="177"/>
      <c r="AY321" s="177"/>
      <c r="AZ321" s="177"/>
      <c r="BA321" s="187"/>
      <c r="BB321" s="180"/>
      <c r="BC321" s="189"/>
      <c r="BD321" s="189"/>
      <c r="BE321" s="189"/>
      <c r="BF321" s="189"/>
      <c r="BG321" s="189"/>
      <c r="BH321" s="189"/>
      <c r="BI321" s="189"/>
      <c r="BJ321" s="189"/>
      <c r="BK321" s="189"/>
      <c r="BL321" s="189"/>
      <c r="BM321" s="189"/>
      <c r="BN321" s="189"/>
      <c r="BO321" s="189"/>
      <c r="BP321" s="189"/>
      <c r="BQ321" s="189"/>
      <c r="BR321" s="189"/>
    </row>
    <row r="322" spans="1:70" s="190" customFormat="1">
      <c r="A322" s="176">
        <v>320</v>
      </c>
      <c r="F322" s="171">
        <v>43132.673437500001</v>
      </c>
      <c r="G322" s="171">
        <v>43132.67596064815</v>
      </c>
      <c r="H322" s="172">
        <f>G322-F322</f>
        <v>2.5231481486116536E-3</v>
      </c>
      <c r="I322" s="173">
        <v>50.68</v>
      </c>
      <c r="J322" s="174" t="s">
        <v>260</v>
      </c>
      <c r="K322" s="175" t="s">
        <v>72</v>
      </c>
      <c r="L322" s="175" t="s">
        <v>73</v>
      </c>
      <c r="M322" s="175">
        <v>-369</v>
      </c>
      <c r="N322" s="176">
        <v>1</v>
      </c>
      <c r="O322" s="176">
        <v>200</v>
      </c>
      <c r="P322" s="175">
        <v>348</v>
      </c>
      <c r="Q322" s="175" t="s">
        <v>75</v>
      </c>
      <c r="R322" s="175" t="s">
        <v>442</v>
      </c>
      <c r="S322" s="177"/>
      <c r="T322" s="177"/>
      <c r="U322" s="175">
        <v>983</v>
      </c>
      <c r="V322" s="178">
        <v>1500</v>
      </c>
      <c r="W322" s="179"/>
      <c r="X322" s="177"/>
      <c r="Y322" s="177"/>
      <c r="Z322" s="177"/>
      <c r="AA322" s="177"/>
      <c r="AB322" s="180"/>
      <c r="AC322" s="174">
        <v>160.1</v>
      </c>
      <c r="AD322" s="177">
        <v>-109.9</v>
      </c>
      <c r="AE322" s="177">
        <v>3.94</v>
      </c>
      <c r="AF322" s="177">
        <v>-0.76</v>
      </c>
      <c r="AG322" s="177">
        <v>109.8</v>
      </c>
      <c r="AH322" s="177">
        <v>-110</v>
      </c>
      <c r="AI322" s="177">
        <v>3.72</v>
      </c>
      <c r="AJ322" s="174">
        <v>-0.34</v>
      </c>
      <c r="AK322" s="181"/>
      <c r="AL322" s="182" t="s">
        <v>207</v>
      </c>
      <c r="AM322" s="183"/>
      <c r="AN322" s="182"/>
      <c r="AO322" s="191"/>
      <c r="AP322" s="192"/>
      <c r="AQ322" s="193"/>
      <c r="AR322" s="186"/>
      <c r="AS322" s="187"/>
      <c r="AT322" s="188"/>
      <c r="AU322" s="187"/>
      <c r="AV322" s="187"/>
      <c r="AW322" s="177"/>
      <c r="AX322" s="177"/>
      <c r="AY322" s="177"/>
      <c r="AZ322" s="177"/>
      <c r="BA322" s="187"/>
      <c r="BB322" s="180"/>
      <c r="BC322" s="189"/>
      <c r="BD322" s="189"/>
      <c r="BE322" s="189"/>
      <c r="BF322" s="189"/>
      <c r="BG322" s="189"/>
      <c r="BH322" s="189"/>
      <c r="BI322" s="189"/>
      <c r="BJ322" s="189"/>
      <c r="BK322" s="189"/>
      <c r="BL322" s="189"/>
      <c r="BM322" s="189"/>
      <c r="BN322" s="189"/>
      <c r="BO322" s="189"/>
      <c r="BP322" s="189"/>
      <c r="BQ322" s="189"/>
      <c r="BR322" s="189"/>
    </row>
    <row r="323" spans="1:70" s="149" customFormat="1">
      <c r="A323" s="138">
        <v>321</v>
      </c>
      <c r="F323" s="133"/>
      <c r="G323" s="133"/>
      <c r="H323" s="134"/>
      <c r="I323" s="135"/>
      <c r="J323" s="136"/>
      <c r="K323" s="137"/>
      <c r="L323" s="137"/>
      <c r="M323" s="137"/>
      <c r="N323" s="138"/>
      <c r="O323" s="138"/>
      <c r="P323" s="137"/>
      <c r="Q323" s="137"/>
      <c r="R323" s="137"/>
      <c r="S323" s="139"/>
      <c r="T323" s="139"/>
      <c r="U323" s="137"/>
      <c r="V323" s="140"/>
      <c r="W323" s="141"/>
      <c r="X323" s="139"/>
      <c r="Y323" s="139"/>
      <c r="Z323" s="139"/>
      <c r="AA323" s="139"/>
      <c r="AB323" s="142"/>
      <c r="AC323" s="136"/>
      <c r="AD323" s="139"/>
      <c r="AE323" s="139"/>
      <c r="AF323" s="139"/>
      <c r="AG323" s="139"/>
      <c r="AH323" s="139"/>
      <c r="AI323" s="139"/>
      <c r="AJ323" s="136"/>
      <c r="AK323" s="143"/>
      <c r="AL323" s="144" t="s">
        <v>440</v>
      </c>
      <c r="AM323" s="145"/>
      <c r="AN323" s="144"/>
      <c r="AO323" s="151"/>
      <c r="AP323" s="152"/>
      <c r="AQ323" s="160"/>
      <c r="AR323" s="162"/>
      <c r="AS323" s="147"/>
      <c r="AT323" s="164"/>
      <c r="AU323" s="147"/>
      <c r="AV323" s="147"/>
      <c r="AW323" s="139"/>
      <c r="AX323" s="139"/>
      <c r="AY323" s="139"/>
      <c r="AZ323" s="139"/>
      <c r="BA323" s="147"/>
      <c r="BB323" s="142"/>
      <c r="BC323" s="148"/>
      <c r="BD323" s="148"/>
      <c r="BE323" s="148"/>
      <c r="BF323" s="148"/>
      <c r="BG323" s="148"/>
      <c r="BH323" s="148"/>
      <c r="BI323" s="148"/>
      <c r="BJ323" s="148"/>
      <c r="BK323" s="148"/>
      <c r="BL323" s="148"/>
      <c r="BM323" s="148"/>
      <c r="BN323" s="148"/>
      <c r="BO323" s="148"/>
      <c r="BP323" s="148"/>
      <c r="BQ323" s="148"/>
      <c r="BR323" s="148"/>
    </row>
    <row r="324" spans="1:70" s="190" customFormat="1">
      <c r="A324" s="176">
        <v>322</v>
      </c>
      <c r="F324" s="171">
        <v>43132.715208333335</v>
      </c>
      <c r="G324" s="171">
        <v>43132.716458333336</v>
      </c>
      <c r="H324" s="172">
        <f>G324-F324</f>
        <v>1.2500000011641532E-3</v>
      </c>
      <c r="I324" s="173">
        <v>50.81</v>
      </c>
      <c r="J324" s="174" t="s">
        <v>260</v>
      </c>
      <c r="K324" s="175" t="s">
        <v>72</v>
      </c>
      <c r="L324" s="175" t="s">
        <v>73</v>
      </c>
      <c r="M324" s="175">
        <v>-369</v>
      </c>
      <c r="N324" s="176">
        <v>1</v>
      </c>
      <c r="O324" s="176">
        <v>200</v>
      </c>
      <c r="P324" s="175">
        <v>420</v>
      </c>
      <c r="Q324" s="175" t="s">
        <v>150</v>
      </c>
      <c r="R324" s="175" t="s">
        <v>438</v>
      </c>
      <c r="S324" s="177"/>
      <c r="T324" s="177"/>
      <c r="U324" s="175">
        <v>983</v>
      </c>
      <c r="V324" s="178">
        <v>-1900</v>
      </c>
      <c r="W324" s="179"/>
      <c r="X324" s="177"/>
      <c r="Y324" s="177"/>
      <c r="Z324" s="177"/>
      <c r="AA324" s="177"/>
      <c r="AB324" s="180"/>
      <c r="AC324" s="174">
        <v>160.1</v>
      </c>
      <c r="AD324" s="177">
        <v>-109.9</v>
      </c>
      <c r="AE324" s="177">
        <v>3.94</v>
      </c>
      <c r="AF324" s="177">
        <v>-0.76</v>
      </c>
      <c r="AG324" s="177">
        <v>109.8</v>
      </c>
      <c r="AH324" s="177">
        <v>-110</v>
      </c>
      <c r="AI324" s="177">
        <v>3.72</v>
      </c>
      <c r="AJ324" s="174">
        <v>-0.35</v>
      </c>
      <c r="AK324" s="181"/>
      <c r="AL324" s="182" t="s">
        <v>189</v>
      </c>
      <c r="AM324" s="183"/>
      <c r="AN324" s="182"/>
      <c r="AO324" s="191"/>
      <c r="AP324" s="192"/>
      <c r="AQ324" s="193"/>
      <c r="AR324" s="186"/>
      <c r="AS324" s="187"/>
      <c r="AT324" s="188"/>
      <c r="AU324" s="187"/>
      <c r="AV324" s="187"/>
      <c r="AW324" s="177"/>
      <c r="AX324" s="177"/>
      <c r="AY324" s="177"/>
      <c r="AZ324" s="177"/>
      <c r="BA324" s="187"/>
      <c r="BB324" s="180"/>
      <c r="BC324" s="189"/>
      <c r="BD324" s="189"/>
      <c r="BE324" s="189"/>
      <c r="BF324" s="189"/>
      <c r="BG324" s="189"/>
      <c r="BH324" s="189"/>
      <c r="BI324" s="189"/>
      <c r="BJ324" s="189"/>
      <c r="BK324" s="189"/>
      <c r="BL324" s="189"/>
      <c r="BM324" s="189"/>
      <c r="BN324" s="189"/>
      <c r="BO324" s="189"/>
      <c r="BP324" s="189"/>
      <c r="BQ324" s="189"/>
      <c r="BR324" s="189"/>
    </row>
    <row r="325" spans="1:70" s="190" customFormat="1">
      <c r="A325" s="176">
        <v>323</v>
      </c>
      <c r="F325" s="171">
        <v>43132.716585648152</v>
      </c>
      <c r="G325" s="171">
        <v>43132.717847222222</v>
      </c>
      <c r="H325" s="172">
        <f t="shared" ref="H325:H330" si="379">G325-F325</f>
        <v>1.261574070667848E-3</v>
      </c>
      <c r="I325" s="173">
        <v>50.81</v>
      </c>
      <c r="J325" s="174" t="s">
        <v>260</v>
      </c>
      <c r="K325" s="175" t="s">
        <v>72</v>
      </c>
      <c r="L325" s="175" t="s">
        <v>73</v>
      </c>
      <c r="M325" s="175">
        <v>-369</v>
      </c>
      <c r="N325" s="176">
        <v>1</v>
      </c>
      <c r="O325" s="176">
        <v>200</v>
      </c>
      <c r="P325" s="175">
        <v>420</v>
      </c>
      <c r="Q325" s="175" t="s">
        <v>150</v>
      </c>
      <c r="R325" s="175" t="s">
        <v>438</v>
      </c>
      <c r="S325" s="177"/>
      <c r="T325" s="177"/>
      <c r="U325" s="175">
        <v>983</v>
      </c>
      <c r="V325" s="178">
        <v>-1550</v>
      </c>
      <c r="W325" s="179"/>
      <c r="X325" s="177"/>
      <c r="Y325" s="177"/>
      <c r="Z325" s="177"/>
      <c r="AA325" s="177"/>
      <c r="AB325" s="180"/>
      <c r="AC325" s="174">
        <v>160.1</v>
      </c>
      <c r="AD325" s="177">
        <v>-109.9</v>
      </c>
      <c r="AE325" s="177">
        <v>3.94</v>
      </c>
      <c r="AF325" s="177">
        <v>-0.76</v>
      </c>
      <c r="AG325" s="177">
        <v>109.8</v>
      </c>
      <c r="AH325" s="177">
        <v>-110</v>
      </c>
      <c r="AI325" s="177">
        <v>3.72</v>
      </c>
      <c r="AJ325" s="174">
        <v>-0.35</v>
      </c>
      <c r="AK325" s="181"/>
      <c r="AL325" s="182" t="s">
        <v>190</v>
      </c>
      <c r="AM325" s="183"/>
      <c r="AN325" s="182"/>
      <c r="AO325" s="191"/>
      <c r="AP325" s="192"/>
      <c r="AQ325" s="193"/>
      <c r="AR325" s="186"/>
      <c r="AS325" s="187"/>
      <c r="AT325" s="188"/>
      <c r="AU325" s="187"/>
      <c r="AV325" s="187"/>
      <c r="AW325" s="177"/>
      <c r="AX325" s="177"/>
      <c r="AY325" s="177"/>
      <c r="AZ325" s="177"/>
      <c r="BA325" s="187"/>
      <c r="BB325" s="180"/>
      <c r="BC325" s="189"/>
      <c r="BD325" s="189"/>
      <c r="BE325" s="189"/>
      <c r="BF325" s="189"/>
      <c r="BG325" s="189"/>
      <c r="BH325" s="189"/>
      <c r="BI325" s="189"/>
      <c r="BJ325" s="189"/>
      <c r="BK325" s="189"/>
      <c r="BL325" s="189"/>
      <c r="BM325" s="189"/>
      <c r="BN325" s="189"/>
      <c r="BO325" s="189"/>
      <c r="BP325" s="189"/>
      <c r="BQ325" s="189"/>
      <c r="BR325" s="189"/>
    </row>
    <row r="326" spans="1:70" s="190" customFormat="1">
      <c r="A326" s="176">
        <v>324</v>
      </c>
      <c r="F326" s="171">
        <v>43132.718009259261</v>
      </c>
      <c r="G326" s="171">
        <v>43132.719282407408</v>
      </c>
      <c r="H326" s="172">
        <f t="shared" si="379"/>
        <v>1.2731481474475004E-3</v>
      </c>
      <c r="I326" s="173">
        <v>50.81</v>
      </c>
      <c r="J326" s="174" t="s">
        <v>260</v>
      </c>
      <c r="K326" s="175" t="s">
        <v>72</v>
      </c>
      <c r="L326" s="175" t="s">
        <v>73</v>
      </c>
      <c r="M326" s="175">
        <v>-369</v>
      </c>
      <c r="N326" s="176">
        <v>1</v>
      </c>
      <c r="O326" s="176">
        <v>200</v>
      </c>
      <c r="P326" s="175">
        <v>420</v>
      </c>
      <c r="Q326" s="175" t="s">
        <v>150</v>
      </c>
      <c r="R326" s="175" t="s">
        <v>438</v>
      </c>
      <c r="S326" s="177"/>
      <c r="T326" s="177"/>
      <c r="U326" s="175">
        <v>983</v>
      </c>
      <c r="V326" s="178">
        <v>-1200</v>
      </c>
      <c r="W326" s="179"/>
      <c r="X326" s="177"/>
      <c r="Y326" s="177"/>
      <c r="Z326" s="177"/>
      <c r="AA326" s="177"/>
      <c r="AB326" s="180"/>
      <c r="AC326" s="174">
        <v>160.1</v>
      </c>
      <c r="AD326" s="177">
        <v>-109.9</v>
      </c>
      <c r="AE326" s="177">
        <v>3.94</v>
      </c>
      <c r="AF326" s="177">
        <v>-0.76</v>
      </c>
      <c r="AG326" s="177">
        <v>109.8</v>
      </c>
      <c r="AH326" s="177">
        <v>-110</v>
      </c>
      <c r="AI326" s="177">
        <v>3.72</v>
      </c>
      <c r="AJ326" s="174">
        <v>-0.35</v>
      </c>
      <c r="AK326" s="181"/>
      <c r="AL326" s="182" t="s">
        <v>191</v>
      </c>
      <c r="AM326" s="183"/>
      <c r="AN326" s="182"/>
      <c r="AO326" s="191"/>
      <c r="AP326" s="192"/>
      <c r="AQ326" s="193"/>
      <c r="AR326" s="186"/>
      <c r="AS326" s="187"/>
      <c r="AT326" s="188"/>
      <c r="AU326" s="187"/>
      <c r="AV326" s="187"/>
      <c r="AW326" s="177"/>
      <c r="AX326" s="177"/>
      <c r="AY326" s="177"/>
      <c r="AZ326" s="177"/>
      <c r="BA326" s="187"/>
      <c r="BB326" s="180"/>
      <c r="BC326" s="189"/>
      <c r="BD326" s="189"/>
      <c r="BE326" s="189"/>
      <c r="BF326" s="189"/>
      <c r="BG326" s="189"/>
      <c r="BH326" s="189"/>
      <c r="BI326" s="189"/>
      <c r="BJ326" s="189"/>
      <c r="BK326" s="189"/>
      <c r="BL326" s="189"/>
      <c r="BM326" s="189"/>
      <c r="BN326" s="189"/>
      <c r="BO326" s="189"/>
      <c r="BP326" s="189"/>
      <c r="BQ326" s="189"/>
      <c r="BR326" s="189"/>
    </row>
    <row r="327" spans="1:70" s="190" customFormat="1">
      <c r="A327" s="176">
        <v>325</v>
      </c>
      <c r="F327" s="171">
        <v>43132.71943287037</v>
      </c>
      <c r="G327" s="171">
        <v>43132.720671296294</v>
      </c>
      <c r="H327" s="172">
        <f t="shared" si="379"/>
        <v>1.2384259243845008E-3</v>
      </c>
      <c r="I327" s="173">
        <v>50.81</v>
      </c>
      <c r="J327" s="174" t="s">
        <v>260</v>
      </c>
      <c r="K327" s="175" t="s">
        <v>72</v>
      </c>
      <c r="L327" s="175" t="s">
        <v>73</v>
      </c>
      <c r="M327" s="175">
        <v>-369</v>
      </c>
      <c r="N327" s="176">
        <v>1</v>
      </c>
      <c r="O327" s="176">
        <v>200</v>
      </c>
      <c r="P327" s="175">
        <v>420</v>
      </c>
      <c r="Q327" s="175" t="s">
        <v>150</v>
      </c>
      <c r="R327" s="175" t="s">
        <v>438</v>
      </c>
      <c r="S327" s="177"/>
      <c r="T327" s="177"/>
      <c r="U327" s="175">
        <v>983</v>
      </c>
      <c r="V327" s="178">
        <v>-900</v>
      </c>
      <c r="W327" s="179"/>
      <c r="X327" s="177"/>
      <c r="Y327" s="177"/>
      <c r="Z327" s="177"/>
      <c r="AA327" s="177"/>
      <c r="AB327" s="180"/>
      <c r="AC327" s="174">
        <v>160.1</v>
      </c>
      <c r="AD327" s="177">
        <v>-109.9</v>
      </c>
      <c r="AE327" s="177">
        <v>3.94</v>
      </c>
      <c r="AF327" s="177">
        <v>-0.76</v>
      </c>
      <c r="AG327" s="177">
        <v>109.8</v>
      </c>
      <c r="AH327" s="177">
        <v>-110</v>
      </c>
      <c r="AI327" s="177">
        <v>3.72</v>
      </c>
      <c r="AJ327" s="174">
        <v>-0.35</v>
      </c>
      <c r="AK327" s="181"/>
      <c r="AL327" s="182" t="s">
        <v>192</v>
      </c>
      <c r="AM327" s="183"/>
      <c r="AN327" s="182"/>
      <c r="AO327" s="191"/>
      <c r="AP327" s="184"/>
      <c r="AQ327" s="193"/>
      <c r="AR327" s="186"/>
      <c r="AS327" s="187"/>
      <c r="AT327" s="188"/>
      <c r="AU327" s="187"/>
      <c r="AV327" s="187"/>
      <c r="AW327" s="177"/>
      <c r="AX327" s="177"/>
      <c r="AY327" s="177"/>
      <c r="AZ327" s="177"/>
      <c r="BA327" s="187"/>
      <c r="BB327" s="180"/>
      <c r="BC327" s="189"/>
      <c r="BD327" s="189"/>
      <c r="BE327" s="189"/>
      <c r="BF327" s="189"/>
      <c r="BG327" s="189"/>
      <c r="BH327" s="189"/>
      <c r="BI327" s="189"/>
      <c r="BJ327" s="189"/>
      <c r="BK327" s="189"/>
      <c r="BL327" s="189"/>
      <c r="BM327" s="189"/>
      <c r="BN327" s="189"/>
      <c r="BO327" s="189"/>
      <c r="BP327" s="189"/>
      <c r="BQ327" s="189"/>
      <c r="BR327" s="189"/>
    </row>
    <row r="328" spans="1:70" s="190" customFormat="1">
      <c r="A328" s="176">
        <v>326</v>
      </c>
      <c r="F328" s="171">
        <v>43132.720833333333</v>
      </c>
      <c r="G328" s="171">
        <v>43132.722060185188</v>
      </c>
      <c r="H328" s="172">
        <f t="shared" si="379"/>
        <v>1.2268518548808061E-3</v>
      </c>
      <c r="I328" s="173">
        <v>50.81</v>
      </c>
      <c r="J328" s="174" t="s">
        <v>260</v>
      </c>
      <c r="K328" s="175" t="s">
        <v>72</v>
      </c>
      <c r="L328" s="175" t="s">
        <v>73</v>
      </c>
      <c r="M328" s="175">
        <v>-369</v>
      </c>
      <c r="N328" s="176">
        <v>1</v>
      </c>
      <c r="O328" s="176">
        <v>200</v>
      </c>
      <c r="P328" s="175">
        <v>420</v>
      </c>
      <c r="Q328" s="175" t="s">
        <v>150</v>
      </c>
      <c r="R328" s="175" t="s">
        <v>438</v>
      </c>
      <c r="S328" s="177"/>
      <c r="T328" s="177"/>
      <c r="U328" s="175">
        <v>983</v>
      </c>
      <c r="V328" s="178">
        <v>-600</v>
      </c>
      <c r="W328" s="179"/>
      <c r="X328" s="177"/>
      <c r="Y328" s="177"/>
      <c r="Z328" s="177"/>
      <c r="AA328" s="177"/>
      <c r="AB328" s="180"/>
      <c r="AC328" s="174">
        <v>160.1</v>
      </c>
      <c r="AD328" s="177">
        <v>-109.9</v>
      </c>
      <c r="AE328" s="177">
        <v>3.94</v>
      </c>
      <c r="AF328" s="177">
        <v>-0.76</v>
      </c>
      <c r="AG328" s="177">
        <v>109.8</v>
      </c>
      <c r="AH328" s="177">
        <v>-110</v>
      </c>
      <c r="AI328" s="177">
        <v>3.72</v>
      </c>
      <c r="AJ328" s="174">
        <v>-0.35</v>
      </c>
      <c r="AK328" s="181"/>
      <c r="AL328" s="182" t="s">
        <v>193</v>
      </c>
      <c r="AM328" s="183"/>
      <c r="AN328" s="182"/>
      <c r="AO328" s="191"/>
      <c r="AP328" s="184"/>
      <c r="AQ328" s="193"/>
      <c r="AR328" s="186"/>
      <c r="AS328" s="187"/>
      <c r="AT328" s="188"/>
      <c r="AU328" s="187"/>
      <c r="AV328" s="187"/>
      <c r="AW328" s="177"/>
      <c r="AX328" s="177"/>
      <c r="AY328" s="177"/>
      <c r="AZ328" s="177"/>
      <c r="BA328" s="187"/>
      <c r="BB328" s="180"/>
      <c r="BC328" s="189"/>
      <c r="BD328" s="189"/>
      <c r="BE328" s="189"/>
      <c r="BF328" s="189"/>
      <c r="BG328" s="189"/>
      <c r="BH328" s="189"/>
      <c r="BI328" s="189"/>
      <c r="BJ328" s="189"/>
      <c r="BK328" s="189"/>
      <c r="BL328" s="189"/>
      <c r="BM328" s="189"/>
      <c r="BN328" s="189"/>
      <c r="BO328" s="189"/>
      <c r="BP328" s="189"/>
      <c r="BQ328" s="189"/>
      <c r="BR328" s="189"/>
    </row>
    <row r="329" spans="1:70" s="190" customFormat="1">
      <c r="A329" s="176">
        <v>327</v>
      </c>
      <c r="F329" s="171">
        <v>43132.722187500003</v>
      </c>
      <c r="G329" s="171">
        <v>43132.723437499997</v>
      </c>
      <c r="H329" s="172">
        <f t="shared" si="379"/>
        <v>1.2499999938881956E-3</v>
      </c>
      <c r="I329" s="173">
        <v>50.81</v>
      </c>
      <c r="J329" s="174" t="s">
        <v>260</v>
      </c>
      <c r="K329" s="175" t="s">
        <v>72</v>
      </c>
      <c r="L329" s="175" t="s">
        <v>73</v>
      </c>
      <c r="M329" s="175">
        <v>-369</v>
      </c>
      <c r="N329" s="176">
        <v>1</v>
      </c>
      <c r="O329" s="176">
        <v>200</v>
      </c>
      <c r="P329" s="175">
        <v>420</v>
      </c>
      <c r="Q329" s="175" t="s">
        <v>150</v>
      </c>
      <c r="R329" s="175" t="s">
        <v>438</v>
      </c>
      <c r="S329" s="177"/>
      <c r="T329" s="177"/>
      <c r="U329" s="175">
        <v>983</v>
      </c>
      <c r="V329" s="178">
        <v>-300</v>
      </c>
      <c r="W329" s="179"/>
      <c r="X329" s="177"/>
      <c r="Y329" s="177"/>
      <c r="Z329" s="177"/>
      <c r="AA329" s="177"/>
      <c r="AB329" s="180"/>
      <c r="AC329" s="174">
        <v>160.1</v>
      </c>
      <c r="AD329" s="177">
        <v>-109.9</v>
      </c>
      <c r="AE329" s="177">
        <v>3.94</v>
      </c>
      <c r="AF329" s="177">
        <v>-0.76</v>
      </c>
      <c r="AG329" s="177">
        <v>109.8</v>
      </c>
      <c r="AH329" s="177">
        <v>-110</v>
      </c>
      <c r="AI329" s="177">
        <v>3.72</v>
      </c>
      <c r="AJ329" s="174">
        <v>-0.35</v>
      </c>
      <c r="AK329" s="181"/>
      <c r="AL329" s="182" t="s">
        <v>194</v>
      </c>
      <c r="AM329" s="183"/>
      <c r="AN329" s="182"/>
      <c r="AO329" s="191"/>
      <c r="AP329" s="184"/>
      <c r="AQ329" s="193"/>
      <c r="AR329" s="186"/>
      <c r="AS329" s="187"/>
      <c r="AT329" s="188"/>
      <c r="AU329" s="187"/>
      <c r="AV329" s="187"/>
      <c r="AW329" s="177"/>
      <c r="AX329" s="177"/>
      <c r="AY329" s="177"/>
      <c r="AZ329" s="177"/>
      <c r="BA329" s="187"/>
      <c r="BB329" s="180"/>
      <c r="BC329" s="189"/>
      <c r="BD329" s="189"/>
      <c r="BE329" s="189"/>
      <c r="BF329" s="189"/>
      <c r="BG329" s="189"/>
      <c r="BH329" s="189"/>
      <c r="BI329" s="189"/>
      <c r="BJ329" s="189"/>
      <c r="BK329" s="189"/>
      <c r="BL329" s="189"/>
      <c r="BM329" s="189"/>
      <c r="BN329" s="189"/>
      <c r="BO329" s="189"/>
      <c r="BP329" s="189"/>
      <c r="BQ329" s="189"/>
      <c r="BR329" s="189"/>
    </row>
    <row r="330" spans="1:70" s="190" customFormat="1">
      <c r="A330" s="176">
        <v>328</v>
      </c>
      <c r="F330" s="171">
        <v>43132.723668981482</v>
      </c>
      <c r="G330" s="171">
        <v>43132.724942129629</v>
      </c>
      <c r="H330" s="172">
        <f t="shared" si="379"/>
        <v>1.2731481474475004E-3</v>
      </c>
      <c r="I330" s="173">
        <v>50.81</v>
      </c>
      <c r="J330" s="174" t="s">
        <v>260</v>
      </c>
      <c r="K330" s="175" t="s">
        <v>72</v>
      </c>
      <c r="L330" s="175" t="s">
        <v>73</v>
      </c>
      <c r="M330" s="175">
        <v>-369</v>
      </c>
      <c r="N330" s="176">
        <v>1</v>
      </c>
      <c r="O330" s="176">
        <v>200</v>
      </c>
      <c r="P330" s="175">
        <v>420</v>
      </c>
      <c r="Q330" s="175" t="s">
        <v>150</v>
      </c>
      <c r="R330" s="175" t="s">
        <v>438</v>
      </c>
      <c r="S330" s="177"/>
      <c r="T330" s="177"/>
      <c r="U330" s="175">
        <v>983</v>
      </c>
      <c r="V330" s="178">
        <v>0</v>
      </c>
      <c r="W330" s="179"/>
      <c r="X330" s="177"/>
      <c r="Y330" s="177"/>
      <c r="Z330" s="177"/>
      <c r="AA330" s="177"/>
      <c r="AB330" s="180"/>
      <c r="AC330" s="174">
        <v>160.1</v>
      </c>
      <c r="AD330" s="177">
        <v>-109.9</v>
      </c>
      <c r="AE330" s="177">
        <v>3.94</v>
      </c>
      <c r="AF330" s="177">
        <v>-0.76</v>
      </c>
      <c r="AG330" s="177">
        <v>109.8</v>
      </c>
      <c r="AH330" s="177">
        <v>-110</v>
      </c>
      <c r="AI330" s="177">
        <v>3.72</v>
      </c>
      <c r="AJ330" s="174">
        <v>-0.35</v>
      </c>
      <c r="AK330" s="181"/>
      <c r="AL330" s="182" t="s">
        <v>195</v>
      </c>
      <c r="AM330" s="183"/>
      <c r="AN330" s="182"/>
      <c r="AO330" s="191"/>
      <c r="AP330" s="184"/>
      <c r="AQ330" s="193"/>
      <c r="AR330" s="186"/>
      <c r="AS330" s="187"/>
      <c r="AT330" s="188"/>
      <c r="AU330" s="187"/>
      <c r="AV330" s="187"/>
      <c r="AW330" s="177"/>
      <c r="AX330" s="177"/>
      <c r="AY330" s="177"/>
      <c r="AZ330" s="177"/>
      <c r="BA330" s="187"/>
      <c r="BB330" s="180"/>
      <c r="BC330" s="189"/>
      <c r="BD330" s="189"/>
      <c r="BE330" s="189"/>
      <c r="BF330" s="189"/>
      <c r="BG330" s="189"/>
      <c r="BH330" s="189"/>
      <c r="BI330" s="189"/>
      <c r="BJ330" s="189"/>
      <c r="BK330" s="189"/>
      <c r="BL330" s="189"/>
      <c r="BM330" s="189"/>
      <c r="BN330" s="189"/>
      <c r="BO330" s="189"/>
      <c r="BP330" s="189"/>
      <c r="BQ330" s="189"/>
      <c r="BR330" s="189"/>
    </row>
    <row r="331" spans="1:70" s="149" customFormat="1">
      <c r="A331" s="138">
        <v>329</v>
      </c>
      <c r="F331" s="133"/>
      <c r="G331" s="133"/>
      <c r="H331" s="134"/>
      <c r="I331" s="135"/>
      <c r="J331" s="136"/>
      <c r="K331" s="137"/>
      <c r="L331" s="137"/>
      <c r="M331" s="137"/>
      <c r="N331" s="138"/>
      <c r="O331" s="138"/>
      <c r="P331" s="137"/>
      <c r="Q331" s="137"/>
      <c r="R331" s="235"/>
      <c r="S331" s="139"/>
      <c r="T331" s="139"/>
      <c r="U331" s="137"/>
      <c r="V331" s="140"/>
      <c r="W331" s="141"/>
      <c r="X331" s="139"/>
      <c r="Y331" s="139"/>
      <c r="Z331" s="139"/>
      <c r="AA331" s="139"/>
      <c r="AB331" s="142"/>
      <c r="AC331" s="136"/>
      <c r="AD331" s="139"/>
      <c r="AE331" s="139"/>
      <c r="AF331" s="139"/>
      <c r="AG331" s="139"/>
      <c r="AH331" s="139"/>
      <c r="AI331" s="139"/>
      <c r="AJ331" s="136"/>
      <c r="AK331" s="143"/>
      <c r="AM331" s="145"/>
      <c r="AN331" s="144"/>
      <c r="AO331" s="151"/>
      <c r="AP331" s="146"/>
      <c r="AQ331" s="160"/>
      <c r="AR331" s="162"/>
      <c r="AS331" s="147"/>
      <c r="AT331" s="164"/>
      <c r="AU331" s="147"/>
      <c r="AV331" s="147"/>
      <c r="AW331" s="139"/>
      <c r="AX331" s="139"/>
      <c r="AY331" s="139"/>
      <c r="AZ331" s="139"/>
      <c r="BA331" s="147"/>
      <c r="BB331" s="142"/>
      <c r="BC331" s="148"/>
      <c r="BD331" s="148"/>
      <c r="BE331" s="148"/>
      <c r="BF331" s="148"/>
      <c r="BG331" s="148"/>
      <c r="BH331" s="148"/>
      <c r="BI331" s="148"/>
      <c r="BJ331" s="148"/>
      <c r="BK331" s="148"/>
      <c r="BL331" s="148"/>
      <c r="BM331" s="148"/>
      <c r="BN331" s="148"/>
      <c r="BO331" s="148"/>
      <c r="BP331" s="148"/>
      <c r="BQ331" s="148"/>
      <c r="BR331" s="148"/>
    </row>
    <row r="332" spans="1:70" s="190" customFormat="1">
      <c r="A332" s="176">
        <v>330</v>
      </c>
      <c r="F332" s="171">
        <v>43132.736087962963</v>
      </c>
      <c r="G332" s="171">
        <v>43132.737337962964</v>
      </c>
      <c r="H332" s="172">
        <f t="shared" ref="H332:H335" si="380">G332-F332</f>
        <v>1.2500000011641532E-3</v>
      </c>
      <c r="I332" s="173">
        <v>50.81</v>
      </c>
      <c r="J332" s="174" t="s">
        <v>260</v>
      </c>
      <c r="K332" s="175" t="s">
        <v>72</v>
      </c>
      <c r="L332" s="175" t="s">
        <v>73</v>
      </c>
      <c r="M332" s="175">
        <v>-369</v>
      </c>
      <c r="N332" s="176">
        <v>1</v>
      </c>
      <c r="O332" s="176">
        <v>200</v>
      </c>
      <c r="P332" s="175">
        <v>420</v>
      </c>
      <c r="Q332" s="175" t="s">
        <v>150</v>
      </c>
      <c r="R332" s="175" t="s">
        <v>438</v>
      </c>
      <c r="S332" s="177"/>
      <c r="T332" s="177"/>
      <c r="U332" s="175">
        <v>983</v>
      </c>
      <c r="V332" s="178">
        <v>350</v>
      </c>
      <c r="W332" s="179"/>
      <c r="X332" s="177"/>
      <c r="Y332" s="177"/>
      <c r="Z332" s="177"/>
      <c r="AA332" s="177"/>
      <c r="AB332" s="180"/>
      <c r="AC332" s="174">
        <v>160.1</v>
      </c>
      <c r="AD332" s="177">
        <v>-109.9</v>
      </c>
      <c r="AE332" s="177">
        <v>3.94</v>
      </c>
      <c r="AF332" s="177">
        <v>-0.76</v>
      </c>
      <c r="AG332" s="177">
        <v>109.8</v>
      </c>
      <c r="AH332" s="177">
        <v>-110</v>
      </c>
      <c r="AI332" s="177">
        <v>3.72</v>
      </c>
      <c r="AJ332" s="174">
        <v>-0.35</v>
      </c>
      <c r="AK332" s="181"/>
      <c r="AL332" s="182" t="s">
        <v>196</v>
      </c>
      <c r="AM332" s="183"/>
      <c r="AN332" s="182"/>
      <c r="AO332" s="191"/>
      <c r="AP332" s="184"/>
      <c r="AQ332" s="193"/>
      <c r="AR332" s="186"/>
      <c r="AS332" s="187"/>
      <c r="AT332" s="188"/>
      <c r="AU332" s="187"/>
      <c r="AV332" s="187"/>
      <c r="AW332" s="177"/>
      <c r="AX332" s="177"/>
      <c r="AY332" s="177"/>
      <c r="AZ332" s="177"/>
      <c r="BA332" s="187"/>
      <c r="BB332" s="180"/>
      <c r="BC332" s="189"/>
      <c r="BD332" s="189"/>
      <c r="BE332" s="189"/>
      <c r="BF332" s="189"/>
      <c r="BG332" s="189"/>
      <c r="BH332" s="189"/>
      <c r="BI332" s="189"/>
      <c r="BJ332" s="189"/>
      <c r="BK332" s="189"/>
      <c r="BL332" s="189"/>
      <c r="BM332" s="189"/>
      <c r="BN332" s="189"/>
      <c r="BO332" s="189"/>
      <c r="BP332" s="189"/>
      <c r="BQ332" s="189"/>
      <c r="BR332" s="189"/>
    </row>
    <row r="333" spans="1:70" s="190" customFormat="1">
      <c r="A333" s="176">
        <v>331</v>
      </c>
      <c r="F333" s="171">
        <v>43132.737476851849</v>
      </c>
      <c r="G333" s="171">
        <v>43132.738726851851</v>
      </c>
      <c r="H333" s="172">
        <f t="shared" si="380"/>
        <v>1.2500000011641532E-3</v>
      </c>
      <c r="I333" s="173">
        <v>50.81</v>
      </c>
      <c r="J333" s="174" t="s">
        <v>260</v>
      </c>
      <c r="K333" s="175" t="s">
        <v>72</v>
      </c>
      <c r="L333" s="175" t="s">
        <v>73</v>
      </c>
      <c r="M333" s="175">
        <v>-369</v>
      </c>
      <c r="N333" s="176">
        <v>1</v>
      </c>
      <c r="O333" s="176">
        <v>200</v>
      </c>
      <c r="P333" s="175">
        <v>420</v>
      </c>
      <c r="Q333" s="175" t="s">
        <v>150</v>
      </c>
      <c r="R333" s="175" t="s">
        <v>438</v>
      </c>
      <c r="S333" s="177"/>
      <c r="T333" s="177"/>
      <c r="U333" s="175">
        <v>983</v>
      </c>
      <c r="V333" s="178">
        <v>700</v>
      </c>
      <c r="W333" s="179"/>
      <c r="X333" s="177"/>
      <c r="Y333" s="177"/>
      <c r="Z333" s="177"/>
      <c r="AA333" s="177"/>
      <c r="AB333" s="180"/>
      <c r="AC333" s="174">
        <v>160.1</v>
      </c>
      <c r="AD333" s="177">
        <v>-109.9</v>
      </c>
      <c r="AE333" s="177">
        <v>3.94</v>
      </c>
      <c r="AF333" s="177">
        <v>-0.76</v>
      </c>
      <c r="AG333" s="177">
        <v>109.8</v>
      </c>
      <c r="AH333" s="177">
        <v>-110</v>
      </c>
      <c r="AI333" s="177">
        <v>3.72</v>
      </c>
      <c r="AJ333" s="174">
        <v>-0.35</v>
      </c>
      <c r="AK333" s="181"/>
      <c r="AL333" s="182" t="s">
        <v>197</v>
      </c>
      <c r="AM333" s="183"/>
      <c r="AN333" s="182"/>
      <c r="AO333" s="191"/>
      <c r="AP333" s="184"/>
      <c r="AQ333" s="193"/>
      <c r="AR333" s="186"/>
      <c r="AS333" s="187"/>
      <c r="AT333" s="188"/>
      <c r="AU333" s="187"/>
      <c r="AV333" s="187"/>
      <c r="AW333" s="177"/>
      <c r="AX333" s="177"/>
      <c r="AY333" s="177"/>
      <c r="AZ333" s="177"/>
      <c r="BA333" s="187"/>
      <c r="BB333" s="180"/>
      <c r="BC333" s="189"/>
      <c r="BD333" s="189"/>
      <c r="BE333" s="189"/>
      <c r="BF333" s="189"/>
      <c r="BG333" s="189"/>
      <c r="BH333" s="189"/>
      <c r="BI333" s="189"/>
      <c r="BJ333" s="189"/>
      <c r="BK333" s="189"/>
      <c r="BL333" s="189"/>
      <c r="BM333" s="189"/>
      <c r="BN333" s="189"/>
      <c r="BO333" s="189"/>
      <c r="BP333" s="189"/>
      <c r="BQ333" s="189"/>
      <c r="BR333" s="189"/>
    </row>
    <row r="334" spans="1:70" s="190" customFormat="1">
      <c r="A334" s="176">
        <v>332</v>
      </c>
      <c r="F334" s="171">
        <v>43132.738981481481</v>
      </c>
      <c r="G334" s="171">
        <v>43132.740300925929</v>
      </c>
      <c r="H334" s="172">
        <f t="shared" si="380"/>
        <v>1.3194444472901523E-3</v>
      </c>
      <c r="I334" s="173">
        <v>50.81</v>
      </c>
      <c r="J334" s="174" t="s">
        <v>260</v>
      </c>
      <c r="K334" s="175" t="s">
        <v>72</v>
      </c>
      <c r="L334" s="175" t="s">
        <v>73</v>
      </c>
      <c r="M334" s="175">
        <v>-369</v>
      </c>
      <c r="N334" s="176">
        <v>1</v>
      </c>
      <c r="O334" s="176">
        <v>200</v>
      </c>
      <c r="P334" s="175">
        <v>420</v>
      </c>
      <c r="Q334" s="175" t="s">
        <v>150</v>
      </c>
      <c r="R334" s="175" t="s">
        <v>438</v>
      </c>
      <c r="S334" s="177"/>
      <c r="T334" s="177"/>
      <c r="U334" s="175">
        <v>983</v>
      </c>
      <c r="V334" s="178">
        <v>1800</v>
      </c>
      <c r="W334" s="179"/>
      <c r="X334" s="177"/>
      <c r="Y334" s="177"/>
      <c r="Z334" s="177"/>
      <c r="AA334" s="177"/>
      <c r="AB334" s="180"/>
      <c r="AC334" s="174">
        <v>160.1</v>
      </c>
      <c r="AD334" s="177">
        <v>-109.9</v>
      </c>
      <c r="AE334" s="177">
        <v>3.94</v>
      </c>
      <c r="AF334" s="177">
        <v>-0.76</v>
      </c>
      <c r="AG334" s="177">
        <v>109.8</v>
      </c>
      <c r="AH334" s="177">
        <v>-110</v>
      </c>
      <c r="AI334" s="177">
        <v>3.72</v>
      </c>
      <c r="AJ334" s="174">
        <v>-0.35</v>
      </c>
      <c r="AK334" s="181"/>
      <c r="AL334" s="182" t="s">
        <v>443</v>
      </c>
      <c r="AM334" s="183"/>
      <c r="AN334" s="182"/>
      <c r="AO334" s="191"/>
      <c r="AP334" s="184"/>
      <c r="AQ334" s="193"/>
      <c r="AR334" s="186"/>
      <c r="AS334" s="187"/>
      <c r="AT334" s="188"/>
      <c r="AU334" s="187"/>
      <c r="AV334" s="187"/>
      <c r="AW334" s="177"/>
      <c r="AX334" s="177"/>
      <c r="AY334" s="177"/>
      <c r="AZ334" s="177"/>
      <c r="BA334" s="187"/>
      <c r="BB334" s="180"/>
      <c r="BC334" s="189"/>
      <c r="BD334" s="189"/>
      <c r="BE334" s="189"/>
      <c r="BF334" s="189"/>
      <c r="BG334" s="189"/>
      <c r="BH334" s="189"/>
      <c r="BI334" s="189"/>
      <c r="BJ334" s="189"/>
      <c r="BK334" s="189"/>
      <c r="BL334" s="189"/>
      <c r="BM334" s="189"/>
      <c r="BN334" s="189"/>
      <c r="BO334" s="189"/>
      <c r="BP334" s="189"/>
      <c r="BQ334" s="189"/>
      <c r="BR334" s="189"/>
    </row>
    <row r="335" spans="1:70" s="190" customFormat="1">
      <c r="A335" s="176">
        <v>333</v>
      </c>
      <c r="F335" s="171">
        <v>43132.740486111114</v>
      </c>
      <c r="G335" s="171">
        <v>43132.741736111115</v>
      </c>
      <c r="H335" s="172">
        <f t="shared" si="380"/>
        <v>1.2500000011641532E-3</v>
      </c>
      <c r="I335" s="173">
        <v>50.81</v>
      </c>
      <c r="J335" s="174" t="s">
        <v>260</v>
      </c>
      <c r="K335" s="175" t="s">
        <v>72</v>
      </c>
      <c r="L335" s="175" t="s">
        <v>73</v>
      </c>
      <c r="M335" s="175">
        <v>-369</v>
      </c>
      <c r="N335" s="176">
        <v>1</v>
      </c>
      <c r="O335" s="176">
        <v>200</v>
      </c>
      <c r="P335" s="175">
        <v>420</v>
      </c>
      <c r="Q335" s="175" t="s">
        <v>150</v>
      </c>
      <c r="R335" s="175" t="s">
        <v>438</v>
      </c>
      <c r="S335" s="177"/>
      <c r="T335" s="177"/>
      <c r="U335" s="175">
        <v>983</v>
      </c>
      <c r="V335" s="178">
        <v>2150</v>
      </c>
      <c r="W335" s="179"/>
      <c r="X335" s="177"/>
      <c r="Y335" s="177"/>
      <c r="Z335" s="177"/>
      <c r="AA335" s="177"/>
      <c r="AB335" s="180"/>
      <c r="AC335" s="174">
        <v>160.1</v>
      </c>
      <c r="AD335" s="177">
        <v>-109.9</v>
      </c>
      <c r="AE335" s="177">
        <v>3.94</v>
      </c>
      <c r="AF335" s="177">
        <v>-0.76</v>
      </c>
      <c r="AG335" s="177">
        <v>109.8</v>
      </c>
      <c r="AH335" s="177">
        <v>-110</v>
      </c>
      <c r="AI335" s="177">
        <v>3.72</v>
      </c>
      <c r="AJ335" s="174">
        <v>-0.35</v>
      </c>
      <c r="AK335" s="181"/>
      <c r="AL335" s="182" t="s">
        <v>444</v>
      </c>
      <c r="AM335" s="183"/>
      <c r="AN335" s="182"/>
      <c r="AO335" s="191"/>
      <c r="AP335" s="184"/>
      <c r="AQ335" s="193"/>
      <c r="AR335" s="186"/>
      <c r="AS335" s="187"/>
      <c r="AT335" s="188"/>
      <c r="AU335" s="187"/>
      <c r="AV335" s="187"/>
      <c r="AW335" s="177"/>
      <c r="AX335" s="177"/>
      <c r="AY335" s="177"/>
      <c r="AZ335" s="177"/>
      <c r="BA335" s="187"/>
      <c r="BB335" s="180"/>
      <c r="BC335" s="189"/>
      <c r="BD335" s="189"/>
      <c r="BE335" s="189"/>
      <c r="BF335" s="189"/>
      <c r="BG335" s="189"/>
      <c r="BH335" s="189"/>
      <c r="BI335" s="189"/>
      <c r="BJ335" s="189"/>
      <c r="BK335" s="189"/>
      <c r="BL335" s="189"/>
      <c r="BM335" s="189"/>
      <c r="BN335" s="189"/>
      <c r="BO335" s="189"/>
      <c r="BP335" s="189"/>
      <c r="BQ335" s="189"/>
      <c r="BR335" s="189"/>
    </row>
    <row r="336" spans="1:70">
      <c r="A336" s="108">
        <v>334</v>
      </c>
      <c r="F336" s="45">
        <v>43132.744212962964</v>
      </c>
      <c r="G336" s="45">
        <v>43132.788136574076</v>
      </c>
      <c r="H336" s="53">
        <f>G336-F336-SUM('user time'!J130:J133)</f>
        <v>4.2152777779071227E-2</v>
      </c>
      <c r="I336" s="86">
        <v>50.64</v>
      </c>
      <c r="J336" s="109" t="s">
        <v>260</v>
      </c>
      <c r="K336" s="88" t="s">
        <v>72</v>
      </c>
      <c r="L336" s="88" t="s">
        <v>73</v>
      </c>
      <c r="M336" s="88">
        <v>-369</v>
      </c>
      <c r="N336" s="108">
        <v>1</v>
      </c>
      <c r="O336" s="108">
        <v>200</v>
      </c>
      <c r="P336" s="88">
        <v>348</v>
      </c>
      <c r="Q336" s="88" t="s">
        <v>75</v>
      </c>
      <c r="R336" s="88" t="s">
        <v>348</v>
      </c>
      <c r="S336" s="110">
        <v>10000</v>
      </c>
      <c r="T336" s="110">
        <v>948</v>
      </c>
      <c r="U336" s="88">
        <v>983</v>
      </c>
      <c r="V336" s="90">
        <v>1500</v>
      </c>
      <c r="W336" s="111">
        <v>10</v>
      </c>
      <c r="X336" s="110">
        <v>48902</v>
      </c>
      <c r="Y336" s="110">
        <v>866775</v>
      </c>
      <c r="Z336" s="110">
        <v>6774549</v>
      </c>
      <c r="AA336" s="110">
        <v>2089077</v>
      </c>
      <c r="AB336" s="112">
        <v>4710260</v>
      </c>
      <c r="AC336" s="109">
        <v>160.1</v>
      </c>
      <c r="AD336" s="110">
        <v>-109.9</v>
      </c>
      <c r="AE336" s="110">
        <v>3.94</v>
      </c>
      <c r="AF336" s="110">
        <v>-0.76</v>
      </c>
      <c r="AG336" s="110">
        <v>109.8</v>
      </c>
      <c r="AH336" s="110">
        <v>-110</v>
      </c>
      <c r="AI336" s="110">
        <v>3.72</v>
      </c>
      <c r="AJ336" s="109">
        <v>-0.35</v>
      </c>
      <c r="AK336" s="113" t="s">
        <v>59</v>
      </c>
      <c r="AL336" s="107" t="s">
        <v>181</v>
      </c>
      <c r="AN336" s="107">
        <v>0.94899999999999995</v>
      </c>
      <c r="AO336" s="48">
        <f t="shared" ref="AO336:AO350" si="381">(HOUR(H336)*60*60+MINUTE(H336)*60+SECOND(H336))/5.2*AA336/W336*AN336</f>
        <v>138853636.42049998</v>
      </c>
      <c r="AP336" s="156">
        <f t="shared" ref="AP336:AP350" si="382">AO336*0.7</f>
        <v>97197545.494349986</v>
      </c>
      <c r="AQ336" s="161">
        <f>AP336+AQ319</f>
        <v>7425898775.6669149</v>
      </c>
      <c r="AR336" s="163">
        <f>H336+AR319</f>
        <v>3.6334953703298183</v>
      </c>
      <c r="AS336" s="49">
        <f t="shared" ref="AS336:AS350" si="383">I336*(HOUR(H336)*60+MINUTE(H336))/60/(7*24)</f>
        <v>0.30142857142857143</v>
      </c>
      <c r="AT336" s="165">
        <f>AS336+AT319</f>
        <v>21.999043650793645</v>
      </c>
      <c r="AU336" s="254">
        <f t="shared" ref="AU336:AU362" si="384">AA336/W336*AN336</f>
        <v>198253.40729999999</v>
      </c>
      <c r="AV336" s="255">
        <f t="shared" ref="AV336:AV362" si="385">AB336/W336+AA336/W336*(1-AN336)</f>
        <v>481680.29269999999</v>
      </c>
      <c r="AW336" s="256">
        <f t="shared" ref="AW336:AW362" si="386">AU336/AV336</f>
        <v>0.41158712595176927</v>
      </c>
    </row>
    <row r="337" spans="1:49">
      <c r="A337" s="108">
        <v>335</v>
      </c>
      <c r="F337" s="45">
        <v>43132.788194444445</v>
      </c>
      <c r="G337" s="45">
        <v>43132.830879629626</v>
      </c>
      <c r="H337" s="53">
        <f>G337-F337-'user time'!J134</f>
        <v>4.2222222217781047E-2</v>
      </c>
      <c r="I337" s="86">
        <v>50.71</v>
      </c>
      <c r="J337" s="109" t="s">
        <v>260</v>
      </c>
      <c r="K337" s="88" t="s">
        <v>72</v>
      </c>
      <c r="L337" s="88" t="s">
        <v>73</v>
      </c>
      <c r="M337" s="88">
        <v>-369</v>
      </c>
      <c r="N337" s="108">
        <v>1</v>
      </c>
      <c r="O337" s="108">
        <v>200</v>
      </c>
      <c r="P337" s="88">
        <v>348</v>
      </c>
      <c r="Q337" s="88" t="s">
        <v>75</v>
      </c>
      <c r="R337" s="88" t="s">
        <v>348</v>
      </c>
      <c r="S337" s="110">
        <v>10000</v>
      </c>
      <c r="T337" s="110">
        <v>926</v>
      </c>
      <c r="U337" s="88">
        <v>983</v>
      </c>
      <c r="V337" s="90">
        <v>1500</v>
      </c>
      <c r="W337" s="111">
        <v>10</v>
      </c>
      <c r="X337" s="110">
        <v>48998</v>
      </c>
      <c r="Y337" s="110">
        <v>866792</v>
      </c>
      <c r="Z337" s="110">
        <v>6775085</v>
      </c>
      <c r="AA337" s="110">
        <v>2085700</v>
      </c>
      <c r="AB337" s="112">
        <v>4714151</v>
      </c>
      <c r="AC337" s="109">
        <v>160.1</v>
      </c>
      <c r="AD337" s="110">
        <v>-109.9</v>
      </c>
      <c r="AE337" s="110">
        <v>3.94</v>
      </c>
      <c r="AF337" s="110">
        <v>-0.76</v>
      </c>
      <c r="AG337" s="110">
        <v>109.8</v>
      </c>
      <c r="AH337" s="110">
        <v>-110</v>
      </c>
      <c r="AI337" s="110">
        <v>3.72</v>
      </c>
      <c r="AJ337" s="109">
        <v>-0.35</v>
      </c>
      <c r="AK337" s="113" t="s">
        <v>59</v>
      </c>
      <c r="AL337" s="107" t="s">
        <v>181</v>
      </c>
      <c r="AN337" s="107">
        <v>0.94899999999999995</v>
      </c>
      <c r="AO337" s="48">
        <f t="shared" si="381"/>
        <v>138857563.19999999</v>
      </c>
      <c r="AP337" s="156">
        <f t="shared" si="382"/>
        <v>97200294.23999998</v>
      </c>
      <c r="AQ337" s="161">
        <f t="shared" ref="AQ337:AQ350" si="387">AP337+AQ336</f>
        <v>7523099069.9069147</v>
      </c>
      <c r="AR337" s="163">
        <f t="shared" ref="AR337:AR350" si="388">H337+AR336</f>
        <v>3.6757175925475991</v>
      </c>
      <c r="AS337" s="49">
        <f t="shared" si="383"/>
        <v>0.30184523809523811</v>
      </c>
      <c r="AT337" s="165">
        <f t="shared" ref="AT337:AT350" si="389">AS337+AT336</f>
        <v>22.300888888888885</v>
      </c>
      <c r="AU337" s="254">
        <f t="shared" si="384"/>
        <v>197932.93</v>
      </c>
      <c r="AV337" s="255">
        <f t="shared" si="385"/>
        <v>482052.17</v>
      </c>
      <c r="AW337" s="256">
        <f t="shared" si="386"/>
        <v>0.41060478993383642</v>
      </c>
    </row>
    <row r="338" spans="1:49">
      <c r="A338" s="108">
        <v>336</v>
      </c>
      <c r="F338" s="45">
        <v>43132.830925925926</v>
      </c>
      <c r="G338" s="45">
        <v>43132.873368055552</v>
      </c>
      <c r="H338" s="53">
        <f>G338-F338-'user time'!J135</f>
        <v>4.2210648145097673E-2</v>
      </c>
      <c r="I338" s="86">
        <v>50.83</v>
      </c>
      <c r="J338" s="109" t="s">
        <v>260</v>
      </c>
      <c r="K338" s="88" t="s">
        <v>72</v>
      </c>
      <c r="L338" s="88" t="s">
        <v>73</v>
      </c>
      <c r="M338" s="88">
        <v>-369</v>
      </c>
      <c r="N338" s="108">
        <v>1</v>
      </c>
      <c r="O338" s="108">
        <v>200</v>
      </c>
      <c r="P338" s="88">
        <v>348</v>
      </c>
      <c r="Q338" s="88" t="s">
        <v>75</v>
      </c>
      <c r="R338" s="88" t="s">
        <v>348</v>
      </c>
      <c r="S338" s="110">
        <v>10000</v>
      </c>
      <c r="T338" s="110">
        <v>921</v>
      </c>
      <c r="U338" s="88">
        <v>983</v>
      </c>
      <c r="V338" s="90">
        <v>1500</v>
      </c>
      <c r="W338" s="111">
        <v>10</v>
      </c>
      <c r="X338" s="110">
        <v>48850</v>
      </c>
      <c r="Y338" s="110">
        <v>864839</v>
      </c>
      <c r="Z338" s="110">
        <v>6773730</v>
      </c>
      <c r="AA338" s="110">
        <v>2085097</v>
      </c>
      <c r="AB338" s="112">
        <v>4713199</v>
      </c>
      <c r="AC338" s="109">
        <v>160.1</v>
      </c>
      <c r="AD338" s="110">
        <v>-109.9</v>
      </c>
      <c r="AE338" s="110">
        <v>3.94</v>
      </c>
      <c r="AF338" s="110">
        <v>-0.76</v>
      </c>
      <c r="AG338" s="110">
        <v>109.8</v>
      </c>
      <c r="AH338" s="110">
        <v>-110</v>
      </c>
      <c r="AI338" s="110">
        <v>3.72</v>
      </c>
      <c r="AJ338" s="109">
        <v>-0.35</v>
      </c>
      <c r="AK338" s="113" t="s">
        <v>59</v>
      </c>
      <c r="AL338" s="107" t="s">
        <v>181</v>
      </c>
      <c r="AN338" s="107">
        <v>0.95399999999999996</v>
      </c>
      <c r="AO338" s="48">
        <f t="shared" si="381"/>
        <v>139510552.23242304</v>
      </c>
      <c r="AP338" s="156">
        <f t="shared" si="382"/>
        <v>97657386.562696114</v>
      </c>
      <c r="AQ338" s="161">
        <f t="shared" si="387"/>
        <v>7620756456.4696112</v>
      </c>
      <c r="AR338" s="163">
        <f t="shared" si="388"/>
        <v>3.7179282406926966</v>
      </c>
      <c r="AS338" s="49">
        <f t="shared" si="383"/>
        <v>0.30255952380952378</v>
      </c>
      <c r="AT338" s="165">
        <f t="shared" si="389"/>
        <v>22.603448412698409</v>
      </c>
      <c r="AU338" s="254">
        <f t="shared" si="384"/>
        <v>198918.25380000001</v>
      </c>
      <c r="AV338" s="255">
        <f t="shared" si="385"/>
        <v>480911.34620000003</v>
      </c>
      <c r="AW338" s="256">
        <f t="shared" si="386"/>
        <v>0.41362769951631473</v>
      </c>
    </row>
    <row r="339" spans="1:49">
      <c r="A339" s="108">
        <v>337</v>
      </c>
      <c r="F339" s="45">
        <v>43132.873402777775</v>
      </c>
      <c r="G339" s="45">
        <v>43132.929583333331</v>
      </c>
      <c r="H339" s="53">
        <f>G339-F339-SUM('user time'!J136:J138)</f>
        <v>4.217592592569952E-2</v>
      </c>
      <c r="I339" s="86">
        <v>50.71</v>
      </c>
      <c r="J339" s="109" t="s">
        <v>260</v>
      </c>
      <c r="K339" s="88" t="s">
        <v>72</v>
      </c>
      <c r="L339" s="88" t="s">
        <v>73</v>
      </c>
      <c r="M339" s="88">
        <v>-369</v>
      </c>
      <c r="N339" s="108">
        <v>1</v>
      </c>
      <c r="O339" s="108">
        <v>200</v>
      </c>
      <c r="P339" s="88">
        <v>348</v>
      </c>
      <c r="Q339" s="88" t="s">
        <v>75</v>
      </c>
      <c r="R339" s="88" t="s">
        <v>348</v>
      </c>
      <c r="S339" s="110">
        <v>10000</v>
      </c>
      <c r="T339" s="110">
        <v>926</v>
      </c>
      <c r="U339" s="88">
        <v>983</v>
      </c>
      <c r="V339" s="90">
        <v>1500</v>
      </c>
      <c r="W339" s="111">
        <v>10</v>
      </c>
      <c r="X339" s="110">
        <v>48788</v>
      </c>
      <c r="Y339" s="110">
        <v>865294</v>
      </c>
      <c r="Z339" s="110">
        <v>6729034</v>
      </c>
      <c r="AA339" s="110">
        <v>2074123</v>
      </c>
      <c r="AB339" s="112">
        <v>4680138</v>
      </c>
      <c r="AC339" s="109">
        <v>160.1</v>
      </c>
      <c r="AD339" s="110">
        <v>-109.9</v>
      </c>
      <c r="AE339" s="110">
        <v>3.94</v>
      </c>
      <c r="AF339" s="110">
        <v>-0.76</v>
      </c>
      <c r="AG339" s="110">
        <v>109.8</v>
      </c>
      <c r="AH339" s="110">
        <v>-110</v>
      </c>
      <c r="AI339" s="110">
        <v>3.72</v>
      </c>
      <c r="AJ339" s="109">
        <v>-0.34</v>
      </c>
      <c r="AK339" s="113" t="s">
        <v>59</v>
      </c>
      <c r="AL339" s="107" t="s">
        <v>452</v>
      </c>
      <c r="AN339" s="107">
        <v>0.94599999999999995</v>
      </c>
      <c r="AO339" s="48">
        <f t="shared" si="381"/>
        <v>137499357.39523077</v>
      </c>
      <c r="AP339" s="156">
        <f t="shared" si="382"/>
        <v>96249550.176661536</v>
      </c>
      <c r="AQ339" s="161">
        <f t="shared" si="387"/>
        <v>7717006006.6462727</v>
      </c>
      <c r="AR339" s="163">
        <f t="shared" si="388"/>
        <v>3.7601041666183961</v>
      </c>
      <c r="AS339" s="49">
        <f t="shared" si="383"/>
        <v>0.30184523809523811</v>
      </c>
      <c r="AT339" s="165">
        <f t="shared" si="389"/>
        <v>22.905293650793649</v>
      </c>
      <c r="AU339" s="254">
        <f t="shared" si="384"/>
        <v>196212.03579999998</v>
      </c>
      <c r="AV339" s="255">
        <f t="shared" si="385"/>
        <v>479214.06420000002</v>
      </c>
      <c r="AW339" s="256">
        <f t="shared" si="386"/>
        <v>0.40944548680464204</v>
      </c>
    </row>
    <row r="340" spans="1:49">
      <c r="A340" s="108">
        <v>338</v>
      </c>
      <c r="F340" s="45">
        <v>43132.9296412037</v>
      </c>
      <c r="G340" s="45">
        <v>43132.972615740742</v>
      </c>
      <c r="H340" s="53">
        <f>G340-F340-'user time'!J139-'user time'!J140</f>
        <v>4.2222222227212947E-2</v>
      </c>
      <c r="I340" s="86">
        <v>50.62</v>
      </c>
      <c r="J340" s="109" t="s">
        <v>260</v>
      </c>
      <c r="K340" s="88" t="s">
        <v>72</v>
      </c>
      <c r="L340" s="88" t="s">
        <v>73</v>
      </c>
      <c r="M340" s="88">
        <v>-369</v>
      </c>
      <c r="N340" s="108">
        <v>1</v>
      </c>
      <c r="O340" s="108">
        <v>200</v>
      </c>
      <c r="P340" s="88">
        <v>348</v>
      </c>
      <c r="Q340" s="88" t="s">
        <v>75</v>
      </c>
      <c r="R340" s="88" t="s">
        <v>348</v>
      </c>
      <c r="S340" s="110">
        <v>10000</v>
      </c>
      <c r="T340" s="110">
        <v>900</v>
      </c>
      <c r="U340" s="88">
        <v>983</v>
      </c>
      <c r="V340" s="90">
        <v>1500</v>
      </c>
      <c r="W340" s="111">
        <v>10</v>
      </c>
      <c r="X340" s="110">
        <v>48451</v>
      </c>
      <c r="Y340" s="110">
        <v>865893</v>
      </c>
      <c r="Z340" s="110">
        <v>6727087</v>
      </c>
      <c r="AA340" s="110">
        <v>2078087</v>
      </c>
      <c r="AB340" s="112">
        <v>4673311</v>
      </c>
      <c r="AC340" s="109">
        <v>160.1</v>
      </c>
      <c r="AD340" s="110">
        <v>-109.9</v>
      </c>
      <c r="AE340" s="110">
        <v>3.94</v>
      </c>
      <c r="AF340" s="110">
        <v>-0.76</v>
      </c>
      <c r="AG340" s="110">
        <v>109.8</v>
      </c>
      <c r="AH340" s="110">
        <v>-110</v>
      </c>
      <c r="AI340" s="110">
        <v>3.72</v>
      </c>
      <c r="AJ340" s="109">
        <v>-0.35</v>
      </c>
      <c r="AK340" s="113" t="s">
        <v>59</v>
      </c>
      <c r="AL340" s="107" t="s">
        <v>181</v>
      </c>
      <c r="AN340" s="107">
        <v>0.94599999999999995</v>
      </c>
      <c r="AO340" s="48">
        <f t="shared" si="381"/>
        <v>137913362.72492304</v>
      </c>
      <c r="AP340" s="156">
        <f t="shared" si="382"/>
        <v>96539353.907446131</v>
      </c>
      <c r="AQ340" s="161">
        <f t="shared" si="387"/>
        <v>7813545360.5537186</v>
      </c>
      <c r="AR340" s="163">
        <f t="shared" si="388"/>
        <v>3.8023263888456089</v>
      </c>
      <c r="AS340" s="49">
        <f t="shared" si="383"/>
        <v>0.3013095238095238</v>
      </c>
      <c r="AT340" s="165">
        <f t="shared" si="389"/>
        <v>23.206603174603174</v>
      </c>
      <c r="AU340" s="254">
        <f t="shared" si="384"/>
        <v>196587.03020000001</v>
      </c>
      <c r="AV340" s="255">
        <f t="shared" si="385"/>
        <v>478552.76980000001</v>
      </c>
      <c r="AW340" s="256">
        <f t="shared" si="386"/>
        <v>0.41079488534181713</v>
      </c>
    </row>
    <row r="341" spans="1:49">
      <c r="A341" s="108">
        <v>339</v>
      </c>
      <c r="F341" s="45">
        <v>43132.972650462965</v>
      </c>
      <c r="G341" s="45">
        <v>43133.018240740741</v>
      </c>
      <c r="H341" s="53">
        <f>G341-F341-'user time'!J141-'user time'!J142-'user time'!J146-'user time'!J147</f>
        <v>4.0798611109106195E-2</v>
      </c>
      <c r="I341" s="86">
        <v>50.61</v>
      </c>
      <c r="J341" s="109" t="s">
        <v>260</v>
      </c>
      <c r="K341" s="88" t="s">
        <v>72</v>
      </c>
      <c r="L341" s="88" t="s">
        <v>73</v>
      </c>
      <c r="M341" s="88">
        <v>-369</v>
      </c>
      <c r="N341" s="108">
        <v>1</v>
      </c>
      <c r="O341" s="108">
        <v>200</v>
      </c>
      <c r="P341" s="88">
        <v>348</v>
      </c>
      <c r="Q341" s="88" t="s">
        <v>75</v>
      </c>
      <c r="R341" s="88" t="s">
        <v>348</v>
      </c>
      <c r="S341" s="110">
        <v>10000</v>
      </c>
      <c r="T341" s="110">
        <v>912</v>
      </c>
      <c r="U341" s="88">
        <v>983</v>
      </c>
      <c r="V341" s="90">
        <v>1500</v>
      </c>
      <c r="W341" s="111">
        <v>10</v>
      </c>
      <c r="X341" s="110">
        <v>49124</v>
      </c>
      <c r="Y341" s="110">
        <v>866635</v>
      </c>
      <c r="Z341" s="110">
        <v>6723184</v>
      </c>
      <c r="AA341" s="110">
        <v>2077152</v>
      </c>
      <c r="AB341" s="112">
        <v>4670618</v>
      </c>
      <c r="AC341" s="109">
        <v>160.1</v>
      </c>
      <c r="AD341" s="110">
        <v>-109.9</v>
      </c>
      <c r="AE341" s="110">
        <v>3.94</v>
      </c>
      <c r="AF341" s="110">
        <v>-0.76</v>
      </c>
      <c r="AG341" s="110">
        <v>109.8</v>
      </c>
      <c r="AH341" s="110">
        <v>-110</v>
      </c>
      <c r="AI341" s="110">
        <v>3.72</v>
      </c>
      <c r="AJ341" s="109">
        <v>-0.35</v>
      </c>
      <c r="AK341" s="113" t="s">
        <v>59</v>
      </c>
      <c r="AL341" s="107" t="s">
        <v>455</v>
      </c>
      <c r="AN341" s="107">
        <v>0.94699999999999995</v>
      </c>
      <c r="AO341" s="48">
        <f t="shared" si="381"/>
        <v>133344170.72307692</v>
      </c>
      <c r="AP341" s="156">
        <f t="shared" si="382"/>
        <v>93340919.506153837</v>
      </c>
      <c r="AQ341" s="161">
        <f t="shared" si="387"/>
        <v>7906886280.0598726</v>
      </c>
      <c r="AR341" s="163">
        <f t="shared" si="388"/>
        <v>3.843124999954715</v>
      </c>
      <c r="AS341" s="49">
        <f t="shared" si="383"/>
        <v>0.29120833333333335</v>
      </c>
      <c r="AT341" s="165">
        <f t="shared" si="389"/>
        <v>23.497811507936508</v>
      </c>
      <c r="AU341" s="254">
        <f t="shared" si="384"/>
        <v>196706.29440000001</v>
      </c>
      <c r="AV341" s="255">
        <f t="shared" si="385"/>
        <v>478070.70559999999</v>
      </c>
      <c r="AW341" s="256">
        <f t="shared" si="386"/>
        <v>0.41145858153581044</v>
      </c>
    </row>
    <row r="342" spans="1:49">
      <c r="A342" s="108">
        <v>340</v>
      </c>
      <c r="F342" s="45">
        <v>43133.018275462964</v>
      </c>
      <c r="G342" s="45">
        <v>43133.066134259258</v>
      </c>
      <c r="H342" s="53">
        <f>G342-F342-SUM('user time'!J148:J150)</f>
        <v>3.80902777749213E-2</v>
      </c>
      <c r="I342" s="86">
        <v>50.72</v>
      </c>
      <c r="J342" s="109" t="s">
        <v>260</v>
      </c>
      <c r="K342" s="88" t="s">
        <v>72</v>
      </c>
      <c r="L342" s="88" t="s">
        <v>73</v>
      </c>
      <c r="M342" s="88">
        <v>-369</v>
      </c>
      <c r="N342" s="108">
        <v>1</v>
      </c>
      <c r="O342" s="108">
        <v>200</v>
      </c>
      <c r="P342" s="88">
        <v>348</v>
      </c>
      <c r="Q342" s="88" t="s">
        <v>75</v>
      </c>
      <c r="R342" s="88" t="s">
        <v>348</v>
      </c>
      <c r="S342" s="110">
        <v>10300</v>
      </c>
      <c r="T342" s="110">
        <v>905</v>
      </c>
      <c r="U342" s="88">
        <v>983</v>
      </c>
      <c r="V342" s="90">
        <v>1500</v>
      </c>
      <c r="W342" s="111">
        <v>10</v>
      </c>
      <c r="X342" s="110">
        <v>48576</v>
      </c>
      <c r="Y342" s="110">
        <v>868850</v>
      </c>
      <c r="Z342" s="110">
        <v>6736339</v>
      </c>
      <c r="AA342" s="110">
        <v>2081951</v>
      </c>
      <c r="AB342" s="112">
        <v>4679264</v>
      </c>
      <c r="AC342" s="109">
        <v>160.1</v>
      </c>
      <c r="AD342" s="110">
        <v>-109.9</v>
      </c>
      <c r="AE342" s="110">
        <v>3.94</v>
      </c>
      <c r="AF342" s="110">
        <v>-0.76</v>
      </c>
      <c r="AG342" s="110">
        <v>109.8</v>
      </c>
      <c r="AH342" s="110">
        <v>-110</v>
      </c>
      <c r="AI342" s="110">
        <v>3.72</v>
      </c>
      <c r="AJ342" s="109">
        <v>-0.35</v>
      </c>
      <c r="AK342" s="113" t="s">
        <v>59</v>
      </c>
      <c r="AL342" s="107" t="s">
        <v>456</v>
      </c>
      <c r="AN342" s="107">
        <v>0.94799999999999995</v>
      </c>
      <c r="AO342" s="48">
        <f t="shared" si="381"/>
        <v>124911775.04746152</v>
      </c>
      <c r="AP342" s="156">
        <f t="shared" si="382"/>
        <v>87438242.533223063</v>
      </c>
      <c r="AQ342" s="161">
        <f t="shared" si="387"/>
        <v>7994324522.5930958</v>
      </c>
      <c r="AR342" s="163">
        <f t="shared" si="388"/>
        <v>3.8812152777296363</v>
      </c>
      <c r="AS342" s="49">
        <f t="shared" si="383"/>
        <v>0.27171428571428574</v>
      </c>
      <c r="AT342" s="165">
        <f t="shared" si="389"/>
        <v>23.769525793650793</v>
      </c>
      <c r="AU342" s="254">
        <f t="shared" si="384"/>
        <v>197368.95480000001</v>
      </c>
      <c r="AV342" s="255">
        <f t="shared" si="385"/>
        <v>478752.54520000005</v>
      </c>
      <c r="AW342" s="256">
        <f t="shared" si="386"/>
        <v>0.41225672172154959</v>
      </c>
    </row>
    <row r="343" spans="1:49">
      <c r="A343" s="108">
        <v>341</v>
      </c>
      <c r="F343" s="45">
        <v>43133.066168981481</v>
      </c>
      <c r="G343" s="45">
        <v>43133.107256944444</v>
      </c>
      <c r="H343" s="53">
        <f>G343-F343</f>
        <v>4.1087962963501923E-2</v>
      </c>
      <c r="I343" s="86">
        <v>50.72</v>
      </c>
      <c r="J343" s="109" t="s">
        <v>260</v>
      </c>
      <c r="K343" s="88" t="s">
        <v>72</v>
      </c>
      <c r="L343" s="88" t="s">
        <v>73</v>
      </c>
      <c r="M343" s="88">
        <v>-369</v>
      </c>
      <c r="N343" s="108">
        <v>1</v>
      </c>
      <c r="O343" s="108">
        <v>200</v>
      </c>
      <c r="P343" s="88">
        <v>348</v>
      </c>
      <c r="Q343" s="88" t="s">
        <v>75</v>
      </c>
      <c r="R343" s="88" t="s">
        <v>348</v>
      </c>
      <c r="S343" s="110">
        <v>10200</v>
      </c>
      <c r="T343" s="110">
        <v>901</v>
      </c>
      <c r="U343" s="88">
        <v>983</v>
      </c>
      <c r="V343" s="90">
        <v>1500</v>
      </c>
      <c r="W343" s="111">
        <v>10</v>
      </c>
      <c r="X343" s="110">
        <v>48534</v>
      </c>
      <c r="Y343" s="110">
        <v>866360</v>
      </c>
      <c r="Z343" s="110">
        <v>6643343</v>
      </c>
      <c r="AA343" s="110">
        <v>2065952</v>
      </c>
      <c r="AB343" s="112">
        <v>4602945</v>
      </c>
      <c r="AC343" s="109">
        <v>160.1</v>
      </c>
      <c r="AD343" s="110">
        <v>-109.9</v>
      </c>
      <c r="AE343" s="110">
        <v>3.94</v>
      </c>
      <c r="AF343" s="110">
        <v>-0.76</v>
      </c>
      <c r="AG343" s="110">
        <v>109.8</v>
      </c>
      <c r="AH343" s="110">
        <v>-110</v>
      </c>
      <c r="AI343" s="110">
        <v>3.71</v>
      </c>
      <c r="AJ343" s="109">
        <v>-0.35</v>
      </c>
      <c r="AK343" s="113" t="s">
        <v>59</v>
      </c>
      <c r="AL343" s="107" t="s">
        <v>181</v>
      </c>
      <c r="AN343" s="107">
        <v>0.95099999999999996</v>
      </c>
      <c r="AO343" s="48">
        <f t="shared" si="381"/>
        <v>134129947.10769229</v>
      </c>
      <c r="AP343" s="156">
        <f t="shared" si="382"/>
        <v>93890962.975384593</v>
      </c>
      <c r="AQ343" s="161">
        <f t="shared" si="387"/>
        <v>8088215485.5684805</v>
      </c>
      <c r="AR343" s="163">
        <f t="shared" si="388"/>
        <v>3.9223032406931382</v>
      </c>
      <c r="AS343" s="49">
        <f t="shared" si="383"/>
        <v>0.2968730158730159</v>
      </c>
      <c r="AT343" s="165">
        <f t="shared" si="389"/>
        <v>24.066398809523808</v>
      </c>
      <c r="AU343" s="254">
        <f t="shared" si="384"/>
        <v>196472.03520000001</v>
      </c>
      <c r="AV343" s="255">
        <f t="shared" si="385"/>
        <v>470417.66480000003</v>
      </c>
      <c r="AW343" s="256">
        <f t="shared" si="386"/>
        <v>0.41765445879574037</v>
      </c>
    </row>
    <row r="344" spans="1:49">
      <c r="A344" s="108">
        <v>342</v>
      </c>
      <c r="F344" s="45">
        <v>43133.107268518521</v>
      </c>
      <c r="G344" s="45">
        <v>43133.148518518516</v>
      </c>
      <c r="H344" s="53">
        <f>G344-F344-'user time'!J151-'user time'!J152</f>
        <v>4.0486111105872413E-2</v>
      </c>
      <c r="I344" s="86">
        <v>50.72</v>
      </c>
      <c r="J344" s="109" t="s">
        <v>260</v>
      </c>
      <c r="K344" s="88" t="s">
        <v>72</v>
      </c>
      <c r="L344" s="88" t="s">
        <v>73</v>
      </c>
      <c r="M344" s="88">
        <v>-369</v>
      </c>
      <c r="N344" s="108">
        <v>1</v>
      </c>
      <c r="O344" s="108">
        <v>200</v>
      </c>
      <c r="P344" s="88">
        <v>348</v>
      </c>
      <c r="Q344" s="88" t="s">
        <v>75</v>
      </c>
      <c r="R344" s="88" t="s">
        <v>348</v>
      </c>
      <c r="S344" s="110">
        <v>10200</v>
      </c>
      <c r="T344" s="110">
        <v>906</v>
      </c>
      <c r="U344" s="88">
        <v>983</v>
      </c>
      <c r="V344" s="90">
        <v>1500</v>
      </c>
      <c r="W344" s="111">
        <v>10</v>
      </c>
      <c r="X344" s="110">
        <v>48974</v>
      </c>
      <c r="Y344" s="110">
        <v>868321</v>
      </c>
      <c r="Z344" s="110">
        <v>6686645</v>
      </c>
      <c r="AA344" s="110">
        <v>2073943</v>
      </c>
      <c r="AB344" s="112">
        <v>4637671</v>
      </c>
      <c r="AC344" s="109">
        <v>160.1</v>
      </c>
      <c r="AD344" s="110">
        <v>-109.9</v>
      </c>
      <c r="AE344" s="110">
        <v>3.94</v>
      </c>
      <c r="AF344" s="110">
        <v>-0.76</v>
      </c>
      <c r="AG344" s="110">
        <v>109.8</v>
      </c>
      <c r="AH344" s="110">
        <v>-110</v>
      </c>
      <c r="AI344" s="110">
        <v>3.72</v>
      </c>
      <c r="AJ344" s="109">
        <v>-0.35</v>
      </c>
      <c r="AK344" s="113" t="s">
        <v>59</v>
      </c>
      <c r="AL344" s="107" t="s">
        <v>181</v>
      </c>
      <c r="AN344" s="107">
        <v>0.94199999999999995</v>
      </c>
      <c r="AO344" s="48">
        <f t="shared" si="381"/>
        <v>131420822.35361536</v>
      </c>
      <c r="AP344" s="156">
        <f t="shared" si="382"/>
        <v>91994575.647530749</v>
      </c>
      <c r="AQ344" s="161">
        <f t="shared" si="387"/>
        <v>8180210061.216011</v>
      </c>
      <c r="AR344" s="163">
        <f t="shared" si="388"/>
        <v>3.9627893517990107</v>
      </c>
      <c r="AS344" s="49">
        <f t="shared" si="383"/>
        <v>0.29184126984126979</v>
      </c>
      <c r="AT344" s="165">
        <f t="shared" si="389"/>
        <v>24.358240079365078</v>
      </c>
      <c r="AU344" s="254">
        <f t="shared" si="384"/>
        <v>195365.43059999999</v>
      </c>
      <c r="AV344" s="255">
        <f t="shared" si="385"/>
        <v>475795.9694</v>
      </c>
      <c r="AW344" s="256">
        <f t="shared" si="386"/>
        <v>0.41060757796322767</v>
      </c>
    </row>
    <row r="345" spans="1:49">
      <c r="A345" s="108">
        <v>343</v>
      </c>
      <c r="F345" s="45">
        <v>43133.148553240739</v>
      </c>
      <c r="G345" s="45">
        <v>43133.16474537037</v>
      </c>
      <c r="H345" s="53">
        <f>G345-F345-'user time'!J153</f>
        <v>1.5787037038643148E-2</v>
      </c>
      <c r="I345" s="86">
        <v>50.66</v>
      </c>
      <c r="J345" s="109" t="s">
        <v>260</v>
      </c>
      <c r="K345" s="88" t="s">
        <v>72</v>
      </c>
      <c r="L345" s="88" t="s">
        <v>73</v>
      </c>
      <c r="M345" s="88">
        <v>-369</v>
      </c>
      <c r="N345" s="108">
        <v>1</v>
      </c>
      <c r="O345" s="108">
        <v>200</v>
      </c>
      <c r="P345" s="88">
        <v>348</v>
      </c>
      <c r="Q345" s="88" t="s">
        <v>75</v>
      </c>
      <c r="R345" s="88" t="s">
        <v>348</v>
      </c>
      <c r="S345" s="110">
        <v>10200</v>
      </c>
      <c r="T345" s="110">
        <v>905</v>
      </c>
      <c r="U345" s="88">
        <v>983</v>
      </c>
      <c r="V345" s="90">
        <v>1500</v>
      </c>
      <c r="W345" s="111">
        <v>10</v>
      </c>
      <c r="X345" s="110">
        <v>49351</v>
      </c>
      <c r="Y345" s="110">
        <v>867411</v>
      </c>
      <c r="Z345" s="110">
        <v>6632541</v>
      </c>
      <c r="AA345" s="110">
        <v>2061027</v>
      </c>
      <c r="AB345" s="112">
        <v>4595950</v>
      </c>
      <c r="AC345" s="109">
        <v>160.1</v>
      </c>
      <c r="AD345" s="110">
        <v>-109.8</v>
      </c>
      <c r="AE345" s="110">
        <v>3.94</v>
      </c>
      <c r="AF345" s="110">
        <v>-0.76</v>
      </c>
      <c r="AG345" s="110">
        <v>109.8</v>
      </c>
      <c r="AH345" s="110">
        <v>-110</v>
      </c>
      <c r="AI345" s="110">
        <v>3.72</v>
      </c>
      <c r="AJ345" s="109">
        <v>-0.35</v>
      </c>
      <c r="AK345" s="113" t="s">
        <v>59</v>
      </c>
      <c r="AL345" s="107" t="s">
        <v>459</v>
      </c>
      <c r="AN345" s="107">
        <v>0.97199999999999998</v>
      </c>
      <c r="AO345" s="48">
        <f t="shared" si="381"/>
        <v>52548578.554153845</v>
      </c>
      <c r="AP345" s="156">
        <f t="shared" si="382"/>
        <v>36784004.987907685</v>
      </c>
      <c r="AQ345" s="161">
        <f t="shared" si="387"/>
        <v>8216994066.2039185</v>
      </c>
      <c r="AR345" s="163">
        <f t="shared" si="388"/>
        <v>3.978576388837654</v>
      </c>
      <c r="AS345" s="49">
        <f t="shared" si="383"/>
        <v>0.11056746031746031</v>
      </c>
      <c r="AT345" s="165">
        <f t="shared" si="389"/>
        <v>24.46880753968254</v>
      </c>
      <c r="AU345" s="254">
        <f t="shared" si="384"/>
        <v>200331.82440000001</v>
      </c>
      <c r="AV345" s="255">
        <f t="shared" si="385"/>
        <v>465365.87560000003</v>
      </c>
      <c r="AW345" s="256">
        <f t="shared" si="386"/>
        <v>0.43048241159004313</v>
      </c>
    </row>
    <row r="346" spans="1:49">
      <c r="A346" s="108">
        <v>344</v>
      </c>
      <c r="F346" s="45">
        <v>43133.165798611109</v>
      </c>
      <c r="G346" s="45">
        <v>43133.206307870372</v>
      </c>
      <c r="H346" s="53">
        <f>G346-F346-'user time'!J154-'user time'!J155</f>
        <v>3.9745370373873573E-2</v>
      </c>
      <c r="I346" s="86">
        <v>50.65</v>
      </c>
      <c r="J346" s="109" t="s">
        <v>260</v>
      </c>
      <c r="K346" s="88" t="s">
        <v>72</v>
      </c>
      <c r="L346" s="88" t="s">
        <v>73</v>
      </c>
      <c r="M346" s="88">
        <v>-369</v>
      </c>
      <c r="N346" s="108">
        <v>1</v>
      </c>
      <c r="O346" s="108">
        <v>200</v>
      </c>
      <c r="P346" s="88">
        <v>348</v>
      </c>
      <c r="Q346" s="88" t="s">
        <v>75</v>
      </c>
      <c r="R346" s="88" t="s">
        <v>348</v>
      </c>
      <c r="S346" s="110">
        <v>10200</v>
      </c>
      <c r="T346" s="110">
        <v>890</v>
      </c>
      <c r="U346" s="88">
        <v>983</v>
      </c>
      <c r="V346" s="90">
        <v>1500</v>
      </c>
      <c r="W346" s="111">
        <v>10</v>
      </c>
      <c r="X346" s="110">
        <v>48977</v>
      </c>
      <c r="Y346" s="110">
        <v>868291</v>
      </c>
      <c r="Z346" s="110">
        <v>6628398</v>
      </c>
      <c r="AA346" s="110">
        <v>2059649</v>
      </c>
      <c r="AB346" s="112">
        <v>4593391</v>
      </c>
      <c r="AC346" s="109">
        <v>160.1</v>
      </c>
      <c r="AD346" s="110">
        <v>-109.8</v>
      </c>
      <c r="AE346" s="110">
        <v>3.94</v>
      </c>
      <c r="AF346" s="110">
        <v>-0.76</v>
      </c>
      <c r="AG346" s="110">
        <v>109.8</v>
      </c>
      <c r="AH346" s="110">
        <v>-110</v>
      </c>
      <c r="AI346" s="110">
        <v>3.72</v>
      </c>
      <c r="AJ346" s="109">
        <v>-0.35</v>
      </c>
      <c r="AK346" s="113" t="s">
        <v>59</v>
      </c>
      <c r="AL346" s="107" t="s">
        <v>181</v>
      </c>
      <c r="AN346" s="107">
        <v>0.95</v>
      </c>
      <c r="AO346" s="48">
        <f t="shared" si="381"/>
        <v>129215248.70576924</v>
      </c>
      <c r="AP346" s="156">
        <f t="shared" si="382"/>
        <v>90450674.094038457</v>
      </c>
      <c r="AQ346" s="161">
        <f t="shared" si="387"/>
        <v>8307444740.2979565</v>
      </c>
      <c r="AR346" s="163">
        <f t="shared" si="388"/>
        <v>4.0183217592115277</v>
      </c>
      <c r="AS346" s="49">
        <f t="shared" si="383"/>
        <v>0.28641369047619042</v>
      </c>
      <c r="AT346" s="165">
        <f t="shared" si="389"/>
        <v>24.755221230158732</v>
      </c>
      <c r="AU346" s="254">
        <f t="shared" si="384"/>
        <v>195666.655</v>
      </c>
      <c r="AV346" s="255">
        <f t="shared" si="385"/>
        <v>469637.34499999997</v>
      </c>
      <c r="AW346" s="256">
        <f t="shared" si="386"/>
        <v>0.41663350898979301</v>
      </c>
    </row>
    <row r="347" spans="1:49">
      <c r="A347" s="108">
        <v>345</v>
      </c>
      <c r="F347" s="45">
        <v>43133.206354166665</v>
      </c>
      <c r="G347" s="45">
        <v>43133.247627314813</v>
      </c>
      <c r="H347" s="53">
        <f>G347-F347-'user time'!J156-'user time'!J157</f>
        <v>4.0462962963135451E-2</v>
      </c>
      <c r="I347" s="86">
        <v>50.75</v>
      </c>
      <c r="J347" s="109" t="s">
        <v>260</v>
      </c>
      <c r="K347" s="88" t="s">
        <v>72</v>
      </c>
      <c r="L347" s="88" t="s">
        <v>73</v>
      </c>
      <c r="M347" s="88">
        <v>-369</v>
      </c>
      <c r="N347" s="108">
        <v>1</v>
      </c>
      <c r="O347" s="108">
        <v>200</v>
      </c>
      <c r="P347" s="88">
        <v>348</v>
      </c>
      <c r="Q347" s="88" t="s">
        <v>75</v>
      </c>
      <c r="R347" s="88" t="s">
        <v>348</v>
      </c>
      <c r="S347" s="110">
        <v>10100</v>
      </c>
      <c r="T347" s="110">
        <v>903</v>
      </c>
      <c r="U347" s="88">
        <v>983</v>
      </c>
      <c r="V347" s="90">
        <v>1500</v>
      </c>
      <c r="W347" s="111">
        <v>10</v>
      </c>
      <c r="X347" s="110">
        <v>48751</v>
      </c>
      <c r="Y347" s="110">
        <v>868907</v>
      </c>
      <c r="Z347" s="110">
        <v>6555407</v>
      </c>
      <c r="AA347" s="110">
        <v>2026966</v>
      </c>
      <c r="AB347" s="112">
        <v>4553082</v>
      </c>
      <c r="AC347" s="109">
        <v>160.1</v>
      </c>
      <c r="AD347" s="110">
        <v>-109.9</v>
      </c>
      <c r="AE347" s="110">
        <v>3.94</v>
      </c>
      <c r="AF347" s="110">
        <v>-0.76</v>
      </c>
      <c r="AG347" s="110">
        <v>109.8</v>
      </c>
      <c r="AH347" s="110">
        <v>-110</v>
      </c>
      <c r="AI347" s="110">
        <v>3.72</v>
      </c>
      <c r="AJ347" s="109">
        <v>-0.35</v>
      </c>
      <c r="AK347" s="113" t="s">
        <v>59</v>
      </c>
      <c r="AL347" s="107" t="s">
        <v>181</v>
      </c>
      <c r="AN347" s="107">
        <v>0.94</v>
      </c>
      <c r="AO347" s="48">
        <f t="shared" si="381"/>
        <v>128098014.38153844</v>
      </c>
      <c r="AP347" s="156">
        <f t="shared" si="382"/>
        <v>89668610.067076907</v>
      </c>
      <c r="AQ347" s="161">
        <f t="shared" si="387"/>
        <v>8397113350.3650331</v>
      </c>
      <c r="AR347" s="163">
        <f t="shared" si="388"/>
        <v>4.0587847221746634</v>
      </c>
      <c r="AS347" s="49">
        <f t="shared" si="383"/>
        <v>0.29201388888888885</v>
      </c>
      <c r="AT347" s="165">
        <f t="shared" si="389"/>
        <v>25.04723511904762</v>
      </c>
      <c r="AU347" s="254">
        <f t="shared" si="384"/>
        <v>190534.804</v>
      </c>
      <c r="AV347" s="255">
        <f t="shared" si="385"/>
        <v>467469.99600000004</v>
      </c>
      <c r="AW347" s="256">
        <f t="shared" si="386"/>
        <v>0.4075872368929534</v>
      </c>
    </row>
    <row r="348" spans="1:49">
      <c r="A348" s="108">
        <v>346</v>
      </c>
      <c r="F348" s="45">
        <v>43133.247662037036</v>
      </c>
      <c r="G348" s="45">
        <v>43133.289513888885</v>
      </c>
      <c r="H348" s="53">
        <f>G348-F348-'user time'!J158-'user time'!J159</f>
        <v>4.1064814812023009E-2</v>
      </c>
      <c r="I348" s="86">
        <v>50.69</v>
      </c>
      <c r="J348" s="109" t="s">
        <v>260</v>
      </c>
      <c r="K348" s="88" t="s">
        <v>72</v>
      </c>
      <c r="L348" s="88" t="s">
        <v>73</v>
      </c>
      <c r="M348" s="88">
        <v>-369</v>
      </c>
      <c r="N348" s="108">
        <v>1</v>
      </c>
      <c r="O348" s="108">
        <v>200</v>
      </c>
      <c r="P348" s="88">
        <v>348</v>
      </c>
      <c r="Q348" s="88" t="s">
        <v>75</v>
      </c>
      <c r="R348" s="88" t="s">
        <v>348</v>
      </c>
      <c r="S348" s="110">
        <v>10100</v>
      </c>
      <c r="T348" s="110">
        <v>900</v>
      </c>
      <c r="U348" s="88">
        <v>983</v>
      </c>
      <c r="V348" s="90">
        <v>1500</v>
      </c>
      <c r="W348" s="111">
        <v>10</v>
      </c>
      <c r="X348" s="110">
        <v>48885</v>
      </c>
      <c r="Y348" s="110">
        <v>865800</v>
      </c>
      <c r="Z348" s="110">
        <v>6566307</v>
      </c>
      <c r="AA348" s="110">
        <v>2013389</v>
      </c>
      <c r="AB348" s="112">
        <v>4578658</v>
      </c>
      <c r="AC348" s="109">
        <v>160.1</v>
      </c>
      <c r="AD348" s="110">
        <v>-109.9</v>
      </c>
      <c r="AE348" s="110">
        <v>3.94</v>
      </c>
      <c r="AF348" s="110">
        <v>-0.76</v>
      </c>
      <c r="AG348" s="110">
        <v>109.8</v>
      </c>
      <c r="AH348" s="110">
        <v>-110</v>
      </c>
      <c r="AI348" s="110">
        <v>3.72</v>
      </c>
      <c r="AJ348" s="109">
        <v>-0.35</v>
      </c>
      <c r="AK348" s="113" t="s">
        <v>59</v>
      </c>
      <c r="AL348" s="107" t="s">
        <v>181</v>
      </c>
      <c r="AN348" s="107">
        <v>0.94</v>
      </c>
      <c r="AO348" s="48">
        <f t="shared" si="381"/>
        <v>129132575.41692306</v>
      </c>
      <c r="AP348" s="156">
        <f t="shared" si="382"/>
        <v>90392802.791846141</v>
      </c>
      <c r="AQ348" s="161">
        <f t="shared" si="387"/>
        <v>8487506153.1568794</v>
      </c>
      <c r="AR348" s="163">
        <f t="shared" si="388"/>
        <v>4.0998495369866861</v>
      </c>
      <c r="AS348" s="49">
        <f t="shared" si="383"/>
        <v>0.29669742063492061</v>
      </c>
      <c r="AT348" s="165">
        <f t="shared" si="389"/>
        <v>25.343932539682541</v>
      </c>
      <c r="AU348" s="254">
        <f t="shared" si="384"/>
        <v>189258.56599999999</v>
      </c>
      <c r="AV348" s="255">
        <f t="shared" si="385"/>
        <v>469946.13400000002</v>
      </c>
      <c r="AW348" s="256">
        <f t="shared" si="386"/>
        <v>0.40272395559274882</v>
      </c>
    </row>
    <row r="349" spans="1:49">
      <c r="A349" s="108">
        <v>347</v>
      </c>
      <c r="F349" s="45">
        <v>43133.289560185185</v>
      </c>
      <c r="G349" s="45">
        <v>43133.330625000002</v>
      </c>
      <c r="H349" s="53">
        <f>G349-F349-'user time'!J160-'user time'!J161</f>
        <v>4.0324074076477867E-2</v>
      </c>
      <c r="I349" s="86">
        <v>50.87</v>
      </c>
      <c r="J349" s="109" t="s">
        <v>260</v>
      </c>
      <c r="K349" s="88" t="s">
        <v>72</v>
      </c>
      <c r="L349" s="88" t="s">
        <v>73</v>
      </c>
      <c r="M349" s="88">
        <v>-369</v>
      </c>
      <c r="N349" s="108">
        <v>1</v>
      </c>
      <c r="O349" s="108">
        <v>200</v>
      </c>
      <c r="P349" s="88">
        <v>348</v>
      </c>
      <c r="Q349" s="88" t="s">
        <v>75</v>
      </c>
      <c r="R349" s="88" t="s">
        <v>348</v>
      </c>
      <c r="S349" s="110">
        <v>10000</v>
      </c>
      <c r="T349" s="110">
        <v>900</v>
      </c>
      <c r="U349" s="88">
        <v>983</v>
      </c>
      <c r="V349" s="90">
        <v>1500</v>
      </c>
      <c r="W349" s="111">
        <v>10</v>
      </c>
      <c r="X349" s="110">
        <v>48723</v>
      </c>
      <c r="Y349" s="110">
        <v>868964</v>
      </c>
      <c r="Z349" s="110">
        <v>6559949</v>
      </c>
      <c r="AA349" s="110">
        <v>2021603</v>
      </c>
      <c r="AB349" s="112">
        <v>4563678</v>
      </c>
      <c r="AC349" s="109">
        <v>160.1</v>
      </c>
      <c r="AD349" s="110">
        <v>-109.9</v>
      </c>
      <c r="AE349" s="110">
        <v>3.94</v>
      </c>
      <c r="AF349" s="110">
        <v>-0.75</v>
      </c>
      <c r="AG349" s="110">
        <v>109.8</v>
      </c>
      <c r="AH349" s="110">
        <v>-110</v>
      </c>
      <c r="AI349" s="110">
        <v>3.72</v>
      </c>
      <c r="AJ349" s="109">
        <v>-0.35</v>
      </c>
      <c r="AK349" s="113" t="s">
        <v>59</v>
      </c>
      <c r="AL349" s="107" t="s">
        <v>181</v>
      </c>
      <c r="AN349" s="107">
        <v>0.94399999999999995</v>
      </c>
      <c r="AO349" s="48">
        <f t="shared" si="381"/>
        <v>127862346.544</v>
      </c>
      <c r="AP349" s="156">
        <f t="shared" si="382"/>
        <v>89503642.580799997</v>
      </c>
      <c r="AQ349" s="161">
        <f t="shared" si="387"/>
        <v>8577009795.7376795</v>
      </c>
      <c r="AR349" s="163">
        <f t="shared" si="388"/>
        <v>4.1401736110631635</v>
      </c>
      <c r="AS349" s="49">
        <f t="shared" si="383"/>
        <v>0.29270436507936509</v>
      </c>
      <c r="AT349" s="165">
        <f t="shared" si="389"/>
        <v>25.636636904761907</v>
      </c>
      <c r="AU349" s="254">
        <f t="shared" si="384"/>
        <v>190839.32319999998</v>
      </c>
      <c r="AV349" s="255">
        <f t="shared" si="385"/>
        <v>467688.77679999999</v>
      </c>
      <c r="AW349" s="256">
        <f t="shared" si="386"/>
        <v>0.40804768612527453</v>
      </c>
    </row>
    <row r="350" spans="1:49">
      <c r="A350" s="108">
        <v>348</v>
      </c>
      <c r="F350" s="45">
        <v>43133.330671296295</v>
      </c>
      <c r="G350" s="45">
        <v>43133.372118055559</v>
      </c>
      <c r="H350" s="53">
        <f>G350-F350-'user time'!J162-'user time'!J163</f>
        <v>4.0937500004376404E-2</v>
      </c>
      <c r="I350" s="86">
        <v>50.67</v>
      </c>
      <c r="J350" s="109" t="s">
        <v>260</v>
      </c>
      <c r="K350" s="88" t="s">
        <v>72</v>
      </c>
      <c r="L350" s="88" t="s">
        <v>73</v>
      </c>
      <c r="M350" s="88">
        <v>-369</v>
      </c>
      <c r="N350" s="108">
        <v>1</v>
      </c>
      <c r="O350" s="108">
        <v>200</v>
      </c>
      <c r="P350" s="88">
        <v>348</v>
      </c>
      <c r="Q350" s="88" t="s">
        <v>75</v>
      </c>
      <c r="R350" s="88" t="s">
        <v>348</v>
      </c>
      <c r="S350" s="110">
        <v>10300</v>
      </c>
      <c r="T350" s="110">
        <v>913</v>
      </c>
      <c r="U350" s="88">
        <v>983</v>
      </c>
      <c r="V350" s="90">
        <v>1500</v>
      </c>
      <c r="W350" s="111">
        <v>10</v>
      </c>
      <c r="X350" s="110">
        <v>49309</v>
      </c>
      <c r="Y350" s="110">
        <v>868275</v>
      </c>
      <c r="Z350" s="110">
        <v>6585717</v>
      </c>
      <c r="AA350" s="110">
        <v>2026499</v>
      </c>
      <c r="AB350" s="112">
        <v>4583657</v>
      </c>
      <c r="AC350" s="109">
        <v>160.1</v>
      </c>
      <c r="AD350" s="110">
        <v>-109.8</v>
      </c>
      <c r="AE350" s="110">
        <v>3.94</v>
      </c>
      <c r="AF350" s="110">
        <v>-0.75</v>
      </c>
      <c r="AG350" s="110">
        <v>109.8</v>
      </c>
      <c r="AH350" s="110">
        <v>-110</v>
      </c>
      <c r="AI350" s="110">
        <v>3.72</v>
      </c>
      <c r="AJ350" s="109">
        <v>-0.35</v>
      </c>
      <c r="AK350" s="113" t="s">
        <v>59</v>
      </c>
      <c r="AL350" s="107" t="s">
        <v>181</v>
      </c>
      <c r="AN350" s="107">
        <v>0.94</v>
      </c>
      <c r="AO350" s="48">
        <f t="shared" si="381"/>
        <v>129570448.94653843</v>
      </c>
      <c r="AP350" s="156">
        <f t="shared" si="382"/>
        <v>90699314.262576893</v>
      </c>
      <c r="AQ350" s="161">
        <f t="shared" si="387"/>
        <v>8667709110.0002556</v>
      </c>
      <c r="AR350" s="163">
        <f t="shared" si="388"/>
        <v>4.1811111110675396</v>
      </c>
      <c r="AS350" s="49">
        <f t="shared" si="383"/>
        <v>0.29155357142857141</v>
      </c>
      <c r="AT350" s="165">
        <f t="shared" si="389"/>
        <v>25.92819047619048</v>
      </c>
      <c r="AU350" s="254">
        <f t="shared" si="384"/>
        <v>190490.90599999999</v>
      </c>
      <c r="AV350" s="255">
        <f t="shared" si="385"/>
        <v>470524.69400000002</v>
      </c>
      <c r="AW350" s="256">
        <f t="shared" si="386"/>
        <v>0.40484783993079859</v>
      </c>
    </row>
    <row r="351" spans="1:49">
      <c r="A351" s="108">
        <v>349</v>
      </c>
      <c r="F351" s="45">
        <v>43133.372141203705</v>
      </c>
      <c r="G351" s="45">
        <v>43133.423449074071</v>
      </c>
      <c r="H351" s="53">
        <f>G351-F351-SUM('user time'!J164:J166)</f>
        <v>4.1018518514293001E-2</v>
      </c>
      <c r="I351" s="86">
        <v>50.8</v>
      </c>
      <c r="J351" s="109" t="s">
        <v>260</v>
      </c>
      <c r="K351" s="88" t="s">
        <v>72</v>
      </c>
      <c r="L351" s="88" t="s">
        <v>73</v>
      </c>
      <c r="M351" s="88">
        <v>-369</v>
      </c>
      <c r="N351" s="108">
        <v>1</v>
      </c>
      <c r="O351" s="108">
        <v>200</v>
      </c>
      <c r="P351" s="88">
        <v>348</v>
      </c>
      <c r="Q351" s="88" t="s">
        <v>75</v>
      </c>
      <c r="R351" s="88" t="s">
        <v>348</v>
      </c>
      <c r="S351" s="110">
        <v>9964</v>
      </c>
      <c r="T351" s="110">
        <v>881</v>
      </c>
      <c r="U351" s="88">
        <v>983</v>
      </c>
      <c r="V351" s="90">
        <v>1500</v>
      </c>
      <c r="W351" s="111">
        <v>10</v>
      </c>
      <c r="X351" s="110">
        <v>49025</v>
      </c>
      <c r="Y351" s="110">
        <v>871781</v>
      </c>
      <c r="Z351" s="110">
        <v>6632582</v>
      </c>
      <c r="AA351" s="110">
        <v>1997743</v>
      </c>
      <c r="AB351" s="112">
        <v>4659706</v>
      </c>
      <c r="AC351" s="109">
        <v>160.1</v>
      </c>
      <c r="AD351" s="110">
        <v>-109.9</v>
      </c>
      <c r="AE351" s="110">
        <v>3.94</v>
      </c>
      <c r="AF351" s="110">
        <v>-0.76</v>
      </c>
      <c r="AG351" s="110">
        <v>109.8</v>
      </c>
      <c r="AH351" s="110">
        <v>-110</v>
      </c>
      <c r="AI351" s="110">
        <v>3.72</v>
      </c>
      <c r="AJ351" s="109">
        <v>-0.35</v>
      </c>
      <c r="AK351" s="113" t="s">
        <v>59</v>
      </c>
      <c r="AL351" s="107" t="s">
        <v>461</v>
      </c>
      <c r="AN351" s="107">
        <v>0.93700000000000006</v>
      </c>
      <c r="AO351" s="48">
        <f t="shared" ref="AO351:AO356" si="390">(HOUR(H351)*60*60+MINUTE(H351)*60+SECOND(H351))/5.2*AA351/W351*AN351</f>
        <v>127576175.32507692</v>
      </c>
      <c r="AP351" s="156">
        <f t="shared" ref="AP351" si="391">AO351*0.7</f>
        <v>89303322.727553844</v>
      </c>
      <c r="AQ351" s="161">
        <f t="shared" ref="AQ351" si="392">AP351+AQ350</f>
        <v>8757012432.7278099</v>
      </c>
      <c r="AR351" s="163">
        <f t="shared" ref="AR351" si="393">H351+AR350</f>
        <v>4.2221296295818327</v>
      </c>
      <c r="AS351" s="49">
        <f t="shared" ref="AS351" si="394">I351*(HOUR(H351)*60+MINUTE(H351))/60/(7*24)</f>
        <v>0.29734126984126985</v>
      </c>
      <c r="AT351" s="165">
        <f t="shared" ref="AT351" si="395">AS351+AT350</f>
        <v>26.225531746031749</v>
      </c>
      <c r="AU351" s="254">
        <f t="shared" si="384"/>
        <v>187188.5191</v>
      </c>
      <c r="AV351" s="255">
        <f t="shared" si="385"/>
        <v>478556.38089999999</v>
      </c>
      <c r="AW351" s="256">
        <f t="shared" si="386"/>
        <v>0.39115248813099673</v>
      </c>
    </row>
    <row r="352" spans="1:49">
      <c r="A352" s="108">
        <v>350</v>
      </c>
      <c r="F352" s="45">
        <v>43133.423449074071</v>
      </c>
      <c r="G352" s="45">
        <v>43133.444398148145</v>
      </c>
      <c r="H352" s="53">
        <f>G352-F352</f>
        <v>2.0949074074451346E-2</v>
      </c>
      <c r="I352" s="86">
        <v>50.7</v>
      </c>
      <c r="J352" s="109" t="s">
        <v>260</v>
      </c>
      <c r="K352" s="88" t="s">
        <v>72</v>
      </c>
      <c r="L352" s="88" t="s">
        <v>73</v>
      </c>
      <c r="M352" s="88">
        <v>-369</v>
      </c>
      <c r="N352" s="108">
        <v>1</v>
      </c>
      <c r="O352" s="108">
        <v>200</v>
      </c>
      <c r="P352" s="88">
        <v>348</v>
      </c>
      <c r="Q352" s="88" t="s">
        <v>75</v>
      </c>
      <c r="R352" s="88" t="s">
        <v>348</v>
      </c>
      <c r="S352" s="110">
        <v>10100</v>
      </c>
      <c r="T352" s="110">
        <v>868</v>
      </c>
      <c r="U352" s="88">
        <v>983</v>
      </c>
      <c r="V352" s="90">
        <v>1500</v>
      </c>
      <c r="W352" s="111">
        <v>10</v>
      </c>
      <c r="X352" s="110">
        <v>48946</v>
      </c>
      <c r="Y352" s="110">
        <v>871324</v>
      </c>
      <c r="Z352" s="110">
        <v>6601855</v>
      </c>
      <c r="AA352" s="110">
        <v>2045253</v>
      </c>
      <c r="AB352" s="112">
        <v>4580441</v>
      </c>
      <c r="AC352" s="109">
        <v>160.1</v>
      </c>
      <c r="AD352" s="110">
        <v>-109.9</v>
      </c>
      <c r="AE352" s="110">
        <v>3.94</v>
      </c>
      <c r="AF352" s="110">
        <v>-0.76</v>
      </c>
      <c r="AG352" s="110">
        <v>109.8</v>
      </c>
      <c r="AH352" s="110">
        <v>-110</v>
      </c>
      <c r="AI352" s="110">
        <v>3.71</v>
      </c>
      <c r="AJ352" s="109">
        <v>-0.35</v>
      </c>
      <c r="AK352" s="113" t="s">
        <v>59</v>
      </c>
      <c r="AL352" s="107" t="s">
        <v>459</v>
      </c>
      <c r="AN352" s="107">
        <v>0.94</v>
      </c>
      <c r="AO352" s="48">
        <f t="shared" si="390"/>
        <v>66919104.88846153</v>
      </c>
      <c r="AP352" s="156">
        <f t="shared" ref="AP352" si="396">AO352*0.7</f>
        <v>46843373.421923071</v>
      </c>
      <c r="AQ352" s="161">
        <f t="shared" ref="AQ352" si="397">AP352+AQ351</f>
        <v>8803855806.1497326</v>
      </c>
      <c r="AR352" s="163">
        <f t="shared" ref="AR352" si="398">H352+AR351</f>
        <v>4.243078703656284</v>
      </c>
      <c r="AS352" s="49">
        <f t="shared" ref="AS352" si="399">I352*(HOUR(H352)*60+MINUTE(H352))/60/(7*24)</f>
        <v>0.15089285714285716</v>
      </c>
      <c r="AT352" s="165">
        <f t="shared" ref="AT352" si="400">AS352+AT351</f>
        <v>26.376424603174605</v>
      </c>
      <c r="AU352" s="254">
        <f t="shared" si="384"/>
        <v>192253.78199999998</v>
      </c>
      <c r="AV352" s="255">
        <f t="shared" si="385"/>
        <v>470315.61800000002</v>
      </c>
      <c r="AW352" s="256">
        <f t="shared" si="386"/>
        <v>0.40877609554526845</v>
      </c>
    </row>
    <row r="353" spans="1:70">
      <c r="A353" s="108">
        <v>351</v>
      </c>
      <c r="F353" s="45">
        <v>43133.445289351854</v>
      </c>
      <c r="G353" s="45">
        <v>43133.469583333332</v>
      </c>
      <c r="H353" s="53">
        <f>G353-F353-'user time'!J167</f>
        <v>2.3981481477967415E-2</v>
      </c>
      <c r="I353" s="86">
        <v>50.76</v>
      </c>
      <c r="J353" s="109" t="s">
        <v>260</v>
      </c>
      <c r="K353" s="88" t="s">
        <v>72</v>
      </c>
      <c r="L353" s="88" t="s">
        <v>73</v>
      </c>
      <c r="M353" s="88">
        <v>-369</v>
      </c>
      <c r="N353" s="108">
        <v>1</v>
      </c>
      <c r="O353" s="108">
        <v>200</v>
      </c>
      <c r="P353" s="88">
        <v>348</v>
      </c>
      <c r="Q353" s="88" t="s">
        <v>75</v>
      </c>
      <c r="R353" s="88" t="s">
        <v>348</v>
      </c>
      <c r="S353" s="110">
        <v>10049</v>
      </c>
      <c r="T353" s="110">
        <v>897</v>
      </c>
      <c r="U353" s="88">
        <v>983</v>
      </c>
      <c r="V353" s="90">
        <v>1500</v>
      </c>
      <c r="W353" s="111">
        <v>10</v>
      </c>
      <c r="X353" s="110">
        <v>48584</v>
      </c>
      <c r="Y353" s="110">
        <v>868625</v>
      </c>
      <c r="Z353" s="110">
        <v>6589698</v>
      </c>
      <c r="AA353" s="110">
        <v>2037471</v>
      </c>
      <c r="AB353" s="112">
        <v>4576160</v>
      </c>
      <c r="AC353" s="109">
        <v>160.1</v>
      </c>
      <c r="AD353" s="110">
        <v>-109.9</v>
      </c>
      <c r="AE353" s="110">
        <v>3.94</v>
      </c>
      <c r="AF353" s="110">
        <v>-0.76</v>
      </c>
      <c r="AG353" s="110">
        <v>109.8</v>
      </c>
      <c r="AH353" s="110">
        <v>-110</v>
      </c>
      <c r="AI353" s="110">
        <v>3.71</v>
      </c>
      <c r="AJ353" s="109">
        <v>-0.35</v>
      </c>
      <c r="AK353" s="113" t="s">
        <v>59</v>
      </c>
      <c r="AL353" s="107" t="s">
        <v>468</v>
      </c>
      <c r="AN353" s="107">
        <v>0.94</v>
      </c>
      <c r="AO353" s="48">
        <f t="shared" si="390"/>
        <v>76314259.94769229</v>
      </c>
      <c r="AP353" s="156">
        <f t="shared" ref="AP353" si="401">AO353*0.7</f>
        <v>53419981.963384598</v>
      </c>
      <c r="AQ353" s="161">
        <f t="shared" ref="AQ353" si="402">AP353+AQ352</f>
        <v>8857275788.1131172</v>
      </c>
      <c r="AR353" s="163">
        <f t="shared" ref="AR353" si="403">H353+AR352</f>
        <v>4.2670601851342518</v>
      </c>
      <c r="AS353" s="49">
        <f t="shared" ref="AS353" si="404">I353*(HOUR(H353)*60+MINUTE(H353))/60/(7*24)</f>
        <v>0.17121428571428571</v>
      </c>
      <c r="AT353" s="165">
        <f t="shared" ref="AT353" si="405">AS353+AT352</f>
        <v>26.547638888888891</v>
      </c>
      <c r="AU353" s="254">
        <f t="shared" si="384"/>
        <v>191522.274</v>
      </c>
      <c r="AV353" s="255">
        <f t="shared" si="385"/>
        <v>469840.826</v>
      </c>
      <c r="AW353" s="256">
        <f t="shared" si="386"/>
        <v>0.40763225203422404</v>
      </c>
    </row>
    <row r="354" spans="1:70">
      <c r="A354" s="108">
        <v>352</v>
      </c>
      <c r="F354" s="45">
        <v>43133.482835648145</v>
      </c>
      <c r="G354" s="45">
        <v>43133.524317129632</v>
      </c>
      <c r="H354" s="53">
        <f>G354-F354-'user time'!J169</f>
        <v>4.1111111116328147E-2</v>
      </c>
      <c r="I354" s="86">
        <v>50.7</v>
      </c>
      <c r="J354" s="109" t="s">
        <v>260</v>
      </c>
      <c r="K354" s="88" t="s">
        <v>72</v>
      </c>
      <c r="L354" s="88" t="s">
        <v>73</v>
      </c>
      <c r="M354" s="88">
        <v>-369</v>
      </c>
      <c r="N354" s="108">
        <v>1</v>
      </c>
      <c r="O354" s="108">
        <v>200</v>
      </c>
      <c r="P354" s="88">
        <v>348</v>
      </c>
      <c r="Q354" s="88" t="s">
        <v>75</v>
      </c>
      <c r="R354" s="88" t="s">
        <v>348</v>
      </c>
      <c r="S354" s="110">
        <v>10100</v>
      </c>
      <c r="T354" s="110">
        <v>777</v>
      </c>
      <c r="U354" s="88">
        <v>983</v>
      </c>
      <c r="V354" s="90">
        <v>1500</v>
      </c>
      <c r="W354" s="111">
        <v>10</v>
      </c>
      <c r="X354" s="110">
        <v>49148</v>
      </c>
      <c r="Y354" s="110">
        <v>871079</v>
      </c>
      <c r="Z354" s="110">
        <v>6589283</v>
      </c>
      <c r="AA354" s="110">
        <v>2045361</v>
      </c>
      <c r="AB354" s="112">
        <v>4568340</v>
      </c>
      <c r="AC354" s="109">
        <v>160.1</v>
      </c>
      <c r="AD354" s="110">
        <v>-109.9</v>
      </c>
      <c r="AE354" s="110">
        <v>3.94</v>
      </c>
      <c r="AF354" s="110">
        <v>-0.76</v>
      </c>
      <c r="AG354" s="110">
        <v>109.8</v>
      </c>
      <c r="AH354" s="110">
        <v>-110</v>
      </c>
      <c r="AI354" s="110">
        <v>3.71</v>
      </c>
      <c r="AJ354" s="109">
        <v>-0.35</v>
      </c>
      <c r="AK354" s="113" t="s">
        <v>59</v>
      </c>
      <c r="AL354" s="107" t="s">
        <v>181</v>
      </c>
      <c r="AN354" s="107">
        <v>0.94599999999999995</v>
      </c>
      <c r="AO354" s="48">
        <f t="shared" si="390"/>
        <v>132169339.79446153</v>
      </c>
      <c r="AP354" s="156">
        <f t="shared" ref="AP354" si="406">AO354*0.7</f>
        <v>92518537.856123075</v>
      </c>
      <c r="AQ354" s="161">
        <f t="shared" ref="AQ354" si="407">AP354+AQ353</f>
        <v>8949794325.9692402</v>
      </c>
      <c r="AR354" s="163">
        <f t="shared" ref="AR354" si="408">H354+AR353</f>
        <v>4.3081712962505803</v>
      </c>
      <c r="AS354" s="49">
        <f t="shared" ref="AS354" si="409">I354*(HOUR(H354)*60+MINUTE(H354))/60/(7*24)</f>
        <v>0.29675595238095243</v>
      </c>
      <c r="AT354" s="165">
        <f t="shared" ref="AT354" si="410">AS354+AT353</f>
        <v>26.844394841269843</v>
      </c>
      <c r="AU354" s="254">
        <f t="shared" si="384"/>
        <v>193491.15059999999</v>
      </c>
      <c r="AV354" s="255">
        <f t="shared" si="385"/>
        <v>467878.94939999998</v>
      </c>
      <c r="AW354" s="256">
        <f t="shared" si="386"/>
        <v>0.41354959621100662</v>
      </c>
    </row>
    <row r="355" spans="1:70">
      <c r="A355" s="108">
        <v>353</v>
      </c>
      <c r="F355" s="45">
        <v>43133.524351851855</v>
      </c>
      <c r="G355" s="45">
        <v>43133.566458333335</v>
      </c>
      <c r="H355" s="53">
        <f>G355-F355-'user time'!J170</f>
        <v>4.1585648146671317E-2</v>
      </c>
      <c r="I355" s="86">
        <v>50.76</v>
      </c>
      <c r="J355" s="109" t="s">
        <v>260</v>
      </c>
      <c r="K355" s="88" t="s">
        <v>72</v>
      </c>
      <c r="L355" s="88" t="s">
        <v>73</v>
      </c>
      <c r="M355" s="88">
        <v>-369</v>
      </c>
      <c r="N355" s="108">
        <v>1</v>
      </c>
      <c r="O355" s="108">
        <v>200</v>
      </c>
      <c r="P355" s="88">
        <v>348</v>
      </c>
      <c r="Q355" s="88" t="s">
        <v>75</v>
      </c>
      <c r="R355" s="88" t="s">
        <v>348</v>
      </c>
      <c r="S355" s="110">
        <v>10500</v>
      </c>
      <c r="T355" s="110">
        <v>824</v>
      </c>
      <c r="U355" s="88">
        <v>983</v>
      </c>
      <c r="V355" s="90">
        <v>1500</v>
      </c>
      <c r="W355" s="111">
        <v>10</v>
      </c>
      <c r="X355" s="110">
        <v>49180</v>
      </c>
      <c r="Y355" s="110">
        <v>868149</v>
      </c>
      <c r="Z355" s="110">
        <v>6601714</v>
      </c>
      <c r="AA355" s="110">
        <v>2049305</v>
      </c>
      <c r="AB355" s="112">
        <v>4577279</v>
      </c>
      <c r="AC355" s="109">
        <v>160.1</v>
      </c>
      <c r="AD355" s="110">
        <v>-109.9</v>
      </c>
      <c r="AE355" s="110">
        <v>3.94</v>
      </c>
      <c r="AF355" s="110">
        <v>-0.76</v>
      </c>
      <c r="AG355" s="110">
        <v>109.8</v>
      </c>
      <c r="AH355" s="110">
        <v>-110</v>
      </c>
      <c r="AI355" s="110">
        <v>3.71</v>
      </c>
      <c r="AJ355" s="109">
        <v>-0.35</v>
      </c>
      <c r="AK355" s="113" t="s">
        <v>59</v>
      </c>
      <c r="AL355" s="107" t="s">
        <v>181</v>
      </c>
      <c r="AN355" s="107">
        <v>0.94299999999999995</v>
      </c>
      <c r="AO355" s="48">
        <f t="shared" si="390"/>
        <v>133527945.22490385</v>
      </c>
      <c r="AP355" s="156">
        <f t="shared" ref="AP355" si="411">AO355*0.7</f>
        <v>93469561.65743269</v>
      </c>
      <c r="AQ355" s="161">
        <f t="shared" ref="AQ355" si="412">AP355+AQ354</f>
        <v>9043263887.6266727</v>
      </c>
      <c r="AR355" s="163">
        <f t="shared" ref="AR355" si="413">H355+AR354</f>
        <v>4.3497569443972512</v>
      </c>
      <c r="AS355" s="49">
        <f t="shared" ref="AS355" si="414">I355*(HOUR(H355)*60+MINUTE(H355))/60/(7*24)</f>
        <v>0.29710714285714285</v>
      </c>
      <c r="AT355" s="165">
        <f t="shared" ref="AT355" si="415">AS355+AT354</f>
        <v>27.141501984126986</v>
      </c>
      <c r="AU355" s="254">
        <f t="shared" si="384"/>
        <v>193249.46149999998</v>
      </c>
      <c r="AV355" s="255">
        <f t="shared" si="385"/>
        <v>469408.93850000005</v>
      </c>
      <c r="AW355" s="256">
        <f t="shared" si="386"/>
        <v>0.41168679513758333</v>
      </c>
    </row>
    <row r="356" spans="1:70">
      <c r="A356" s="108">
        <v>354</v>
      </c>
      <c r="F356" s="45">
        <v>43133.566493055558</v>
      </c>
      <c r="G356" s="45">
        <v>43133.616828703707</v>
      </c>
      <c r="H356" s="53">
        <f>G356-F356-'user time'!J171-'user time'!J172</f>
        <v>4.0833333334669986E-2</v>
      </c>
      <c r="I356" s="86">
        <v>50.64</v>
      </c>
      <c r="J356" s="109" t="s">
        <v>260</v>
      </c>
      <c r="K356" s="88" t="s">
        <v>72</v>
      </c>
      <c r="L356" s="88" t="s">
        <v>73</v>
      </c>
      <c r="M356" s="88">
        <v>-369</v>
      </c>
      <c r="N356" s="108">
        <v>1</v>
      </c>
      <c r="O356" s="108">
        <v>200</v>
      </c>
      <c r="P356" s="88">
        <v>348</v>
      </c>
      <c r="Q356" s="88" t="s">
        <v>75</v>
      </c>
      <c r="R356" s="88" t="s">
        <v>348</v>
      </c>
      <c r="S356" s="110">
        <v>9976</v>
      </c>
      <c r="T356" s="110">
        <v>905</v>
      </c>
      <c r="U356" s="88">
        <v>983</v>
      </c>
      <c r="V356" s="90">
        <v>1500</v>
      </c>
      <c r="W356" s="111">
        <v>10</v>
      </c>
      <c r="X356" s="110">
        <v>49042</v>
      </c>
      <c r="Y356" s="110">
        <v>871056</v>
      </c>
      <c r="Z356" s="110">
        <v>6585876</v>
      </c>
      <c r="AA356" s="110">
        <v>2040743</v>
      </c>
      <c r="AB356" s="112">
        <v>4569919</v>
      </c>
      <c r="AC356" s="109">
        <v>160.1</v>
      </c>
      <c r="AD356" s="110">
        <v>-109.9</v>
      </c>
      <c r="AE356" s="110">
        <v>3.94</v>
      </c>
      <c r="AF356" s="110">
        <v>-0.76</v>
      </c>
      <c r="AG356" s="110">
        <v>109.8</v>
      </c>
      <c r="AH356" s="110">
        <v>-110</v>
      </c>
      <c r="AI356" s="110">
        <v>3.71</v>
      </c>
      <c r="AJ356" s="109">
        <v>-0.36</v>
      </c>
      <c r="AK356" s="113" t="s">
        <v>59</v>
      </c>
      <c r="AL356" s="107" t="s">
        <v>181</v>
      </c>
      <c r="AN356" s="107">
        <v>0.94199999999999995</v>
      </c>
      <c r="AO356" s="48">
        <f t="shared" si="390"/>
        <v>130426082.85323076</v>
      </c>
      <c r="AP356" s="156">
        <f t="shared" ref="AP356" si="416">AO356*0.7</f>
        <v>91298257.997261524</v>
      </c>
      <c r="AQ356" s="161">
        <f t="shared" ref="AQ356" si="417">AP356+AQ355</f>
        <v>9134562145.6239338</v>
      </c>
      <c r="AR356" s="163">
        <f t="shared" ref="AR356" si="418">H356+AR355</f>
        <v>4.3905902777319215</v>
      </c>
      <c r="AS356" s="49">
        <f t="shared" ref="AS356" si="419">I356*(HOUR(H356)*60+MINUTE(H356))/60/(7*24)</f>
        <v>0.29138095238095235</v>
      </c>
      <c r="AT356" s="165">
        <f t="shared" ref="AT356" si="420">AS356+AT355</f>
        <v>27.432882936507937</v>
      </c>
      <c r="AU356" s="254">
        <f t="shared" si="384"/>
        <v>192237.99059999999</v>
      </c>
      <c r="AV356" s="255">
        <f t="shared" si="385"/>
        <v>468828.20940000005</v>
      </c>
      <c r="AW356" s="256">
        <f t="shared" si="386"/>
        <v>0.41003929956779595</v>
      </c>
    </row>
    <row r="357" spans="1:70">
      <c r="A357" s="108">
        <v>355</v>
      </c>
      <c r="F357" s="45">
        <v>43133.617581018516</v>
      </c>
      <c r="G357" s="45">
        <v>43133.656724537039</v>
      </c>
      <c r="H357" s="53">
        <f>G357-F357</f>
        <v>3.9143518522905651E-2</v>
      </c>
      <c r="I357" s="86">
        <v>50.8</v>
      </c>
      <c r="J357" s="109" t="s">
        <v>260</v>
      </c>
      <c r="K357" s="88" t="s">
        <v>72</v>
      </c>
      <c r="L357" s="88" t="s">
        <v>73</v>
      </c>
      <c r="M357" s="88">
        <v>-369</v>
      </c>
      <c r="N357" s="108">
        <v>1</v>
      </c>
      <c r="O357" s="108">
        <v>200</v>
      </c>
      <c r="P357" s="88">
        <v>348</v>
      </c>
      <c r="Q357" s="88" t="s">
        <v>75</v>
      </c>
      <c r="R357" s="88" t="s">
        <v>348</v>
      </c>
      <c r="S357" s="110">
        <v>10100</v>
      </c>
      <c r="T357" s="110">
        <v>895</v>
      </c>
      <c r="U357" s="88">
        <v>983</v>
      </c>
      <c r="V357" s="90">
        <v>1500</v>
      </c>
      <c r="W357" s="111">
        <v>10</v>
      </c>
      <c r="X357" s="110">
        <v>49185</v>
      </c>
      <c r="Y357" s="110">
        <v>869495</v>
      </c>
      <c r="Z357" s="110">
        <v>6607883</v>
      </c>
      <c r="AA357" s="110">
        <v>2045338</v>
      </c>
      <c r="AB357" s="112">
        <v>4587073</v>
      </c>
      <c r="AC357" s="109">
        <v>160</v>
      </c>
      <c r="AD357" s="110">
        <v>-109.9</v>
      </c>
      <c r="AE357" s="110">
        <v>3.94</v>
      </c>
      <c r="AF357" s="110">
        <v>-0.76</v>
      </c>
      <c r="AG357" s="110">
        <v>109.8</v>
      </c>
      <c r="AH357" s="110">
        <v>-110</v>
      </c>
      <c r="AI357" s="110">
        <v>3.71</v>
      </c>
      <c r="AJ357" s="109">
        <v>-0.35</v>
      </c>
      <c r="AK357" s="113" t="s">
        <v>59</v>
      </c>
      <c r="AL357" s="107" t="s">
        <v>473</v>
      </c>
      <c r="AN357" s="107">
        <v>0.94299999999999995</v>
      </c>
      <c r="AO357" s="48">
        <f t="shared" ref="AO357:AO358" si="421">(HOUR(H357)*60*60+MINUTE(H357)*60+SECOND(H357))/5.2*AA357/W357*AN357</f>
        <v>125443175.54592305</v>
      </c>
      <c r="AP357" s="156">
        <f t="shared" ref="AP357:AP358" si="422">AO357*0.7</f>
        <v>87810222.882146135</v>
      </c>
      <c r="AQ357" s="161">
        <f t="shared" ref="AQ357:AQ358" si="423">AP357+AQ356</f>
        <v>9222372368.5060806</v>
      </c>
      <c r="AR357" s="163">
        <f t="shared" ref="AR357:AR358" si="424">H357+AR356</f>
        <v>4.4297337962548271</v>
      </c>
      <c r="AS357" s="49">
        <f t="shared" ref="AS357:AS358" si="425">I357*(HOUR(H357)*60+MINUTE(H357))/60/(7*24)</f>
        <v>0.28222222222222221</v>
      </c>
      <c r="AT357" s="165">
        <f t="shared" ref="AT357:AT358" si="426">AS357+AT356</f>
        <v>27.715105158730161</v>
      </c>
      <c r="AU357" s="254">
        <f t="shared" si="384"/>
        <v>192875.37339999998</v>
      </c>
      <c r="AV357" s="255">
        <f t="shared" si="385"/>
        <v>470365.72659999999</v>
      </c>
      <c r="AW357" s="256">
        <f t="shared" si="386"/>
        <v>0.41005405473350232</v>
      </c>
    </row>
    <row r="358" spans="1:70">
      <c r="A358" s="108">
        <v>356</v>
      </c>
      <c r="F358" s="45">
        <v>43133.656782407408</v>
      </c>
      <c r="G358" s="45">
        <v>43133.667881944442</v>
      </c>
      <c r="H358" s="53">
        <f>G358-F358</f>
        <v>1.1099537034169771E-2</v>
      </c>
      <c r="I358" s="86">
        <v>50.65</v>
      </c>
      <c r="J358" s="109" t="s">
        <v>260</v>
      </c>
      <c r="K358" s="88" t="s">
        <v>72</v>
      </c>
      <c r="L358" s="88" t="s">
        <v>73</v>
      </c>
      <c r="M358" s="88">
        <v>-369</v>
      </c>
      <c r="N358" s="108">
        <v>1</v>
      </c>
      <c r="O358" s="108">
        <v>200</v>
      </c>
      <c r="P358" s="88">
        <v>348</v>
      </c>
      <c r="Q358" s="88" t="s">
        <v>75</v>
      </c>
      <c r="R358" s="88" t="s">
        <v>348</v>
      </c>
      <c r="S358" s="110">
        <v>10100</v>
      </c>
      <c r="T358" s="110">
        <v>874</v>
      </c>
      <c r="U358" s="88">
        <v>983</v>
      </c>
      <c r="V358" s="90">
        <v>1500</v>
      </c>
      <c r="W358" s="111">
        <v>10</v>
      </c>
      <c r="X358" s="110">
        <v>48917</v>
      </c>
      <c r="Y358" s="110">
        <v>870395</v>
      </c>
      <c r="Z358" s="110">
        <v>6581963</v>
      </c>
      <c r="AA358" s="110">
        <v>2057098</v>
      </c>
      <c r="AB358" s="112">
        <v>4549310</v>
      </c>
      <c r="AC358" s="109">
        <v>160</v>
      </c>
      <c r="AD358" s="110">
        <v>-109.9</v>
      </c>
      <c r="AE358" s="110">
        <v>3.95</v>
      </c>
      <c r="AF358" s="110">
        <v>-0.76</v>
      </c>
      <c r="AG358" s="110">
        <v>109.8</v>
      </c>
      <c r="AH358" s="110">
        <v>-110</v>
      </c>
      <c r="AI358" s="110">
        <v>3.71</v>
      </c>
      <c r="AJ358" s="109">
        <v>-0.35</v>
      </c>
      <c r="AK358" s="113" t="s">
        <v>59</v>
      </c>
      <c r="AL358" s="107" t="s">
        <v>181</v>
      </c>
      <c r="AN358" s="107">
        <v>0.94599999999999995</v>
      </c>
      <c r="AO358" s="48">
        <f t="shared" si="421"/>
        <v>35889002.018692307</v>
      </c>
      <c r="AP358" s="156">
        <f t="shared" si="422"/>
        <v>25122301.413084615</v>
      </c>
      <c r="AQ358" s="161">
        <f t="shared" si="423"/>
        <v>9247494669.9191647</v>
      </c>
      <c r="AR358" s="163">
        <f t="shared" si="424"/>
        <v>4.4408333332889969</v>
      </c>
      <c r="AS358" s="49">
        <f t="shared" si="425"/>
        <v>7.5372023809523805E-2</v>
      </c>
      <c r="AT358" s="165">
        <f t="shared" si="426"/>
        <v>27.790477182539686</v>
      </c>
      <c r="AU358" s="254">
        <f t="shared" si="384"/>
        <v>194601.47079999998</v>
      </c>
      <c r="AV358" s="255">
        <f t="shared" si="385"/>
        <v>466039.32920000004</v>
      </c>
      <c r="AW358" s="256">
        <f t="shared" si="386"/>
        <v>0.41756448137982594</v>
      </c>
    </row>
    <row r="359" spans="1:70">
      <c r="A359" s="108">
        <v>357</v>
      </c>
      <c r="F359" s="45">
        <v>43133.677152777775</v>
      </c>
      <c r="G359" s="45">
        <v>43133.720555555556</v>
      </c>
      <c r="H359" s="53">
        <f>G359-F359-'user time'!J174</f>
        <v>4.2789351855085478E-2</v>
      </c>
      <c r="I359" s="86">
        <v>50.79</v>
      </c>
      <c r="J359" s="109" t="s">
        <v>260</v>
      </c>
      <c r="K359" s="88" t="s">
        <v>72</v>
      </c>
      <c r="L359" s="88" t="s">
        <v>73</v>
      </c>
      <c r="M359" s="88">
        <v>-369</v>
      </c>
      <c r="N359" s="108">
        <v>1</v>
      </c>
      <c r="O359" s="108">
        <v>200</v>
      </c>
      <c r="P359" s="88">
        <v>348</v>
      </c>
      <c r="Q359" s="88" t="s">
        <v>75</v>
      </c>
      <c r="R359" s="88" t="s">
        <v>348</v>
      </c>
      <c r="S359" s="110">
        <v>9761</v>
      </c>
      <c r="T359" s="110">
        <v>899</v>
      </c>
      <c r="U359" s="88">
        <v>983</v>
      </c>
      <c r="V359" s="90">
        <v>1500</v>
      </c>
      <c r="W359" s="111">
        <v>10</v>
      </c>
      <c r="X359" s="110">
        <v>48758</v>
      </c>
      <c r="Y359" s="110">
        <v>865857</v>
      </c>
      <c r="Z359" s="110">
        <v>6573922</v>
      </c>
      <c r="AA359" s="110">
        <v>2054473</v>
      </c>
      <c r="AB359" s="112">
        <v>4543560</v>
      </c>
      <c r="AC359" s="109">
        <v>160</v>
      </c>
      <c r="AD359" s="110">
        <v>-109.9</v>
      </c>
      <c r="AE359" s="110">
        <v>3.95</v>
      </c>
      <c r="AF359" s="110">
        <v>-0.76</v>
      </c>
      <c r="AG359" s="110">
        <v>109.8</v>
      </c>
      <c r="AH359" s="110">
        <v>-110</v>
      </c>
      <c r="AI359" s="110">
        <v>3.71</v>
      </c>
      <c r="AJ359" s="109">
        <v>-0.35</v>
      </c>
      <c r="AK359" s="113" t="s">
        <v>59</v>
      </c>
      <c r="AL359" s="107" t="s">
        <v>181</v>
      </c>
      <c r="AN359" s="107">
        <v>0.94899999999999995</v>
      </c>
      <c r="AO359" s="48">
        <f t="shared" ref="AO359" si="427">(HOUR(H359)*60*60+MINUTE(H359)*60+SECOND(H359))/5.2*AA359/W359*AN359</f>
        <v>138615806.92824998</v>
      </c>
      <c r="AP359" s="156">
        <f t="shared" ref="AP359" si="428">AO359*0.7</f>
        <v>97031064.849774987</v>
      </c>
      <c r="AQ359" s="161">
        <f t="shared" ref="AQ359" si="429">AP359+AQ358</f>
        <v>9344525734.76894</v>
      </c>
      <c r="AR359" s="163">
        <f t="shared" ref="AR359" si="430">H359+AR358</f>
        <v>4.4836226851440824</v>
      </c>
      <c r="AS359" s="49">
        <f t="shared" ref="AS359" si="431">I359*(HOUR(H359)*60+MINUTE(H359))/60/(7*24)</f>
        <v>0.30736011904761906</v>
      </c>
      <c r="AT359" s="165">
        <f t="shared" ref="AT359" si="432">AS359+AT358</f>
        <v>28.097837301587305</v>
      </c>
      <c r="AU359" s="254">
        <f t="shared" si="384"/>
        <v>194969.48769999997</v>
      </c>
      <c r="AV359" s="255">
        <f t="shared" si="385"/>
        <v>464833.81229999999</v>
      </c>
      <c r="AW359" s="256">
        <f t="shared" si="386"/>
        <v>0.41943912542697781</v>
      </c>
    </row>
    <row r="360" spans="1:70">
      <c r="A360" s="108">
        <v>358</v>
      </c>
      <c r="F360" s="45">
        <v>43133.729166666664</v>
      </c>
      <c r="G360" s="45">
        <v>43133.772847222222</v>
      </c>
      <c r="H360" s="53">
        <f>G360-F360-SUM('user time'!J176:J179)</f>
        <v>4.2187500002684009E-2</v>
      </c>
      <c r="I360" s="86">
        <v>50.78</v>
      </c>
      <c r="J360" s="109" t="s">
        <v>260</v>
      </c>
      <c r="K360" s="88" t="s">
        <v>72</v>
      </c>
      <c r="L360" s="88" t="s">
        <v>73</v>
      </c>
      <c r="M360" s="88">
        <v>-369</v>
      </c>
      <c r="N360" s="108">
        <v>1</v>
      </c>
      <c r="O360" s="108">
        <v>200</v>
      </c>
      <c r="P360" s="88">
        <v>348</v>
      </c>
      <c r="Q360" s="88" t="s">
        <v>75</v>
      </c>
      <c r="R360" s="88" t="s">
        <v>348</v>
      </c>
      <c r="S360" s="110">
        <v>10000</v>
      </c>
      <c r="T360" s="110">
        <v>893</v>
      </c>
      <c r="U360" s="88">
        <v>983</v>
      </c>
      <c r="V360" s="90">
        <v>1500</v>
      </c>
      <c r="W360" s="111">
        <v>10</v>
      </c>
      <c r="X360" s="110">
        <v>48641</v>
      </c>
      <c r="Y360" s="110">
        <v>866908</v>
      </c>
      <c r="Z360" s="110">
        <v>6583363</v>
      </c>
      <c r="AA360" s="110">
        <v>2053737</v>
      </c>
      <c r="AB360" s="112">
        <v>4554016</v>
      </c>
      <c r="AC360" s="109">
        <v>160</v>
      </c>
      <c r="AD360" s="110">
        <v>-109.9</v>
      </c>
      <c r="AE360" s="110">
        <v>3.95</v>
      </c>
      <c r="AF360" s="110">
        <v>-0.76</v>
      </c>
      <c r="AG360" s="110">
        <v>109.8</v>
      </c>
      <c r="AH360" s="110">
        <v>-110</v>
      </c>
      <c r="AI360" s="110">
        <v>3.71</v>
      </c>
      <c r="AJ360" s="109">
        <v>-0.36</v>
      </c>
      <c r="AK360" s="113" t="s">
        <v>59</v>
      </c>
      <c r="AL360" s="107" t="s">
        <v>181</v>
      </c>
      <c r="AN360" s="107">
        <v>0.94199999999999995</v>
      </c>
      <c r="AO360" s="48">
        <f t="shared" ref="AO360:AO374" si="433">(HOUR(H360)*60*60+MINUTE(H360)*60+SECOND(H360))/5.2*AA360/W360*AN360</f>
        <v>135609438.95826924</v>
      </c>
      <c r="AP360" s="156">
        <f t="shared" ref="AP360:AP374" si="434">AO360*0.7</f>
        <v>94926607.270788461</v>
      </c>
      <c r="AQ360" s="161">
        <f t="shared" ref="AQ360:AQ374" si="435">AP360+AQ359</f>
        <v>9439452342.0397282</v>
      </c>
      <c r="AR360" s="163">
        <f t="shared" ref="AR360:AR374" si="436">H360+AR359</f>
        <v>4.5258101851467663</v>
      </c>
      <c r="AS360" s="49">
        <f t="shared" ref="AS360:AS374" si="437">I360*(HOUR(H360)*60+MINUTE(H360))/60/(7*24)</f>
        <v>0.30226190476190479</v>
      </c>
      <c r="AT360" s="165">
        <f t="shared" ref="AT360:AT374" si="438">AS360+AT359</f>
        <v>28.400099206349211</v>
      </c>
      <c r="AU360" s="254">
        <f t="shared" si="384"/>
        <v>193462.02540000001</v>
      </c>
      <c r="AV360" s="255">
        <f t="shared" si="385"/>
        <v>467313.2746</v>
      </c>
      <c r="AW360" s="256">
        <f t="shared" si="386"/>
        <v>0.41398786620302014</v>
      </c>
    </row>
    <row r="361" spans="1:70">
      <c r="A361" s="108">
        <v>359</v>
      </c>
      <c r="F361" s="45">
        <v>43133.772916666669</v>
      </c>
      <c r="G361" s="45">
        <v>43133.829780092594</v>
      </c>
      <c r="H361" s="53">
        <f>G361-F361-SUM('user time'!J180:J182)</f>
        <v>4.1886574073405902E-2</v>
      </c>
      <c r="I361" s="86">
        <v>50.77</v>
      </c>
      <c r="J361" s="109" t="s">
        <v>260</v>
      </c>
      <c r="K361" s="88" t="s">
        <v>72</v>
      </c>
      <c r="L361" s="88" t="s">
        <v>73</v>
      </c>
      <c r="M361" s="88">
        <v>-369</v>
      </c>
      <c r="N361" s="108">
        <v>1</v>
      </c>
      <c r="O361" s="108">
        <v>200</v>
      </c>
      <c r="P361" s="88">
        <v>348</v>
      </c>
      <c r="Q361" s="88" t="s">
        <v>75</v>
      </c>
      <c r="R361" s="88" t="s">
        <v>348</v>
      </c>
      <c r="S361" s="110">
        <v>9500</v>
      </c>
      <c r="T361" s="110">
        <v>866</v>
      </c>
      <c r="U361" s="88">
        <v>983</v>
      </c>
      <c r="V361" s="90">
        <v>1500</v>
      </c>
      <c r="W361" s="111">
        <v>10</v>
      </c>
      <c r="X361" s="110">
        <v>48823</v>
      </c>
      <c r="Y361" s="110">
        <v>863495</v>
      </c>
      <c r="Z361" s="110">
        <v>6563529</v>
      </c>
      <c r="AA361" s="110">
        <v>2047365</v>
      </c>
      <c r="AB361" s="112">
        <v>4540002</v>
      </c>
      <c r="AC361" s="109">
        <v>160</v>
      </c>
      <c r="AD361" s="110">
        <v>-109.9</v>
      </c>
      <c r="AE361" s="110">
        <v>3.94</v>
      </c>
      <c r="AF361" s="110">
        <v>-0.76</v>
      </c>
      <c r="AG361" s="110">
        <v>109.8</v>
      </c>
      <c r="AH361" s="110">
        <v>-110</v>
      </c>
      <c r="AI361" s="110">
        <v>3.71</v>
      </c>
      <c r="AJ361" s="109">
        <v>-0.35</v>
      </c>
      <c r="AK361" s="113" t="s">
        <v>59</v>
      </c>
      <c r="AL361" s="107" t="s">
        <v>479</v>
      </c>
      <c r="AN361" s="107">
        <v>0.94599999999999995</v>
      </c>
      <c r="AO361" s="48">
        <f t="shared" si="433"/>
        <v>134794338.12519231</v>
      </c>
      <c r="AP361" s="156">
        <f t="shared" si="434"/>
        <v>94356036.687634617</v>
      </c>
      <c r="AQ361" s="161">
        <f t="shared" si="435"/>
        <v>9533808378.7273636</v>
      </c>
      <c r="AR361" s="163">
        <f t="shared" si="436"/>
        <v>4.5676967592201718</v>
      </c>
      <c r="AS361" s="49">
        <f t="shared" si="437"/>
        <v>0.30220238095238094</v>
      </c>
      <c r="AT361" s="165">
        <f t="shared" si="438"/>
        <v>28.702301587301591</v>
      </c>
      <c r="AU361" s="254">
        <f t="shared" si="384"/>
        <v>193680.72899999999</v>
      </c>
      <c r="AV361" s="255">
        <f t="shared" si="385"/>
        <v>465055.97100000002</v>
      </c>
      <c r="AW361" s="256">
        <f t="shared" si="386"/>
        <v>0.41646756751350256</v>
      </c>
    </row>
    <row r="362" spans="1:70">
      <c r="A362" s="108">
        <v>360</v>
      </c>
      <c r="F362" s="45">
        <v>43133.830034722225</v>
      </c>
      <c r="G362" s="45">
        <v>43133.874872685185</v>
      </c>
      <c r="H362" s="53">
        <f>G362-F362-'user time'!J183-'user time'!J184</f>
        <v>4.4143518515274094E-2</v>
      </c>
      <c r="I362" s="86">
        <v>50.74</v>
      </c>
      <c r="J362" s="109" t="s">
        <v>260</v>
      </c>
      <c r="K362" s="88" t="s">
        <v>72</v>
      </c>
      <c r="L362" s="88" t="s">
        <v>73</v>
      </c>
      <c r="M362" s="88">
        <v>-369</v>
      </c>
      <c r="N362" s="108">
        <v>1</v>
      </c>
      <c r="O362" s="108">
        <v>200</v>
      </c>
      <c r="P362" s="88">
        <v>348</v>
      </c>
      <c r="Q362" s="88" t="s">
        <v>75</v>
      </c>
      <c r="R362" s="88" t="s">
        <v>348</v>
      </c>
      <c r="S362" s="110">
        <v>10000</v>
      </c>
      <c r="T362" s="110">
        <v>909</v>
      </c>
      <c r="U362" s="88">
        <v>983</v>
      </c>
      <c r="V362" s="90">
        <v>1500</v>
      </c>
      <c r="W362" s="111">
        <v>10</v>
      </c>
      <c r="X362" s="110">
        <v>48907</v>
      </c>
      <c r="Y362" s="110">
        <v>865801</v>
      </c>
      <c r="Z362" s="110">
        <v>6590366</v>
      </c>
      <c r="AA362" s="110">
        <v>2053864</v>
      </c>
      <c r="AB362" s="112">
        <v>4559656</v>
      </c>
      <c r="AC362" s="109">
        <v>160</v>
      </c>
      <c r="AD362" s="110">
        <v>-109.9</v>
      </c>
      <c r="AE362" s="110">
        <v>3.94</v>
      </c>
      <c r="AF362" s="110">
        <v>-0.76</v>
      </c>
      <c r="AG362" s="110">
        <v>109.8</v>
      </c>
      <c r="AH362" s="110">
        <v>-110</v>
      </c>
      <c r="AI362" s="110">
        <v>3.71</v>
      </c>
      <c r="AJ362" s="109">
        <v>-0.35</v>
      </c>
      <c r="AK362" s="113" t="s">
        <v>59</v>
      </c>
      <c r="AL362" s="107" t="s">
        <v>181</v>
      </c>
      <c r="AN362" s="107">
        <v>0.94199999999999995</v>
      </c>
      <c r="AO362" s="48">
        <f t="shared" si="433"/>
        <v>141905729.47753847</v>
      </c>
      <c r="AP362" s="156">
        <f t="shared" si="434"/>
        <v>99334010.634276927</v>
      </c>
      <c r="AQ362" s="161">
        <f t="shared" si="435"/>
        <v>9633142389.3616409</v>
      </c>
      <c r="AR362" s="163">
        <f t="shared" si="436"/>
        <v>4.6118402777354461</v>
      </c>
      <c r="AS362" s="49">
        <f t="shared" si="437"/>
        <v>0.31712500000000005</v>
      </c>
      <c r="AT362" s="165">
        <f t="shared" si="438"/>
        <v>29.019426587301592</v>
      </c>
      <c r="AU362" s="254">
        <f t="shared" si="384"/>
        <v>193473.98879999999</v>
      </c>
      <c r="AV362" s="255">
        <f t="shared" si="385"/>
        <v>467878.01120000001</v>
      </c>
      <c r="AW362" s="256">
        <f t="shared" si="386"/>
        <v>0.41351374539654789</v>
      </c>
    </row>
    <row r="363" spans="1:70" s="149" customFormat="1">
      <c r="A363" s="138">
        <v>361</v>
      </c>
      <c r="F363" s="133"/>
      <c r="G363" s="133"/>
      <c r="H363" s="134"/>
      <c r="I363" s="135"/>
      <c r="J363" s="136"/>
      <c r="K363" s="137"/>
      <c r="L363" s="137"/>
      <c r="M363" s="137"/>
      <c r="N363" s="138"/>
      <c r="O363" s="138"/>
      <c r="P363" s="137"/>
      <c r="Q363" s="137"/>
      <c r="R363" s="137"/>
      <c r="S363" s="139"/>
      <c r="T363" s="139"/>
      <c r="U363" s="137"/>
      <c r="V363" s="140"/>
      <c r="W363" s="141"/>
      <c r="X363" s="139"/>
      <c r="Y363" s="139"/>
      <c r="Z363" s="139"/>
      <c r="AA363" s="139"/>
      <c r="AB363" s="142"/>
      <c r="AC363" s="136"/>
      <c r="AD363" s="139"/>
      <c r="AE363" s="139"/>
      <c r="AF363" s="139"/>
      <c r="AG363" s="139"/>
      <c r="AH363" s="139"/>
      <c r="AI363" s="139"/>
      <c r="AJ363" s="136"/>
      <c r="AK363" s="143"/>
      <c r="AL363" s="144" t="s">
        <v>481</v>
      </c>
      <c r="AM363" s="145"/>
      <c r="AN363" s="144"/>
      <c r="AO363" s="238"/>
      <c r="AP363" s="239"/>
      <c r="AQ363" s="240"/>
      <c r="AR363" s="241"/>
      <c r="AS363" s="242"/>
      <c r="AT363" s="243"/>
      <c r="AU363" s="147"/>
      <c r="AV363" s="147"/>
      <c r="AW363" s="139"/>
      <c r="AX363" s="139"/>
      <c r="AY363" s="139"/>
      <c r="AZ363" s="139"/>
      <c r="BA363" s="147"/>
      <c r="BB363" s="142"/>
      <c r="BC363" s="148"/>
      <c r="BD363" s="148"/>
      <c r="BE363" s="148"/>
      <c r="BF363" s="148"/>
      <c r="BG363" s="148"/>
      <c r="BH363" s="148"/>
      <c r="BI363" s="148"/>
      <c r="BJ363" s="148"/>
      <c r="BK363" s="148"/>
      <c r="BL363" s="148"/>
      <c r="BM363" s="148"/>
      <c r="BN363" s="148"/>
      <c r="BO363" s="148"/>
      <c r="BP363" s="148"/>
      <c r="BQ363" s="148"/>
      <c r="BR363" s="148"/>
    </row>
    <row r="364" spans="1:70">
      <c r="A364" s="108">
        <v>362</v>
      </c>
      <c r="F364" s="45">
        <v>43133.877847222226</v>
      </c>
      <c r="G364" s="45">
        <v>43133.921851851854</v>
      </c>
      <c r="H364" s="53">
        <f>G364-F364-'user time'!J185-'user time'!J186</f>
        <v>4.3171296294700956E-2</v>
      </c>
      <c r="I364" s="86">
        <v>50.79</v>
      </c>
      <c r="J364" s="109" t="s">
        <v>260</v>
      </c>
      <c r="K364" s="88" t="s">
        <v>72</v>
      </c>
      <c r="L364" s="88" t="s">
        <v>73</v>
      </c>
      <c r="M364" s="88">
        <v>-369</v>
      </c>
      <c r="N364" s="108">
        <v>1</v>
      </c>
      <c r="O364" s="108">
        <v>200</v>
      </c>
      <c r="P364" s="88">
        <v>348</v>
      </c>
      <c r="Q364" s="88" t="s">
        <v>75</v>
      </c>
      <c r="R364" s="88" t="s">
        <v>348</v>
      </c>
      <c r="S364" s="110">
        <v>10000</v>
      </c>
      <c r="T364" s="110">
        <v>909</v>
      </c>
      <c r="U364" s="88">
        <v>983</v>
      </c>
      <c r="V364" s="90">
        <v>1500</v>
      </c>
      <c r="W364" s="111">
        <v>10</v>
      </c>
      <c r="X364" s="110">
        <v>48784</v>
      </c>
      <c r="Y364" s="110">
        <v>868579</v>
      </c>
      <c r="Z364" s="110">
        <v>6635346</v>
      </c>
      <c r="AA364" s="110">
        <v>2064367</v>
      </c>
      <c r="AB364" s="112">
        <v>4594948</v>
      </c>
      <c r="AC364" s="109">
        <v>160.1</v>
      </c>
      <c r="AD364" s="110">
        <v>-109.9</v>
      </c>
      <c r="AE364" s="110">
        <v>3.94</v>
      </c>
      <c r="AF364" s="110">
        <v>-0.76</v>
      </c>
      <c r="AG364" s="110">
        <v>109.8</v>
      </c>
      <c r="AH364" s="110">
        <v>-110</v>
      </c>
      <c r="AI364" s="110">
        <v>3.71</v>
      </c>
      <c r="AJ364" s="109">
        <v>-0.35</v>
      </c>
      <c r="AK364" s="113" t="s">
        <v>59</v>
      </c>
      <c r="AL364" s="107" t="s">
        <v>181</v>
      </c>
      <c r="AN364" s="107">
        <v>0.94399999999999995</v>
      </c>
      <c r="AO364" s="48">
        <f t="shared" si="433"/>
        <v>139786229.44307691</v>
      </c>
      <c r="AP364" s="156">
        <f t="shared" si="434"/>
        <v>97850360.610153824</v>
      </c>
      <c r="AQ364" s="161">
        <f>AP364+AQ362</f>
        <v>9730992749.9717941</v>
      </c>
      <c r="AR364" s="163">
        <f>H364+AR362</f>
        <v>4.655011574030147</v>
      </c>
      <c r="AS364" s="49">
        <f t="shared" si="437"/>
        <v>0.3123988095238095</v>
      </c>
      <c r="AT364" s="165">
        <f>AS364+AT362</f>
        <v>29.331825396825401</v>
      </c>
      <c r="AU364" s="254">
        <f t="shared" ref="AU364:AU382" si="439">AA364/W364*AN364</f>
        <v>194876.24480000001</v>
      </c>
      <c r="AV364" s="255">
        <f t="shared" ref="AV364:AV382" si="440">AB364/W364+AA364/W364*(1-AN364)</f>
        <v>471055.25520000001</v>
      </c>
      <c r="AW364" s="256">
        <f t="shared" ref="AW364:AW382" si="441">AU364/AV364</f>
        <v>0.41370145571830996</v>
      </c>
    </row>
    <row r="365" spans="1:70">
      <c r="A365" s="108">
        <v>363</v>
      </c>
      <c r="F365" s="45">
        <v>43133.921944444446</v>
      </c>
      <c r="G365" s="45">
        <v>43133.964108796295</v>
      </c>
      <c r="H365" s="53">
        <f>G365-F365</f>
        <v>4.2164351849351078E-2</v>
      </c>
      <c r="I365" s="86">
        <v>50.65</v>
      </c>
      <c r="J365" s="109" t="s">
        <v>260</v>
      </c>
      <c r="K365" s="88" t="s">
        <v>72</v>
      </c>
      <c r="L365" s="88" t="s">
        <v>73</v>
      </c>
      <c r="M365" s="88">
        <v>-369</v>
      </c>
      <c r="N365" s="108">
        <v>1</v>
      </c>
      <c r="O365" s="108">
        <v>200</v>
      </c>
      <c r="P365" s="88">
        <v>348</v>
      </c>
      <c r="Q365" s="88" t="s">
        <v>75</v>
      </c>
      <c r="R365" s="88" t="s">
        <v>348</v>
      </c>
      <c r="S365" s="110">
        <v>10000</v>
      </c>
      <c r="T365" s="110">
        <v>947</v>
      </c>
      <c r="U365" s="88">
        <v>983</v>
      </c>
      <c r="V365" s="90">
        <v>1500</v>
      </c>
      <c r="W365" s="111">
        <v>10</v>
      </c>
      <c r="X365" s="110">
        <v>48318</v>
      </c>
      <c r="Y365" s="110">
        <v>863258</v>
      </c>
      <c r="Z365" s="110">
        <v>6603175</v>
      </c>
      <c r="AA365" s="110">
        <v>2053185</v>
      </c>
      <c r="AB365" s="112">
        <v>4574131</v>
      </c>
      <c r="AC365" s="109">
        <v>160</v>
      </c>
      <c r="AD365" s="110">
        <v>-109.9</v>
      </c>
      <c r="AE365" s="110">
        <v>3.95</v>
      </c>
      <c r="AF365" s="110">
        <v>-0.76</v>
      </c>
      <c r="AG365" s="110">
        <v>109.8</v>
      </c>
      <c r="AH365" s="110">
        <v>-110</v>
      </c>
      <c r="AI365" s="110">
        <v>3.71</v>
      </c>
      <c r="AJ365" s="109">
        <v>-0.35</v>
      </c>
      <c r="AK365" s="113" t="s">
        <v>59</v>
      </c>
      <c r="AL365" s="107" t="s">
        <v>181</v>
      </c>
      <c r="AN365" s="107">
        <v>0.94299999999999995</v>
      </c>
      <c r="AO365" s="48">
        <f t="shared" si="433"/>
        <v>135642443.01086536</v>
      </c>
      <c r="AP365" s="156">
        <f t="shared" si="434"/>
        <v>94949710.10760574</v>
      </c>
      <c r="AQ365" s="161">
        <f t="shared" si="435"/>
        <v>9825942460.0793991</v>
      </c>
      <c r="AR365" s="163">
        <f t="shared" si="436"/>
        <v>4.6971759258794981</v>
      </c>
      <c r="AS365" s="49">
        <f t="shared" si="437"/>
        <v>0.30148809523809522</v>
      </c>
      <c r="AT365" s="165">
        <f t="shared" si="438"/>
        <v>29.633313492063497</v>
      </c>
      <c r="AU365" s="254">
        <f t="shared" si="439"/>
        <v>193615.3455</v>
      </c>
      <c r="AV365" s="255">
        <f t="shared" si="440"/>
        <v>469116.25449999998</v>
      </c>
      <c r="AW365" s="256">
        <f t="shared" si="441"/>
        <v>0.41272359173817541</v>
      </c>
    </row>
    <row r="366" spans="1:70">
      <c r="A366" s="108">
        <v>364</v>
      </c>
      <c r="F366" s="45">
        <v>43133.964189814818</v>
      </c>
      <c r="G366" s="45">
        <v>43134.006701388891</v>
      </c>
      <c r="H366" s="53">
        <f>G366-F366-'user time'!J187</f>
        <v>4.2245370369001445E-2</v>
      </c>
      <c r="I366" s="86">
        <v>50.68</v>
      </c>
      <c r="J366" s="109" t="s">
        <v>260</v>
      </c>
      <c r="K366" s="88" t="s">
        <v>72</v>
      </c>
      <c r="L366" s="88" t="s">
        <v>73</v>
      </c>
      <c r="M366" s="88">
        <v>-369</v>
      </c>
      <c r="N366" s="108">
        <v>1</v>
      </c>
      <c r="O366" s="108">
        <v>200</v>
      </c>
      <c r="P366" s="88">
        <v>348</v>
      </c>
      <c r="Q366" s="88" t="s">
        <v>75</v>
      </c>
      <c r="R366" s="88" t="s">
        <v>348</v>
      </c>
      <c r="S366" s="110">
        <v>10000</v>
      </c>
      <c r="T366" s="110">
        <v>913</v>
      </c>
      <c r="U366" s="88">
        <v>983</v>
      </c>
      <c r="V366" s="90">
        <v>1500</v>
      </c>
      <c r="W366" s="111">
        <v>10</v>
      </c>
      <c r="X366" s="110">
        <v>49224</v>
      </c>
      <c r="Y366" s="110">
        <v>866165</v>
      </c>
      <c r="Z366" s="110">
        <v>6621973</v>
      </c>
      <c r="AA366" s="110">
        <v>2053729</v>
      </c>
      <c r="AB366" s="112">
        <v>4592134</v>
      </c>
      <c r="AC366" s="109">
        <v>160</v>
      </c>
      <c r="AD366" s="110">
        <v>-109.9</v>
      </c>
      <c r="AE366" s="110">
        <v>3.95</v>
      </c>
      <c r="AF366" s="110">
        <v>-0.76</v>
      </c>
      <c r="AG366" s="110">
        <v>109.8</v>
      </c>
      <c r="AH366" s="110">
        <v>-110</v>
      </c>
      <c r="AI366" s="110">
        <v>3.71</v>
      </c>
      <c r="AJ366" s="109">
        <v>-0.35</v>
      </c>
      <c r="AK366" s="113" t="s">
        <v>59</v>
      </c>
      <c r="AL366" s="107" t="s">
        <v>181</v>
      </c>
      <c r="AN366" s="107">
        <v>0.94499999999999995</v>
      </c>
      <c r="AO366" s="48">
        <f t="shared" si="433"/>
        <v>136227399.10096151</v>
      </c>
      <c r="AP366" s="156">
        <f t="shared" si="434"/>
        <v>95359179.370673046</v>
      </c>
      <c r="AQ366" s="161">
        <f t="shared" si="435"/>
        <v>9921301639.4500713</v>
      </c>
      <c r="AR366" s="163">
        <f t="shared" si="436"/>
        <v>4.7394212962484996</v>
      </c>
      <c r="AS366" s="49">
        <f t="shared" si="437"/>
        <v>0.30166666666666664</v>
      </c>
      <c r="AT366" s="165">
        <f t="shared" si="438"/>
        <v>29.934980158730163</v>
      </c>
      <c r="AU366" s="254">
        <f t="shared" si="439"/>
        <v>194077.39049999998</v>
      </c>
      <c r="AV366" s="255">
        <f t="shared" si="440"/>
        <v>470508.90950000001</v>
      </c>
      <c r="AW366" s="256">
        <f t="shared" si="441"/>
        <v>0.41248398612949111</v>
      </c>
    </row>
    <row r="367" spans="1:70">
      <c r="A367" s="108">
        <v>365</v>
      </c>
      <c r="F367" s="45">
        <v>43134.006736111114</v>
      </c>
      <c r="G367" s="45">
        <v>43134.052384259259</v>
      </c>
      <c r="H367" s="53">
        <f>G367-F367-'user time'!P76-'user time'!P77</f>
        <v>4.0925925922896962E-2</v>
      </c>
      <c r="I367" s="86">
        <v>50.69</v>
      </c>
      <c r="J367" s="109" t="s">
        <v>260</v>
      </c>
      <c r="K367" s="88" t="s">
        <v>72</v>
      </c>
      <c r="L367" s="88" t="s">
        <v>73</v>
      </c>
      <c r="M367" s="88">
        <v>-369</v>
      </c>
      <c r="N367" s="108">
        <v>1</v>
      </c>
      <c r="O367" s="108">
        <v>200</v>
      </c>
      <c r="P367" s="88">
        <v>348</v>
      </c>
      <c r="Q367" s="88" t="s">
        <v>75</v>
      </c>
      <c r="R367" s="88" t="s">
        <v>348</v>
      </c>
      <c r="S367" s="110">
        <v>10249</v>
      </c>
      <c r="T367" s="110">
        <v>855</v>
      </c>
      <c r="U367" s="88">
        <v>983</v>
      </c>
      <c r="V367" s="90">
        <v>1500</v>
      </c>
      <c r="W367" s="111">
        <v>10</v>
      </c>
      <c r="X367" s="110">
        <v>49140</v>
      </c>
      <c r="Y367" s="110">
        <v>867856</v>
      </c>
      <c r="Z367" s="110">
        <v>6616709</v>
      </c>
      <c r="AA367" s="110">
        <v>2056360</v>
      </c>
      <c r="AB367" s="112">
        <v>4584603</v>
      </c>
      <c r="AC367" s="109">
        <v>160</v>
      </c>
      <c r="AD367" s="110">
        <v>-109.9</v>
      </c>
      <c r="AE367" s="110">
        <v>3.95</v>
      </c>
      <c r="AF367" s="110">
        <v>-0.77</v>
      </c>
      <c r="AG367" s="110">
        <v>109.8</v>
      </c>
      <c r="AH367" s="110">
        <v>-110</v>
      </c>
      <c r="AI367" s="110">
        <v>3.71</v>
      </c>
      <c r="AJ367" s="109">
        <v>-0.35</v>
      </c>
      <c r="AK367" s="113" t="s">
        <v>59</v>
      </c>
      <c r="AL367" s="107" t="s">
        <v>181</v>
      </c>
      <c r="AN367" s="107">
        <v>0.94499999999999995</v>
      </c>
      <c r="AO367" s="48">
        <f t="shared" si="433"/>
        <v>132141693.59999999</v>
      </c>
      <c r="AP367" s="156">
        <f t="shared" si="434"/>
        <v>92499185.519999996</v>
      </c>
      <c r="AQ367" s="161">
        <f t="shared" si="435"/>
        <v>10013800824.970072</v>
      </c>
      <c r="AR367" s="163">
        <f t="shared" si="436"/>
        <v>4.7803472221713967</v>
      </c>
      <c r="AS367" s="49">
        <f t="shared" si="437"/>
        <v>0.29166865079365079</v>
      </c>
      <c r="AT367" s="165">
        <f t="shared" si="438"/>
        <v>30.226648809523812</v>
      </c>
      <c r="AU367" s="254">
        <f t="shared" si="439"/>
        <v>194326.02</v>
      </c>
      <c r="AV367" s="255">
        <f t="shared" si="440"/>
        <v>469770.28</v>
      </c>
      <c r="AW367" s="256">
        <f t="shared" si="441"/>
        <v>0.41366180082741716</v>
      </c>
    </row>
    <row r="368" spans="1:70">
      <c r="A368" s="108">
        <v>366</v>
      </c>
      <c r="F368" s="45">
        <v>43134.052361111113</v>
      </c>
      <c r="G368" s="45">
        <v>43134.093738425923</v>
      </c>
      <c r="H368" s="53">
        <f>G368-F368-SUM('user time'!P78:P80)</f>
        <v>4.038194443986326E-2</v>
      </c>
      <c r="I368" s="86">
        <v>50.67</v>
      </c>
      <c r="J368" s="109" t="s">
        <v>260</v>
      </c>
      <c r="K368" s="88" t="s">
        <v>72</v>
      </c>
      <c r="L368" s="88" t="s">
        <v>73</v>
      </c>
      <c r="M368" s="88">
        <v>-369</v>
      </c>
      <c r="N368" s="108">
        <v>1</v>
      </c>
      <c r="O368" s="108">
        <v>200</v>
      </c>
      <c r="P368" s="88">
        <v>348</v>
      </c>
      <c r="Q368" s="88" t="s">
        <v>75</v>
      </c>
      <c r="R368" s="88" t="s">
        <v>348</v>
      </c>
      <c r="S368" s="110">
        <v>10077</v>
      </c>
      <c r="T368" s="110">
        <v>1059</v>
      </c>
      <c r="U368" s="88">
        <v>983</v>
      </c>
      <c r="V368" s="90">
        <v>1500</v>
      </c>
      <c r="W368" s="111">
        <v>10</v>
      </c>
      <c r="X368" s="110">
        <v>48777</v>
      </c>
      <c r="Y368" s="110">
        <v>864333</v>
      </c>
      <c r="Z368" s="110">
        <v>6598730</v>
      </c>
      <c r="AA368" s="110">
        <v>2045347</v>
      </c>
      <c r="AB368" s="112">
        <v>4578208</v>
      </c>
      <c r="AC368" s="109">
        <v>160</v>
      </c>
      <c r="AD368" s="110">
        <v>-109.9</v>
      </c>
      <c r="AE368" s="110">
        <v>3.95</v>
      </c>
      <c r="AF368" s="110">
        <v>-0.77</v>
      </c>
      <c r="AG368" s="110">
        <v>109.8</v>
      </c>
      <c r="AH368" s="110">
        <v>-110</v>
      </c>
      <c r="AI368" s="110">
        <v>3.71</v>
      </c>
      <c r="AJ368" s="109">
        <v>-0.36</v>
      </c>
      <c r="AK368" s="113" t="s">
        <v>59</v>
      </c>
      <c r="AL368" s="107" t="s">
        <v>181</v>
      </c>
      <c r="AN368" s="107">
        <v>0.94799999999999995</v>
      </c>
      <c r="AO368" s="48">
        <f t="shared" si="433"/>
        <v>130098701.29776922</v>
      </c>
      <c r="AP368" s="156">
        <f t="shared" si="434"/>
        <v>91069090.908438444</v>
      </c>
      <c r="AQ368" s="161">
        <f t="shared" si="435"/>
        <v>10104869915.87851</v>
      </c>
      <c r="AR368" s="163">
        <f t="shared" si="436"/>
        <v>4.8207291666112599</v>
      </c>
      <c r="AS368" s="49">
        <f t="shared" si="437"/>
        <v>0.29155357142857141</v>
      </c>
      <c r="AT368" s="165">
        <f t="shared" si="438"/>
        <v>30.518202380952385</v>
      </c>
      <c r="AU368" s="254">
        <f t="shared" si="439"/>
        <v>193898.89559999999</v>
      </c>
      <c r="AV368" s="255">
        <f t="shared" si="440"/>
        <v>468456.60440000001</v>
      </c>
      <c r="AW368" s="256">
        <f t="shared" si="441"/>
        <v>0.41391004797199094</v>
      </c>
    </row>
    <row r="369" spans="1:70">
      <c r="A369" s="108">
        <v>367</v>
      </c>
      <c r="F369" s="45">
        <v>43134.093761574077</v>
      </c>
      <c r="G369" s="45">
        <v>43134.139479166668</v>
      </c>
      <c r="H369" s="53">
        <f>G369-F369-'user time'!P81</f>
        <v>4.1192129628282226E-2</v>
      </c>
      <c r="I369" s="86">
        <v>50.77</v>
      </c>
      <c r="J369" s="109" t="s">
        <v>260</v>
      </c>
      <c r="K369" s="88" t="s">
        <v>72</v>
      </c>
      <c r="L369" s="88" t="s">
        <v>73</v>
      </c>
      <c r="M369" s="88">
        <v>-369</v>
      </c>
      <c r="N369" s="108">
        <v>1</v>
      </c>
      <c r="O369" s="108">
        <v>200</v>
      </c>
      <c r="P369" s="88">
        <v>348</v>
      </c>
      <c r="Q369" s="88" t="s">
        <v>75</v>
      </c>
      <c r="R369" s="88" t="s">
        <v>348</v>
      </c>
      <c r="S369" s="110">
        <v>9910</v>
      </c>
      <c r="T369" s="110">
        <v>910</v>
      </c>
      <c r="U369" s="88">
        <v>983</v>
      </c>
      <c r="V369" s="90">
        <v>1500</v>
      </c>
      <c r="W369" s="111">
        <v>10</v>
      </c>
      <c r="X369" s="110">
        <v>48798</v>
      </c>
      <c r="Y369" s="110">
        <v>867597</v>
      </c>
      <c r="Z369" s="110">
        <v>6611538</v>
      </c>
      <c r="AA369" s="110">
        <v>2056801</v>
      </c>
      <c r="AB369" s="112">
        <v>4578902</v>
      </c>
      <c r="AC369" s="109">
        <v>160</v>
      </c>
      <c r="AD369" s="110">
        <v>-109.9</v>
      </c>
      <c r="AE369" s="110">
        <v>3.95</v>
      </c>
      <c r="AF369" s="110">
        <v>-0.77</v>
      </c>
      <c r="AG369" s="110">
        <v>109.8</v>
      </c>
      <c r="AH369" s="110">
        <v>-110</v>
      </c>
      <c r="AI369" s="110">
        <v>3.71</v>
      </c>
      <c r="AJ369" s="109">
        <v>-0.35</v>
      </c>
      <c r="AK369" s="113" t="s">
        <v>59</v>
      </c>
      <c r="AL369" s="107" t="s">
        <v>181</v>
      </c>
      <c r="AN369" s="107">
        <v>0.94899999999999995</v>
      </c>
      <c r="AO369" s="48">
        <f t="shared" si="433"/>
        <v>133592824.35174999</v>
      </c>
      <c r="AP369" s="156">
        <f t="shared" si="434"/>
        <v>93514977.046224982</v>
      </c>
      <c r="AQ369" s="161">
        <f t="shared" si="435"/>
        <v>10198384892.924734</v>
      </c>
      <c r="AR369" s="163">
        <f t="shared" si="436"/>
        <v>4.8619212962395419</v>
      </c>
      <c r="AS369" s="49">
        <f t="shared" si="437"/>
        <v>0.29716567460317467</v>
      </c>
      <c r="AT369" s="165">
        <f t="shared" si="438"/>
        <v>30.81536805555556</v>
      </c>
      <c r="AU369" s="254">
        <f t="shared" si="439"/>
        <v>195190.4149</v>
      </c>
      <c r="AV369" s="255">
        <f t="shared" si="440"/>
        <v>468379.88510000001</v>
      </c>
      <c r="AW369" s="256">
        <f t="shared" si="441"/>
        <v>0.41673526363824626</v>
      </c>
    </row>
    <row r="370" spans="1:70">
      <c r="A370" s="108">
        <v>368</v>
      </c>
      <c r="F370" s="45">
        <v>43134.139502314814</v>
      </c>
      <c r="G370" s="45">
        <v>43134.18068287037</v>
      </c>
      <c r="H370" s="53">
        <f>G370-F370</f>
        <v>4.1180555555911269E-2</v>
      </c>
      <c r="I370" s="86">
        <v>50.81</v>
      </c>
      <c r="J370" s="109" t="s">
        <v>260</v>
      </c>
      <c r="K370" s="88" t="s">
        <v>72</v>
      </c>
      <c r="L370" s="88" t="s">
        <v>73</v>
      </c>
      <c r="M370" s="88">
        <v>-369</v>
      </c>
      <c r="N370" s="108">
        <v>1</v>
      </c>
      <c r="O370" s="108">
        <v>200</v>
      </c>
      <c r="P370" s="88">
        <v>348</v>
      </c>
      <c r="Q370" s="88" t="s">
        <v>75</v>
      </c>
      <c r="R370" s="88" t="s">
        <v>348</v>
      </c>
      <c r="S370" s="110">
        <v>10018</v>
      </c>
      <c r="T370" s="110">
        <v>877</v>
      </c>
      <c r="U370" s="88">
        <v>983</v>
      </c>
      <c r="V370" s="90">
        <v>1500</v>
      </c>
      <c r="W370" s="111">
        <v>10</v>
      </c>
      <c r="X370" s="110">
        <v>49091</v>
      </c>
      <c r="Y370" s="110">
        <v>870558</v>
      </c>
      <c r="Z370" s="110">
        <v>6646001</v>
      </c>
      <c r="AA370" s="110">
        <v>2066467</v>
      </c>
      <c r="AB370" s="112">
        <v>4603721</v>
      </c>
      <c r="AC370" s="109">
        <v>160</v>
      </c>
      <c r="AD370" s="110">
        <v>-109.9</v>
      </c>
      <c r="AE370" s="110">
        <v>3.95</v>
      </c>
      <c r="AF370" s="110">
        <v>-0.77</v>
      </c>
      <c r="AG370" s="110">
        <v>109.8</v>
      </c>
      <c r="AH370" s="110">
        <v>-110</v>
      </c>
      <c r="AI370" s="110">
        <v>3.71</v>
      </c>
      <c r="AJ370" s="109">
        <v>-0.35</v>
      </c>
      <c r="AK370" s="113" t="s">
        <v>59</v>
      </c>
      <c r="AL370" s="107" t="s">
        <v>181</v>
      </c>
      <c r="AN370" s="107">
        <v>0.94599999999999995</v>
      </c>
      <c r="AO370" s="48">
        <f t="shared" si="433"/>
        <v>133758752.85299997</v>
      </c>
      <c r="AP370" s="156">
        <f t="shared" si="434"/>
        <v>93631126.997099981</v>
      </c>
      <c r="AQ370" s="161">
        <f t="shared" si="435"/>
        <v>10292016019.921835</v>
      </c>
      <c r="AR370" s="163">
        <f t="shared" si="436"/>
        <v>4.9031018517954532</v>
      </c>
      <c r="AS370" s="49">
        <f t="shared" si="437"/>
        <v>0.29739980158730156</v>
      </c>
      <c r="AT370" s="165">
        <f t="shared" si="438"/>
        <v>31.11276785714286</v>
      </c>
      <c r="AU370" s="254">
        <f t="shared" si="439"/>
        <v>195487.7782</v>
      </c>
      <c r="AV370" s="255">
        <f t="shared" si="440"/>
        <v>471531.02179999999</v>
      </c>
      <c r="AW370" s="256">
        <f t="shared" si="441"/>
        <v>0.41458094836211262</v>
      </c>
    </row>
    <row r="371" spans="1:70">
      <c r="A371" s="108">
        <v>369</v>
      </c>
      <c r="F371" s="45">
        <v>43134.181134259263</v>
      </c>
      <c r="G371" s="45">
        <v>43134.22252314815</v>
      </c>
      <c r="H371" s="53">
        <f>G371-F371</f>
        <v>4.1388888887013309E-2</v>
      </c>
      <c r="I371" s="86">
        <v>50.84</v>
      </c>
      <c r="J371" s="109" t="s">
        <v>260</v>
      </c>
      <c r="K371" s="88" t="s">
        <v>72</v>
      </c>
      <c r="L371" s="88" t="s">
        <v>73</v>
      </c>
      <c r="M371" s="88">
        <v>-369</v>
      </c>
      <c r="N371" s="108">
        <v>1</v>
      </c>
      <c r="O371" s="108">
        <v>200</v>
      </c>
      <c r="P371" s="88">
        <v>348</v>
      </c>
      <c r="Q371" s="88" t="s">
        <v>75</v>
      </c>
      <c r="R371" s="88" t="s">
        <v>348</v>
      </c>
      <c r="S371" s="110">
        <v>10095</v>
      </c>
      <c r="T371" s="110">
        <v>861</v>
      </c>
      <c r="U371" s="88">
        <v>983</v>
      </c>
      <c r="V371" s="90">
        <v>1500</v>
      </c>
      <c r="W371" s="111">
        <v>10</v>
      </c>
      <c r="X371" s="110">
        <v>48764</v>
      </c>
      <c r="Y371" s="110">
        <v>865120</v>
      </c>
      <c r="Z371" s="110">
        <v>6555236</v>
      </c>
      <c r="AA371" s="110">
        <v>2048926</v>
      </c>
      <c r="AB371" s="112">
        <v>4530903</v>
      </c>
      <c r="AC371" s="109">
        <v>160</v>
      </c>
      <c r="AD371" s="110">
        <v>-109.9</v>
      </c>
      <c r="AE371" s="110">
        <v>3.95</v>
      </c>
      <c r="AF371" s="110">
        <v>-0.77</v>
      </c>
      <c r="AG371" s="110">
        <v>109.8</v>
      </c>
      <c r="AH371" s="110">
        <v>-110</v>
      </c>
      <c r="AI371" s="110">
        <v>3.71</v>
      </c>
      <c r="AJ371" s="109">
        <v>-0.36</v>
      </c>
      <c r="AK371" s="113" t="s">
        <v>59</v>
      </c>
      <c r="AL371" s="107" t="s">
        <v>181</v>
      </c>
      <c r="AN371" s="107">
        <v>0.94799999999999995</v>
      </c>
      <c r="AO371" s="48">
        <f t="shared" si="433"/>
        <v>133576105.54707693</v>
      </c>
      <c r="AP371" s="156">
        <f t="shared" si="434"/>
        <v>93503273.882953838</v>
      </c>
      <c r="AQ371" s="161">
        <f t="shared" si="435"/>
        <v>10385519293.804789</v>
      </c>
      <c r="AR371" s="163">
        <f t="shared" si="436"/>
        <v>4.9444907406824665</v>
      </c>
      <c r="AS371" s="49">
        <f t="shared" si="437"/>
        <v>0.29757539682539685</v>
      </c>
      <c r="AT371" s="165">
        <f t="shared" si="438"/>
        <v>31.410343253968257</v>
      </c>
      <c r="AU371" s="254">
        <f t="shared" si="439"/>
        <v>194238.18479999999</v>
      </c>
      <c r="AV371" s="255">
        <f t="shared" si="440"/>
        <v>463744.71519999998</v>
      </c>
      <c r="AW371" s="256">
        <f t="shared" si="441"/>
        <v>0.41884722010520498</v>
      </c>
    </row>
    <row r="372" spans="1:70">
      <c r="A372" s="108">
        <v>370</v>
      </c>
      <c r="F372" s="45">
        <v>43134.236203703702</v>
      </c>
      <c r="G372" s="45">
        <v>43134.277546296296</v>
      </c>
      <c r="H372" s="53">
        <f>G372-F372-'user time'!P84-'user time'!P85</f>
        <v>4.0613425927779945E-2</v>
      </c>
      <c r="I372" s="86">
        <v>50.78</v>
      </c>
      <c r="J372" s="109" t="s">
        <v>260</v>
      </c>
      <c r="K372" s="88" t="s">
        <v>72</v>
      </c>
      <c r="L372" s="88" t="s">
        <v>73</v>
      </c>
      <c r="M372" s="88">
        <v>-369</v>
      </c>
      <c r="N372" s="108">
        <v>1</v>
      </c>
      <c r="O372" s="108">
        <v>200</v>
      </c>
      <c r="P372" s="88">
        <v>348</v>
      </c>
      <c r="Q372" s="88" t="s">
        <v>75</v>
      </c>
      <c r="R372" s="88" t="s">
        <v>348</v>
      </c>
      <c r="S372" s="110">
        <v>10136</v>
      </c>
      <c r="T372" s="110">
        <v>908</v>
      </c>
      <c r="U372" s="88">
        <v>983</v>
      </c>
      <c r="V372" s="90">
        <v>1500</v>
      </c>
      <c r="W372" s="111">
        <v>10</v>
      </c>
      <c r="X372" s="110">
        <f>X371</f>
        <v>48764</v>
      </c>
      <c r="Y372" s="110">
        <f t="shared" ref="Y372:AA372" si="442">Y371</f>
        <v>865120</v>
      </c>
      <c r="Z372" s="110">
        <f t="shared" si="442"/>
        <v>6555236</v>
      </c>
      <c r="AA372" s="110">
        <f t="shared" si="442"/>
        <v>2048926</v>
      </c>
      <c r="AB372" s="112">
        <f>AB371</f>
        <v>4530903</v>
      </c>
      <c r="AC372" s="109">
        <v>160</v>
      </c>
      <c r="AD372" s="110">
        <v>-109.9</v>
      </c>
      <c r="AE372" s="110">
        <v>3.95</v>
      </c>
      <c r="AF372" s="110">
        <v>-0.77</v>
      </c>
      <c r="AG372" s="110">
        <v>109.8</v>
      </c>
      <c r="AH372" s="110">
        <v>-110</v>
      </c>
      <c r="AI372" s="110">
        <v>3.71</v>
      </c>
      <c r="AJ372" s="109">
        <v>-0.36</v>
      </c>
      <c r="AK372" s="113" t="s">
        <v>59</v>
      </c>
      <c r="AL372" s="107" t="s">
        <v>181</v>
      </c>
      <c r="AN372" s="107">
        <v>0.94799999999999995</v>
      </c>
      <c r="AO372" s="48">
        <f t="shared" si="433"/>
        <v>131073421.24292307</v>
      </c>
      <c r="AP372" s="156">
        <f t="shared" si="434"/>
        <v>91751394.870046139</v>
      </c>
      <c r="AQ372" s="161">
        <f t="shared" si="435"/>
        <v>10477270688.674835</v>
      </c>
      <c r="AR372" s="163">
        <f t="shared" si="436"/>
        <v>4.9851041666102462</v>
      </c>
      <c r="AS372" s="49">
        <f t="shared" si="437"/>
        <v>0.29218650793650797</v>
      </c>
      <c r="AT372" s="165">
        <f t="shared" si="438"/>
        <v>31.702529761904763</v>
      </c>
      <c r="AU372" s="254">
        <f t="shared" si="439"/>
        <v>194238.18479999999</v>
      </c>
      <c r="AV372" s="255">
        <f t="shared" si="440"/>
        <v>463744.71519999998</v>
      </c>
      <c r="AW372" s="256">
        <f t="shared" si="441"/>
        <v>0.41884722010520498</v>
      </c>
    </row>
    <row r="373" spans="1:70">
      <c r="A373" s="108">
        <v>371</v>
      </c>
      <c r="F373" s="45">
        <v>43134.277592592596</v>
      </c>
      <c r="G373" s="45">
        <v>43134.302372685182</v>
      </c>
      <c r="H373" s="53">
        <f>G373-F373-'user time'!P86</f>
        <v>2.4282407401112371E-2</v>
      </c>
      <c r="I373" s="86">
        <v>50.72</v>
      </c>
      <c r="J373" s="109" t="s">
        <v>260</v>
      </c>
      <c r="K373" s="88" t="s">
        <v>72</v>
      </c>
      <c r="L373" s="88" t="s">
        <v>73</v>
      </c>
      <c r="M373" s="88">
        <v>-369</v>
      </c>
      <c r="N373" s="108">
        <v>1</v>
      </c>
      <c r="O373" s="108">
        <v>200</v>
      </c>
      <c r="P373" s="88">
        <v>348</v>
      </c>
      <c r="Q373" s="88" t="s">
        <v>75</v>
      </c>
      <c r="R373" s="88" t="s">
        <v>348</v>
      </c>
      <c r="S373" s="110">
        <v>9886</v>
      </c>
      <c r="T373" s="110">
        <v>867</v>
      </c>
      <c r="U373" s="88">
        <v>983</v>
      </c>
      <c r="V373" s="90">
        <v>1500</v>
      </c>
      <c r="W373" s="111">
        <v>10</v>
      </c>
      <c r="X373" s="110">
        <v>49220</v>
      </c>
      <c r="Y373" s="110">
        <v>865694</v>
      </c>
      <c r="Z373" s="110">
        <v>6577411</v>
      </c>
      <c r="AA373" s="110">
        <v>2054925</v>
      </c>
      <c r="AB373" s="112">
        <v>4547045</v>
      </c>
      <c r="AC373" s="109">
        <v>160</v>
      </c>
      <c r="AD373" s="110">
        <v>-109.9</v>
      </c>
      <c r="AE373" s="110">
        <v>3.95</v>
      </c>
      <c r="AF373" s="110">
        <v>-0.77</v>
      </c>
      <c r="AG373" s="110">
        <v>109.8</v>
      </c>
      <c r="AH373" s="110">
        <v>-110</v>
      </c>
      <c r="AI373" s="110">
        <v>3.71</v>
      </c>
      <c r="AJ373" s="109">
        <v>-0.36</v>
      </c>
      <c r="AK373" s="113" t="s">
        <v>59</v>
      </c>
      <c r="AL373" s="107" t="s">
        <v>459</v>
      </c>
      <c r="AN373" s="107">
        <v>0.94499999999999995</v>
      </c>
      <c r="AO373" s="48">
        <f t="shared" si="433"/>
        <v>78348362.581730753</v>
      </c>
      <c r="AP373" s="156">
        <f t="shared" si="434"/>
        <v>54843853.807211526</v>
      </c>
      <c r="AQ373" s="161">
        <f t="shared" si="435"/>
        <v>10532114542.482046</v>
      </c>
      <c r="AR373" s="163">
        <f t="shared" si="436"/>
        <v>5.0093865740113586</v>
      </c>
      <c r="AS373" s="49">
        <f t="shared" si="437"/>
        <v>0.17107936507936508</v>
      </c>
      <c r="AT373" s="165">
        <f t="shared" si="438"/>
        <v>31.873609126984128</v>
      </c>
      <c r="AU373" s="254">
        <f t="shared" si="439"/>
        <v>194190.41249999998</v>
      </c>
      <c r="AV373" s="255">
        <f t="shared" si="440"/>
        <v>466006.58750000002</v>
      </c>
      <c r="AW373" s="256">
        <f t="shared" si="441"/>
        <v>0.41671173264262057</v>
      </c>
    </row>
    <row r="374" spans="1:70">
      <c r="A374" s="108">
        <v>372</v>
      </c>
      <c r="F374" s="45">
        <v>43134.302372685182</v>
      </c>
      <c r="G374" s="45">
        <v>43134.344004629631</v>
      </c>
      <c r="H374" s="53">
        <f>G374-F374-'user time'!P87</f>
        <v>4.1145833337343229E-2</v>
      </c>
      <c r="I374" s="86">
        <v>50.76</v>
      </c>
      <c r="J374" s="109" t="s">
        <v>260</v>
      </c>
      <c r="K374" s="88" t="s">
        <v>72</v>
      </c>
      <c r="L374" s="88" t="s">
        <v>73</v>
      </c>
      <c r="M374" s="88">
        <v>-369</v>
      </c>
      <c r="N374" s="108">
        <v>1</v>
      </c>
      <c r="O374" s="108">
        <v>200</v>
      </c>
      <c r="P374" s="88">
        <v>348</v>
      </c>
      <c r="Q374" s="88" t="s">
        <v>75</v>
      </c>
      <c r="R374" s="88" t="s">
        <v>348</v>
      </c>
      <c r="S374" s="110">
        <v>9812</v>
      </c>
      <c r="T374" s="110">
        <v>902</v>
      </c>
      <c r="U374" s="88">
        <v>983</v>
      </c>
      <c r="V374" s="90">
        <v>1500</v>
      </c>
      <c r="W374" s="111">
        <v>10</v>
      </c>
      <c r="X374" s="110">
        <v>48759</v>
      </c>
      <c r="Y374" s="110">
        <v>863651</v>
      </c>
      <c r="Z374" s="110">
        <v>6585137</v>
      </c>
      <c r="AA374" s="110">
        <v>2055151</v>
      </c>
      <c r="AB374" s="112">
        <v>4553959</v>
      </c>
      <c r="AC374" s="109">
        <v>160</v>
      </c>
      <c r="AD374" s="110">
        <v>-109.9</v>
      </c>
      <c r="AE374" s="110">
        <v>3.95</v>
      </c>
      <c r="AF374" s="110">
        <v>-0.77</v>
      </c>
      <c r="AG374" s="110">
        <v>109.8</v>
      </c>
      <c r="AH374" s="110">
        <v>-110</v>
      </c>
      <c r="AI374" s="110">
        <v>3.71</v>
      </c>
      <c r="AJ374" s="109">
        <v>-0.35</v>
      </c>
      <c r="AK374" s="113" t="s">
        <v>59</v>
      </c>
      <c r="AL374" s="107" t="s">
        <v>181</v>
      </c>
      <c r="AN374" s="107">
        <v>0.94399999999999995</v>
      </c>
      <c r="AO374" s="48">
        <f t="shared" si="433"/>
        <v>132633121.99846151</v>
      </c>
      <c r="AP374" s="156">
        <f t="shared" si="434"/>
        <v>92843185.398923054</v>
      </c>
      <c r="AQ374" s="161">
        <f t="shared" si="435"/>
        <v>10624957727.88097</v>
      </c>
      <c r="AR374" s="163">
        <f t="shared" si="436"/>
        <v>5.0505324073487019</v>
      </c>
      <c r="AS374" s="49">
        <f t="shared" si="437"/>
        <v>0.29710714285714285</v>
      </c>
      <c r="AT374" s="165">
        <f t="shared" si="438"/>
        <v>32.170716269841272</v>
      </c>
      <c r="AU374" s="254">
        <f t="shared" si="439"/>
        <v>194006.25440000001</v>
      </c>
      <c r="AV374" s="255">
        <f t="shared" si="440"/>
        <v>466904.74560000002</v>
      </c>
      <c r="AW374" s="256">
        <f t="shared" si="441"/>
        <v>0.41551570470908489</v>
      </c>
    </row>
    <row r="375" spans="1:70">
      <c r="A375" s="108">
        <v>373</v>
      </c>
      <c r="F375" s="45">
        <v>43134.344004629631</v>
      </c>
      <c r="G375" s="45">
        <v>43134.385960648149</v>
      </c>
      <c r="H375" s="53">
        <f>G375-F375-'user time'!P88</f>
        <v>4.1562499999730496E-2</v>
      </c>
      <c r="I375" s="86">
        <v>50.81</v>
      </c>
      <c r="J375" s="109" t="s">
        <v>260</v>
      </c>
      <c r="K375" s="88" t="s">
        <v>72</v>
      </c>
      <c r="L375" s="88" t="s">
        <v>73</v>
      </c>
      <c r="M375" s="88">
        <v>-369</v>
      </c>
      <c r="N375" s="108">
        <v>1</v>
      </c>
      <c r="O375" s="108">
        <v>200</v>
      </c>
      <c r="P375" s="88">
        <v>348</v>
      </c>
      <c r="Q375" s="88" t="s">
        <v>75</v>
      </c>
      <c r="R375" s="88" t="s">
        <v>348</v>
      </c>
      <c r="S375" s="110">
        <v>9500</v>
      </c>
      <c r="T375" s="110">
        <v>902</v>
      </c>
      <c r="U375" s="88">
        <v>983</v>
      </c>
      <c r="V375" s="90">
        <v>1500</v>
      </c>
      <c r="W375" s="111">
        <v>10</v>
      </c>
      <c r="X375" s="110">
        <v>48644</v>
      </c>
      <c r="Y375" s="110">
        <v>872099</v>
      </c>
      <c r="Z375" s="110">
        <v>6617213</v>
      </c>
      <c r="AA375" s="110">
        <v>2067250</v>
      </c>
      <c r="AB375" s="112">
        <v>4574068</v>
      </c>
      <c r="AC375" s="109">
        <v>160</v>
      </c>
      <c r="AD375" s="110">
        <v>-109.9</v>
      </c>
      <c r="AE375" s="110">
        <v>3.95</v>
      </c>
      <c r="AF375" s="110">
        <v>-0.77</v>
      </c>
      <c r="AG375" s="110">
        <v>109.8</v>
      </c>
      <c r="AH375" s="110">
        <v>-110</v>
      </c>
      <c r="AI375" s="110">
        <v>3.71</v>
      </c>
      <c r="AJ375" s="109">
        <v>-0.35</v>
      </c>
      <c r="AK375" s="113" t="s">
        <v>59</v>
      </c>
      <c r="AL375" s="107" t="s">
        <v>181</v>
      </c>
      <c r="AN375" s="107">
        <v>0.94399999999999995</v>
      </c>
      <c r="AO375" s="48">
        <f t="shared" ref="AO375" si="443">(HOUR(H375)*60*60+MINUTE(H375)*60+SECOND(H375))/5.2*AA375/W375*AN375</f>
        <v>134764981.61538461</v>
      </c>
      <c r="AP375" s="156">
        <f t="shared" ref="AP375" si="444">AO375*0.7</f>
        <v>94335487.130769223</v>
      </c>
      <c r="AQ375" s="161">
        <f t="shared" ref="AQ375" si="445">AP375+AQ374</f>
        <v>10719293215.01174</v>
      </c>
      <c r="AR375" s="163">
        <f t="shared" ref="AR375" si="446">H375+AR374</f>
        <v>5.0920949073484323</v>
      </c>
      <c r="AS375" s="49">
        <f t="shared" ref="AS375" si="447">I375*(HOUR(H375)*60+MINUTE(H375))/60/(7*24)</f>
        <v>0.29739980158730156</v>
      </c>
      <c r="AT375" s="165">
        <f t="shared" ref="AT375" si="448">AS375+AT374</f>
        <v>32.468116071428575</v>
      </c>
      <c r="AU375" s="254">
        <f t="shared" si="439"/>
        <v>195148.4</v>
      </c>
      <c r="AV375" s="255">
        <f t="shared" si="440"/>
        <v>468983.4</v>
      </c>
      <c r="AW375" s="256">
        <f t="shared" si="441"/>
        <v>0.41610939747547565</v>
      </c>
    </row>
    <row r="376" spans="1:70">
      <c r="A376" s="108">
        <v>374</v>
      </c>
      <c r="F376" s="45">
        <v>43134.385960648149</v>
      </c>
      <c r="G376" s="45">
        <v>43134.42769675926</v>
      </c>
      <c r="H376" s="53">
        <f>G376-F376</f>
        <v>4.1736111110367347E-2</v>
      </c>
      <c r="I376" s="86">
        <v>50.71</v>
      </c>
      <c r="J376" s="109" t="s">
        <v>260</v>
      </c>
      <c r="K376" s="88" t="s">
        <v>72</v>
      </c>
      <c r="L376" s="88" t="s">
        <v>73</v>
      </c>
      <c r="M376" s="88">
        <v>-369</v>
      </c>
      <c r="N376" s="108">
        <v>1</v>
      </c>
      <c r="O376" s="108">
        <v>200</v>
      </c>
      <c r="P376" s="88">
        <v>348</v>
      </c>
      <c r="Q376" s="88" t="s">
        <v>75</v>
      </c>
      <c r="R376" s="88" t="s">
        <v>348</v>
      </c>
      <c r="S376" s="110">
        <v>9400</v>
      </c>
      <c r="T376" s="110">
        <v>883</v>
      </c>
      <c r="U376" s="88">
        <v>983</v>
      </c>
      <c r="V376" s="90">
        <v>1500</v>
      </c>
      <c r="W376" s="111">
        <v>10</v>
      </c>
      <c r="X376" s="110">
        <v>48774</v>
      </c>
      <c r="Y376" s="110">
        <v>863182</v>
      </c>
      <c r="Z376" s="110">
        <v>6610580</v>
      </c>
      <c r="AA376" s="110">
        <v>2052411</v>
      </c>
      <c r="AB376" s="112">
        <v>4581764</v>
      </c>
      <c r="AC376" s="109">
        <v>160</v>
      </c>
      <c r="AD376" s="110">
        <v>-109.9</v>
      </c>
      <c r="AE376" s="110">
        <v>3.95</v>
      </c>
      <c r="AF376" s="110">
        <v>-0.77</v>
      </c>
      <c r="AG376" s="110">
        <v>109.8</v>
      </c>
      <c r="AH376" s="110">
        <v>-110</v>
      </c>
      <c r="AI376" s="110">
        <v>3.71</v>
      </c>
      <c r="AJ376" s="109">
        <v>-0.36</v>
      </c>
      <c r="AK376" s="113" t="s">
        <v>59</v>
      </c>
      <c r="AL376" s="107" t="s">
        <v>181</v>
      </c>
      <c r="AN376" s="107">
        <v>0.94399999999999995</v>
      </c>
      <c r="AO376" s="48">
        <f t="shared" ref="AO376" si="449">(HOUR(H376)*60*60+MINUTE(H376)*60+SECOND(H376))/5.2*AA376/W376*AN376</f>
        <v>134356507.65969232</v>
      </c>
      <c r="AP376" s="156">
        <f t="shared" ref="AP376" si="450">AO376*0.7</f>
        <v>94049555.361784622</v>
      </c>
      <c r="AQ376" s="161">
        <f t="shared" ref="AQ376" si="451">AP376+AQ375</f>
        <v>10813342770.373524</v>
      </c>
      <c r="AR376" s="163">
        <f t="shared" ref="AR376" si="452">H376+AR375</f>
        <v>5.1338310184587996</v>
      </c>
      <c r="AS376" s="49">
        <f t="shared" ref="AS376" si="453">I376*(HOUR(H376)*60+MINUTE(H376))/60/(7*24)</f>
        <v>0.30184523809523811</v>
      </c>
      <c r="AT376" s="165">
        <f t="shared" ref="AT376" si="454">AS376+AT375</f>
        <v>32.769961309523815</v>
      </c>
      <c r="AU376" s="254">
        <f t="shared" si="439"/>
        <v>193747.59839999999</v>
      </c>
      <c r="AV376" s="255">
        <f t="shared" si="440"/>
        <v>469669.90160000004</v>
      </c>
      <c r="AW376" s="256">
        <f t="shared" si="441"/>
        <v>0.41251865989276748</v>
      </c>
    </row>
    <row r="377" spans="1:70">
      <c r="A377" s="108">
        <v>375</v>
      </c>
      <c r="F377" s="45">
        <v>43134.427731481483</v>
      </c>
      <c r="G377" s="45">
        <v>43134.468865740739</v>
      </c>
      <c r="H377" s="53">
        <f>G377-F377-'user time'!P89-'user time'!P90</f>
        <v>4.0277777774587131E-2</v>
      </c>
      <c r="I377" s="86">
        <v>50.67</v>
      </c>
      <c r="J377" s="109" t="s">
        <v>260</v>
      </c>
      <c r="K377" s="88" t="s">
        <v>72</v>
      </c>
      <c r="L377" s="88" t="s">
        <v>73</v>
      </c>
      <c r="M377" s="88">
        <v>-369</v>
      </c>
      <c r="N377" s="108">
        <v>1</v>
      </c>
      <c r="O377" s="108">
        <v>200</v>
      </c>
      <c r="P377" s="88">
        <v>348</v>
      </c>
      <c r="Q377" s="88" t="s">
        <v>75</v>
      </c>
      <c r="R377" s="88" t="s">
        <v>348</v>
      </c>
      <c r="S377" s="110">
        <v>9800</v>
      </c>
      <c r="T377" s="110">
        <v>906</v>
      </c>
      <c r="U377" s="88">
        <v>983</v>
      </c>
      <c r="V377" s="90">
        <v>1500</v>
      </c>
      <c r="W377" s="111">
        <v>10</v>
      </c>
      <c r="X377" s="110">
        <v>48952</v>
      </c>
      <c r="Y377" s="110">
        <v>863492</v>
      </c>
      <c r="Z377" s="110">
        <v>6611836</v>
      </c>
      <c r="AA377" s="110">
        <v>2056558</v>
      </c>
      <c r="AB377" s="112">
        <v>4579090</v>
      </c>
      <c r="AC377" s="109">
        <v>160</v>
      </c>
      <c r="AD377" s="110">
        <v>-109.9</v>
      </c>
      <c r="AE377" s="110">
        <v>3.95</v>
      </c>
      <c r="AF377" s="110">
        <v>-0.77</v>
      </c>
      <c r="AG377" s="110">
        <v>109.8</v>
      </c>
      <c r="AH377" s="110">
        <v>-110</v>
      </c>
      <c r="AI377" s="110">
        <v>3.71</v>
      </c>
      <c r="AJ377" s="109">
        <v>-0.35</v>
      </c>
      <c r="AK377" s="113" t="s">
        <v>59</v>
      </c>
      <c r="AL377" s="107" t="s">
        <v>181</v>
      </c>
      <c r="AN377" s="107">
        <v>0.94699999999999995</v>
      </c>
      <c r="AO377" s="48">
        <f t="shared" ref="AO377" si="455">(HOUR(H377)*60*60+MINUTE(H377)*60+SECOND(H377))/5.2*AA377/W377*AN377</f>
        <v>130336736.20153844</v>
      </c>
      <c r="AP377" s="156">
        <f t="shared" ref="AP377" si="456">AO377*0.7</f>
        <v>91235715.34107691</v>
      </c>
      <c r="AQ377" s="161">
        <f t="shared" ref="AQ377" si="457">AP377+AQ376</f>
        <v>10904578485.714602</v>
      </c>
      <c r="AR377" s="163">
        <f t="shared" ref="AR377" si="458">H377+AR376</f>
        <v>5.1741087962333872</v>
      </c>
      <c r="AS377" s="49">
        <f t="shared" ref="AS377" si="459">I377*(HOUR(H377)*60+MINUTE(H377))/60/(7*24)</f>
        <v>0.29155357142857141</v>
      </c>
      <c r="AT377" s="165">
        <f t="shared" ref="AT377" si="460">AS377+AT376</f>
        <v>33.061514880952387</v>
      </c>
      <c r="AU377" s="254">
        <f t="shared" si="439"/>
        <v>194756.04259999999</v>
      </c>
      <c r="AV377" s="255">
        <f t="shared" si="440"/>
        <v>468808.7574</v>
      </c>
      <c r="AW377" s="256">
        <f t="shared" si="441"/>
        <v>0.41542748407711377</v>
      </c>
    </row>
    <row r="378" spans="1:70">
      <c r="A378" s="108">
        <v>376</v>
      </c>
      <c r="F378" s="45">
        <v>43134.468900462962</v>
      </c>
      <c r="G378" s="45">
        <v>43134.510277777779</v>
      </c>
      <c r="H378" s="53">
        <f>G378-F378-'user time'!P91</f>
        <v>4.1018518521213299E-2</v>
      </c>
      <c r="I378" s="86">
        <v>50.82</v>
      </c>
      <c r="J378" s="109" t="s">
        <v>260</v>
      </c>
      <c r="K378" s="88" t="s">
        <v>72</v>
      </c>
      <c r="L378" s="88" t="s">
        <v>73</v>
      </c>
      <c r="M378" s="88">
        <v>-369</v>
      </c>
      <c r="N378" s="108">
        <v>1</v>
      </c>
      <c r="O378" s="108">
        <v>200</v>
      </c>
      <c r="P378" s="88">
        <v>348</v>
      </c>
      <c r="Q378" s="88" t="s">
        <v>75</v>
      </c>
      <c r="R378" s="88" t="s">
        <v>348</v>
      </c>
      <c r="S378" s="110">
        <v>10200</v>
      </c>
      <c r="T378" s="110">
        <v>821</v>
      </c>
      <c r="U378" s="88">
        <v>983</v>
      </c>
      <c r="V378" s="90">
        <v>1500</v>
      </c>
      <c r="W378" s="111">
        <v>10</v>
      </c>
      <c r="X378" s="110">
        <v>48719</v>
      </c>
      <c r="Y378" s="110">
        <v>867594</v>
      </c>
      <c r="Z378" s="110">
        <v>6627802</v>
      </c>
      <c r="AA378" s="110">
        <v>2057135</v>
      </c>
      <c r="AB378" s="112">
        <v>4594512</v>
      </c>
      <c r="AC378" s="109">
        <v>160</v>
      </c>
      <c r="AD378" s="110">
        <v>-109.9</v>
      </c>
      <c r="AE378" s="110">
        <v>3.95</v>
      </c>
      <c r="AF378" s="110">
        <v>-0.77</v>
      </c>
      <c r="AG378" s="110">
        <v>109.8</v>
      </c>
      <c r="AH378" s="110">
        <v>-110</v>
      </c>
      <c r="AI378" s="110">
        <v>3.72</v>
      </c>
      <c r="AJ378" s="109">
        <v>-0.36</v>
      </c>
      <c r="AK378" s="113" t="s">
        <v>59</v>
      </c>
      <c r="AL378" s="107" t="s">
        <v>181</v>
      </c>
      <c r="AN378" s="107">
        <v>0.94599999999999995</v>
      </c>
      <c r="AO378" s="48">
        <f t="shared" ref="AO378:AO379" si="461">(HOUR(H378)*60*60+MINUTE(H378)*60+SECOND(H378))/5.2*AA378/W378*AN378</f>
        <v>132630772.54307693</v>
      </c>
      <c r="AP378" s="156">
        <f t="shared" ref="AP378:AP379" si="462">AO378*0.7</f>
        <v>92841540.780153841</v>
      </c>
      <c r="AQ378" s="161">
        <f t="shared" ref="AQ378:AQ379" si="463">AP378+AQ377</f>
        <v>10997420026.494755</v>
      </c>
      <c r="AR378" s="163">
        <f t="shared" ref="AR378:AR379" si="464">H378+AR377</f>
        <v>5.2151273147546</v>
      </c>
      <c r="AS378" s="49">
        <f t="shared" ref="AS378:AS379" si="465">I378*(HOUR(H378)*60+MINUTE(H378))/60/(7*24)</f>
        <v>0.29745833333333332</v>
      </c>
      <c r="AT378" s="165">
        <f t="shared" ref="AT378:AT379" si="466">AS378+AT377</f>
        <v>33.358973214285719</v>
      </c>
      <c r="AU378" s="254">
        <f t="shared" si="439"/>
        <v>194604.97099999999</v>
      </c>
      <c r="AV378" s="255">
        <f t="shared" si="440"/>
        <v>470559.72900000005</v>
      </c>
      <c r="AW378" s="256">
        <f t="shared" si="441"/>
        <v>0.41356061517112946</v>
      </c>
    </row>
    <row r="379" spans="1:70">
      <c r="A379" s="108">
        <v>377</v>
      </c>
      <c r="F379" s="45">
        <v>43134.510300925926</v>
      </c>
      <c r="G379" s="45">
        <v>43134.551631944443</v>
      </c>
      <c r="H379" s="53">
        <f>G379-F379-'user time'!P92</f>
        <v>4.0937499999148419E-2</v>
      </c>
      <c r="I379" s="86">
        <v>50.75</v>
      </c>
      <c r="J379" s="109" t="s">
        <v>260</v>
      </c>
      <c r="K379" s="88" t="s">
        <v>72</v>
      </c>
      <c r="L379" s="88" t="s">
        <v>73</v>
      </c>
      <c r="M379" s="88">
        <v>-369</v>
      </c>
      <c r="N379" s="108">
        <v>1</v>
      </c>
      <c r="O379" s="108">
        <v>200</v>
      </c>
      <c r="P379" s="88">
        <v>348</v>
      </c>
      <c r="Q379" s="88" t="s">
        <v>75</v>
      </c>
      <c r="R379" s="88" t="s">
        <v>348</v>
      </c>
      <c r="S379" s="110">
        <v>9500</v>
      </c>
      <c r="T379" s="110">
        <v>864</v>
      </c>
      <c r="U379" s="88">
        <v>983</v>
      </c>
      <c r="V379" s="90">
        <v>1500</v>
      </c>
      <c r="W379" s="111">
        <v>10</v>
      </c>
      <c r="X379" s="110">
        <v>49077</v>
      </c>
      <c r="Y379" s="110">
        <v>865435</v>
      </c>
      <c r="Z379" s="110">
        <v>6615257</v>
      </c>
      <c r="AA379" s="110">
        <v>2034413</v>
      </c>
      <c r="AB379" s="112">
        <v>4606162</v>
      </c>
      <c r="AC379" s="109">
        <v>160.1</v>
      </c>
      <c r="AD379" s="110">
        <v>-109.9</v>
      </c>
      <c r="AE379" s="110">
        <v>3.95</v>
      </c>
      <c r="AF379" s="110">
        <v>-0.77</v>
      </c>
      <c r="AG379" s="110">
        <v>109.8</v>
      </c>
      <c r="AH379" s="110">
        <v>-110</v>
      </c>
      <c r="AI379" s="110">
        <v>3.72</v>
      </c>
      <c r="AJ379" s="109">
        <v>-0.36</v>
      </c>
      <c r="AK379" s="113" t="s">
        <v>59</v>
      </c>
      <c r="AL379" s="107" t="s">
        <v>181</v>
      </c>
      <c r="AN379" s="107">
        <v>0.93799999999999994</v>
      </c>
      <c r="AO379" s="48">
        <f t="shared" si="461"/>
        <v>129799696.47265384</v>
      </c>
      <c r="AP379" s="156">
        <f t="shared" si="462"/>
        <v>90859787.530857682</v>
      </c>
      <c r="AQ379" s="161">
        <f t="shared" si="463"/>
        <v>11088279814.025612</v>
      </c>
      <c r="AR379" s="163">
        <f t="shared" si="464"/>
        <v>5.2560648147537483</v>
      </c>
      <c r="AS379" s="49">
        <f t="shared" si="465"/>
        <v>0.29201388888888885</v>
      </c>
      <c r="AT379" s="165">
        <f t="shared" si="466"/>
        <v>33.650987103174607</v>
      </c>
      <c r="AU379" s="254">
        <f t="shared" si="439"/>
        <v>190827.93939999997</v>
      </c>
      <c r="AV379" s="255">
        <f t="shared" si="440"/>
        <v>473229.56060000003</v>
      </c>
      <c r="AW379" s="256">
        <f t="shared" si="441"/>
        <v>0.40324602537096871</v>
      </c>
    </row>
    <row r="380" spans="1:70">
      <c r="A380" s="108">
        <v>378</v>
      </c>
      <c r="F380" s="45">
        <v>43134.551655092589</v>
      </c>
      <c r="G380" s="45">
        <v>43134.593576388892</v>
      </c>
      <c r="H380" s="53">
        <f>G380-F380-'user time'!P93</f>
        <v>4.1620370376536098E-2</v>
      </c>
      <c r="I380" s="86">
        <v>50.84</v>
      </c>
      <c r="J380" s="109" t="s">
        <v>260</v>
      </c>
      <c r="K380" s="88" t="s">
        <v>72</v>
      </c>
      <c r="L380" s="88" t="s">
        <v>73</v>
      </c>
      <c r="M380" s="88">
        <v>-369</v>
      </c>
      <c r="N380" s="108">
        <v>1</v>
      </c>
      <c r="O380" s="108">
        <v>200</v>
      </c>
      <c r="P380" s="88">
        <v>348</v>
      </c>
      <c r="Q380" s="88" t="s">
        <v>75</v>
      </c>
      <c r="R380" s="88" t="s">
        <v>348</v>
      </c>
      <c r="S380" s="110">
        <v>9800</v>
      </c>
      <c r="T380" s="110">
        <v>874</v>
      </c>
      <c r="U380" s="88">
        <v>983</v>
      </c>
      <c r="V380" s="90">
        <v>1500</v>
      </c>
      <c r="W380" s="111">
        <v>10</v>
      </c>
      <c r="X380" s="110">
        <v>49283</v>
      </c>
      <c r="Y380" s="110">
        <v>865674</v>
      </c>
      <c r="Z380" s="110">
        <v>6632594</v>
      </c>
      <c r="AA380" s="110">
        <v>2045885</v>
      </c>
      <c r="AB380" s="112">
        <v>4611709</v>
      </c>
      <c r="AC380" s="109">
        <v>160.1</v>
      </c>
      <c r="AD380" s="110">
        <v>-109.9</v>
      </c>
      <c r="AE380" s="110">
        <v>3.95</v>
      </c>
      <c r="AF380" s="110">
        <v>-0.76</v>
      </c>
      <c r="AG380" s="110">
        <v>109.8</v>
      </c>
      <c r="AH380" s="110">
        <v>-110</v>
      </c>
      <c r="AI380" s="110">
        <v>3.72</v>
      </c>
      <c r="AJ380" s="109">
        <v>-0.35</v>
      </c>
      <c r="AK380" s="113" t="s">
        <v>59</v>
      </c>
      <c r="AL380" s="107" t="s">
        <v>181</v>
      </c>
      <c r="AN380" s="107">
        <v>0.94299999999999995</v>
      </c>
      <c r="AO380" s="48">
        <f t="shared" ref="AO380:AO381" si="467">(HOUR(H380)*60*60+MINUTE(H380)*60+SECOND(H380))/5.2*AA380/W380*AN380</f>
        <v>133416409.99576922</v>
      </c>
      <c r="AP380" s="156">
        <f t="shared" ref="AP380:AP381" si="468">AO380*0.7</f>
        <v>93391486.997038454</v>
      </c>
      <c r="AQ380" s="161">
        <f t="shared" ref="AQ380:AQ381" si="469">AP380+AQ379</f>
        <v>11181671301.02265</v>
      </c>
      <c r="AR380" s="163">
        <f t="shared" ref="AR380:AR381" si="470">H380+AR379</f>
        <v>5.297685185130284</v>
      </c>
      <c r="AS380" s="49">
        <f t="shared" ref="AS380:AS381" si="471">I380*(HOUR(H380)*60+MINUTE(H380))/60/(7*24)</f>
        <v>0.29757539682539685</v>
      </c>
      <c r="AT380" s="165">
        <f t="shared" ref="AT380:AT381" si="472">AS380+AT379</f>
        <v>33.948562500000001</v>
      </c>
      <c r="AU380" s="254">
        <f t="shared" si="439"/>
        <v>192926.95549999998</v>
      </c>
      <c r="AV380" s="255">
        <f t="shared" si="440"/>
        <v>472832.44450000004</v>
      </c>
      <c r="AW380" s="256">
        <f t="shared" si="441"/>
        <v>0.40802393690224015</v>
      </c>
    </row>
    <row r="381" spans="1:70">
      <c r="A381" s="108">
        <v>379</v>
      </c>
      <c r="F381" s="45">
        <v>43134.593877314815</v>
      </c>
      <c r="G381" s="45">
        <v>43134.635937500003</v>
      </c>
      <c r="H381" s="53">
        <f>G381-F381-'user time'!P94-'user time'!P95</f>
        <v>4.1030092594845469E-2</v>
      </c>
      <c r="I381" s="86">
        <v>50.75</v>
      </c>
      <c r="J381" s="109" t="s">
        <v>260</v>
      </c>
      <c r="K381" s="88" t="s">
        <v>72</v>
      </c>
      <c r="L381" s="88" t="s">
        <v>73</v>
      </c>
      <c r="M381" s="88">
        <v>-369</v>
      </c>
      <c r="N381" s="108">
        <v>1</v>
      </c>
      <c r="O381" s="108">
        <v>200</v>
      </c>
      <c r="P381" s="88">
        <v>348</v>
      </c>
      <c r="Q381" s="88" t="s">
        <v>75</v>
      </c>
      <c r="R381" s="88" t="s">
        <v>348</v>
      </c>
      <c r="S381" s="110">
        <v>10100</v>
      </c>
      <c r="T381" s="110">
        <v>904</v>
      </c>
      <c r="U381" s="88">
        <v>983</v>
      </c>
      <c r="V381" s="90">
        <v>1500</v>
      </c>
      <c r="W381" s="111">
        <v>10</v>
      </c>
      <c r="X381" s="110">
        <v>49234</v>
      </c>
      <c r="Y381" s="110">
        <v>869375</v>
      </c>
      <c r="Z381" s="110">
        <v>6608354</v>
      </c>
      <c r="AA381" s="110">
        <v>2029732</v>
      </c>
      <c r="AB381" s="112">
        <v>4603528</v>
      </c>
      <c r="AC381" s="109">
        <v>160.1</v>
      </c>
      <c r="AD381" s="110">
        <v>-109.9</v>
      </c>
      <c r="AE381" s="110">
        <v>3.95</v>
      </c>
      <c r="AF381" s="110">
        <v>-0.77</v>
      </c>
      <c r="AG381" s="110">
        <v>109.8</v>
      </c>
      <c r="AH381" s="110">
        <v>-110</v>
      </c>
      <c r="AI381" s="110">
        <v>3.72</v>
      </c>
      <c r="AJ381" s="109">
        <v>-0.35</v>
      </c>
      <c r="AK381" s="113" t="s">
        <v>59</v>
      </c>
      <c r="AL381" s="107" t="s">
        <v>181</v>
      </c>
      <c r="AN381" s="107">
        <v>0.94299999999999995</v>
      </c>
      <c r="AO381" s="48">
        <f t="shared" si="467"/>
        <v>130485810.45038459</v>
      </c>
      <c r="AP381" s="156">
        <f t="shared" si="468"/>
        <v>91340067.315269202</v>
      </c>
      <c r="AQ381" s="161">
        <f t="shared" si="469"/>
        <v>11273011368.337919</v>
      </c>
      <c r="AR381" s="163">
        <f t="shared" si="470"/>
        <v>5.3387152777251297</v>
      </c>
      <c r="AS381" s="49">
        <f t="shared" si="471"/>
        <v>0.29704861111111114</v>
      </c>
      <c r="AT381" s="165">
        <f t="shared" si="472"/>
        <v>34.24561111111111</v>
      </c>
      <c r="AU381" s="254">
        <f t="shared" si="439"/>
        <v>191403.72760000001</v>
      </c>
      <c r="AV381" s="255">
        <f t="shared" si="440"/>
        <v>471922.27240000002</v>
      </c>
      <c r="AW381" s="256">
        <f t="shared" si="441"/>
        <v>0.40558316230043651</v>
      </c>
    </row>
    <row r="382" spans="1:70">
      <c r="A382" s="108">
        <v>380</v>
      </c>
      <c r="F382" s="45">
        <v>43134.635983796295</v>
      </c>
      <c r="G382" s="45">
        <v>43134.636655092596</v>
      </c>
      <c r="H382" s="53">
        <f>G382-F382</f>
        <v>6.7129630042472854E-4</v>
      </c>
      <c r="I382" s="86">
        <v>50.77</v>
      </c>
      <c r="J382" s="109" t="s">
        <v>260</v>
      </c>
      <c r="K382" s="88" t="s">
        <v>72</v>
      </c>
      <c r="L382" s="88" t="s">
        <v>73</v>
      </c>
      <c r="M382" s="88">
        <v>-369</v>
      </c>
      <c r="N382" s="108">
        <v>1</v>
      </c>
      <c r="O382" s="108">
        <v>200</v>
      </c>
      <c r="P382" s="88">
        <v>348</v>
      </c>
      <c r="Q382" s="88" t="s">
        <v>75</v>
      </c>
      <c r="R382" s="88" t="s">
        <v>348</v>
      </c>
      <c r="U382" s="88">
        <v>983</v>
      </c>
      <c r="V382" s="90">
        <v>1500</v>
      </c>
      <c r="W382" s="111">
        <v>10</v>
      </c>
      <c r="X382" s="110">
        <v>48790</v>
      </c>
      <c r="Y382" s="110">
        <v>864470</v>
      </c>
      <c r="Z382" s="110">
        <v>6638545</v>
      </c>
      <c r="AA382" s="110">
        <v>2023302</v>
      </c>
      <c r="AB382" s="112">
        <v>4640719</v>
      </c>
      <c r="AC382" s="109">
        <v>160.1</v>
      </c>
      <c r="AD382" s="110">
        <v>-109.9</v>
      </c>
      <c r="AE382" s="110">
        <v>3.95</v>
      </c>
      <c r="AF382" s="110">
        <v>-0.77</v>
      </c>
      <c r="AG382" s="110">
        <v>109.8</v>
      </c>
      <c r="AH382" s="110">
        <v>-110</v>
      </c>
      <c r="AI382" s="110">
        <v>3.72</v>
      </c>
      <c r="AJ382" s="109">
        <v>-0.36</v>
      </c>
      <c r="AK382" s="113" t="s">
        <v>59</v>
      </c>
      <c r="AL382" s="107" t="s">
        <v>181</v>
      </c>
      <c r="AN382" s="107">
        <f>AN381</f>
        <v>0.94299999999999995</v>
      </c>
      <c r="AO382" s="48">
        <f t="shared" ref="AO382" si="473">(HOUR(H382)*60*60+MINUTE(H382)*60+SECOND(H382))/5.2*AA382/W382*AN382</f>
        <v>2128124.6074615382</v>
      </c>
      <c r="AP382" s="156">
        <f t="shared" ref="AP382" si="474">AO382*0.7</f>
        <v>1489687.2252230765</v>
      </c>
      <c r="AQ382" s="161">
        <f t="shared" ref="AQ382" si="475">AP382+AQ381</f>
        <v>11274501055.563143</v>
      </c>
      <c r="AR382" s="163">
        <f t="shared" ref="AR382" si="476">H382+AR381</f>
        <v>5.3393865740255544</v>
      </c>
      <c r="AS382" s="49">
        <f t="shared" ref="AS382" si="477">I382*(HOUR(H382)*60+MINUTE(H382))/60/(7*24)</f>
        <v>0</v>
      </c>
      <c r="AT382" s="165">
        <f t="shared" ref="AT382" si="478">AS382+AT381</f>
        <v>34.24561111111111</v>
      </c>
      <c r="AU382" s="254">
        <f t="shared" si="439"/>
        <v>190797.3786</v>
      </c>
      <c r="AV382" s="255">
        <f t="shared" si="440"/>
        <v>475604.72140000004</v>
      </c>
      <c r="AW382" s="256">
        <f t="shared" si="441"/>
        <v>0.40116796578125807</v>
      </c>
    </row>
    <row r="383" spans="1:70" s="190" customFormat="1">
      <c r="A383" s="176">
        <v>381</v>
      </c>
      <c r="F383" s="171">
        <v>43134.648240740738</v>
      </c>
      <c r="G383" s="171">
        <v>43134.650694444441</v>
      </c>
      <c r="H383" s="172">
        <f>G383-F383</f>
        <v>2.4537037024856545E-3</v>
      </c>
      <c r="I383" s="173">
        <v>50.77</v>
      </c>
      <c r="J383" s="174" t="s">
        <v>260</v>
      </c>
      <c r="K383" s="175" t="s">
        <v>72</v>
      </c>
      <c r="L383" s="175" t="s">
        <v>73</v>
      </c>
      <c r="M383" s="175">
        <v>-369</v>
      </c>
      <c r="N383" s="176">
        <v>1</v>
      </c>
      <c r="O383" s="176">
        <v>200</v>
      </c>
      <c r="P383" s="175">
        <v>348</v>
      </c>
      <c r="Q383" s="175" t="s">
        <v>75</v>
      </c>
      <c r="R383" s="230" t="s">
        <v>499</v>
      </c>
      <c r="S383" s="177"/>
      <c r="T383" s="177"/>
      <c r="U383" s="175">
        <v>983</v>
      </c>
      <c r="V383" s="178">
        <v>1500</v>
      </c>
      <c r="W383" s="179"/>
      <c r="X383" s="177"/>
      <c r="Y383" s="177"/>
      <c r="Z383" s="177"/>
      <c r="AA383" s="177"/>
      <c r="AB383" s="180"/>
      <c r="AC383" s="174">
        <v>160.1</v>
      </c>
      <c r="AD383" s="177">
        <v>-109.9</v>
      </c>
      <c r="AE383" s="177">
        <v>3.95</v>
      </c>
      <c r="AF383" s="177">
        <v>-0.77</v>
      </c>
      <c r="AG383" s="177">
        <v>109.8</v>
      </c>
      <c r="AH383" s="177">
        <v>-110</v>
      </c>
      <c r="AI383" s="177">
        <v>3.72</v>
      </c>
      <c r="AJ383" s="174">
        <v>-0.36</v>
      </c>
      <c r="AK383" s="181" t="s">
        <v>59</v>
      </c>
      <c r="AL383" s="182" t="s">
        <v>206</v>
      </c>
      <c r="AM383" s="183"/>
      <c r="AN383" s="182"/>
      <c r="AO383" s="191"/>
      <c r="AP383" s="184"/>
      <c r="AQ383" s="193"/>
      <c r="AR383" s="186"/>
      <c r="AS383" s="187"/>
      <c r="AT383" s="188"/>
      <c r="AU383" s="187"/>
      <c r="AV383" s="187"/>
      <c r="AW383" s="177"/>
      <c r="AX383" s="177"/>
      <c r="AY383" s="177"/>
      <c r="AZ383" s="177"/>
      <c r="BA383" s="187"/>
      <c r="BB383" s="180"/>
      <c r="BC383" s="189"/>
      <c r="BD383" s="189"/>
      <c r="BE383" s="189"/>
      <c r="BF383" s="189"/>
      <c r="BG383" s="189"/>
      <c r="BH383" s="189"/>
      <c r="BI383" s="189"/>
      <c r="BJ383" s="189"/>
      <c r="BK383" s="189"/>
      <c r="BL383" s="189"/>
      <c r="BM383" s="189"/>
      <c r="BN383" s="189"/>
      <c r="BO383" s="189"/>
      <c r="BP383" s="189"/>
      <c r="BQ383" s="189"/>
      <c r="BR383" s="189"/>
    </row>
    <row r="384" spans="1:70" s="190" customFormat="1">
      <c r="A384" s="176">
        <v>382</v>
      </c>
      <c r="F384" s="171">
        <v>43134.650868055556</v>
      </c>
      <c r="G384" s="171">
        <v>43134.650868055556</v>
      </c>
      <c r="H384" s="172">
        <f>G384-F384</f>
        <v>0</v>
      </c>
      <c r="I384" s="173">
        <v>50.77</v>
      </c>
      <c r="J384" s="174" t="s">
        <v>260</v>
      </c>
      <c r="K384" s="175" t="s">
        <v>72</v>
      </c>
      <c r="L384" s="175" t="s">
        <v>73</v>
      </c>
      <c r="M384" s="175">
        <v>-369</v>
      </c>
      <c r="N384" s="176">
        <v>1</v>
      </c>
      <c r="O384" s="176">
        <v>200</v>
      </c>
      <c r="P384" s="175">
        <v>348</v>
      </c>
      <c r="Q384" s="175" t="s">
        <v>75</v>
      </c>
      <c r="R384" s="230" t="s">
        <v>500</v>
      </c>
      <c r="S384" s="177"/>
      <c r="T384" s="177"/>
      <c r="U384" s="175">
        <v>983</v>
      </c>
      <c r="V384" s="178">
        <v>1500</v>
      </c>
      <c r="W384" s="179"/>
      <c r="X384" s="177"/>
      <c r="Y384" s="177"/>
      <c r="Z384" s="177"/>
      <c r="AA384" s="177"/>
      <c r="AB384" s="180"/>
      <c r="AC384" s="174">
        <v>160.1</v>
      </c>
      <c r="AD384" s="177">
        <v>-109.9</v>
      </c>
      <c r="AE384" s="177">
        <v>3.95</v>
      </c>
      <c r="AF384" s="177">
        <v>-0.77</v>
      </c>
      <c r="AG384" s="177">
        <v>109.8</v>
      </c>
      <c r="AH384" s="177">
        <v>-110</v>
      </c>
      <c r="AI384" s="177">
        <v>3.72</v>
      </c>
      <c r="AJ384" s="174">
        <v>-0.36</v>
      </c>
      <c r="AK384" s="181" t="s">
        <v>59</v>
      </c>
      <c r="AL384" s="182" t="s">
        <v>207</v>
      </c>
      <c r="AM384" s="183"/>
      <c r="AN384" s="182"/>
      <c r="AO384" s="191"/>
      <c r="AP384" s="184"/>
      <c r="AQ384" s="193"/>
      <c r="AR384" s="186"/>
      <c r="AS384" s="187"/>
      <c r="AT384" s="188"/>
      <c r="AU384" s="187"/>
      <c r="AV384" s="187"/>
      <c r="AW384" s="177"/>
      <c r="AX384" s="177"/>
      <c r="AY384" s="177"/>
      <c r="AZ384" s="177"/>
      <c r="BA384" s="187"/>
      <c r="BB384" s="180"/>
      <c r="BC384" s="189"/>
      <c r="BD384" s="189"/>
      <c r="BE384" s="189"/>
      <c r="BF384" s="189"/>
      <c r="BG384" s="189"/>
      <c r="BH384" s="189"/>
      <c r="BI384" s="189"/>
      <c r="BJ384" s="189"/>
      <c r="BK384" s="189"/>
      <c r="BL384" s="189"/>
      <c r="BM384" s="189"/>
      <c r="BN384" s="189"/>
      <c r="BO384" s="189"/>
      <c r="BP384" s="189"/>
      <c r="BQ384" s="189"/>
      <c r="BR384" s="189"/>
    </row>
    <row r="385" spans="1:49">
      <c r="A385" s="108">
        <v>383</v>
      </c>
      <c r="F385" s="45">
        <v>43134.654606481483</v>
      </c>
      <c r="G385" s="45">
        <v>43134.69736111111</v>
      </c>
      <c r="H385" s="53">
        <f>G385-F385-'user time'!P98</f>
        <v>4.2210648145388774E-2</v>
      </c>
      <c r="I385" s="86">
        <v>50.76</v>
      </c>
      <c r="J385" s="109" t="s">
        <v>260</v>
      </c>
      <c r="K385" s="88" t="s">
        <v>72</v>
      </c>
      <c r="L385" s="88" t="s">
        <v>73</v>
      </c>
      <c r="M385" s="88">
        <v>-369</v>
      </c>
      <c r="N385" s="108">
        <v>1</v>
      </c>
      <c r="O385" s="108">
        <v>200</v>
      </c>
      <c r="P385" s="88">
        <v>348</v>
      </c>
      <c r="Q385" s="88" t="s">
        <v>75</v>
      </c>
      <c r="R385" s="88" t="s">
        <v>348</v>
      </c>
      <c r="S385" s="110">
        <v>9800</v>
      </c>
      <c r="T385" s="110">
        <v>903</v>
      </c>
      <c r="U385" s="88">
        <v>983</v>
      </c>
      <c r="V385" s="90">
        <v>1500</v>
      </c>
      <c r="W385" s="111">
        <v>10</v>
      </c>
      <c r="X385" s="110">
        <v>48915</v>
      </c>
      <c r="Y385" s="110">
        <v>865802</v>
      </c>
      <c r="Z385" s="110">
        <v>6732195</v>
      </c>
      <c r="AA385" s="110">
        <v>2091974</v>
      </c>
      <c r="AB385" s="112">
        <v>4664360</v>
      </c>
      <c r="AC385" s="109">
        <v>160.1</v>
      </c>
      <c r="AD385" s="110">
        <v>-109.9</v>
      </c>
      <c r="AE385" s="110">
        <v>3.95</v>
      </c>
      <c r="AF385" s="110">
        <v>-0.77</v>
      </c>
      <c r="AG385" s="110">
        <v>109.8</v>
      </c>
      <c r="AH385" s="110">
        <v>-110</v>
      </c>
      <c r="AI385" s="110">
        <v>3.72</v>
      </c>
      <c r="AJ385" s="109">
        <v>-0.35</v>
      </c>
      <c r="AK385" s="113" t="s">
        <v>59</v>
      </c>
      <c r="AL385" s="107" t="s">
        <v>181</v>
      </c>
      <c r="AN385" s="107">
        <v>0.94699999999999995</v>
      </c>
      <c r="AO385" s="48">
        <f t="shared" ref="AO385:AO403" si="479">(HOUR(H385)*60*60+MINUTE(H385)*60+SECOND(H385))/5.2*AA385/W385*AN385</f>
        <v>138943642.91473073</v>
      </c>
      <c r="AP385" s="156">
        <f t="shared" ref="AP385:AP403" si="480">AO385*0.7</f>
        <v>97260550.0403115</v>
      </c>
      <c r="AQ385" s="161">
        <f>AP385+AQ382</f>
        <v>11371761605.603455</v>
      </c>
      <c r="AR385" s="163">
        <f>H385+AR382</f>
        <v>5.3815972221709432</v>
      </c>
      <c r="AS385" s="49">
        <f t="shared" ref="AS385:AS403" si="481">I385*(HOUR(H385)*60+MINUTE(H385))/60/(7*24)</f>
        <v>0.30214285714285716</v>
      </c>
      <c r="AT385" s="165">
        <f>AS385+AT382</f>
        <v>34.547753968253964</v>
      </c>
      <c r="AU385" s="254">
        <f t="shared" ref="AU385:AU406" si="482">AA385/W385*AN385</f>
        <v>198109.93779999999</v>
      </c>
      <c r="AV385" s="255">
        <f t="shared" ref="AV385:AV406" si="483">AB385/W385+AA385/W385*(1-AN385)</f>
        <v>477523.46220000001</v>
      </c>
      <c r="AW385" s="256">
        <f t="shared" ref="AW385:AW406" si="484">AU385/AV385</f>
        <v>0.41486953727317816</v>
      </c>
    </row>
    <row r="386" spans="1:49">
      <c r="A386" s="108">
        <v>384</v>
      </c>
      <c r="F386" s="45">
        <v>43134.697430555556</v>
      </c>
      <c r="G386" s="45">
        <v>43134.740972222222</v>
      </c>
      <c r="H386" s="53">
        <f>G386-F386-SUM('user time'!P99:P101)</f>
        <v>4.2233796295617076E-2</v>
      </c>
      <c r="I386" s="86">
        <v>50.82</v>
      </c>
      <c r="J386" s="109" t="s">
        <v>260</v>
      </c>
      <c r="K386" s="88" t="s">
        <v>72</v>
      </c>
      <c r="L386" s="88" t="s">
        <v>73</v>
      </c>
      <c r="M386" s="88">
        <v>-369</v>
      </c>
      <c r="N386" s="108">
        <v>1</v>
      </c>
      <c r="O386" s="108">
        <v>200</v>
      </c>
      <c r="P386" s="88">
        <v>348</v>
      </c>
      <c r="Q386" s="88" t="s">
        <v>75</v>
      </c>
      <c r="R386" s="88" t="s">
        <v>348</v>
      </c>
      <c r="S386" s="110">
        <v>10000</v>
      </c>
      <c r="T386" s="110">
        <v>916</v>
      </c>
      <c r="U386" s="88">
        <v>983</v>
      </c>
      <c r="V386" s="90">
        <v>1500</v>
      </c>
      <c r="W386" s="111">
        <v>10</v>
      </c>
      <c r="X386" s="110">
        <v>48954</v>
      </c>
      <c r="Y386" s="110">
        <v>867017</v>
      </c>
      <c r="Z386" s="110">
        <v>6707461</v>
      </c>
      <c r="AA386" s="110">
        <v>2091255</v>
      </c>
      <c r="AB386" s="112">
        <v>4640362</v>
      </c>
      <c r="AC386" s="109">
        <v>160.1</v>
      </c>
      <c r="AD386" s="110">
        <v>-109.9</v>
      </c>
      <c r="AE386" s="110">
        <v>3.95</v>
      </c>
      <c r="AF386" s="110">
        <v>-0.76</v>
      </c>
      <c r="AG386" s="110">
        <v>109.8</v>
      </c>
      <c r="AH386" s="110">
        <v>-110</v>
      </c>
      <c r="AI386" s="110">
        <v>3.72</v>
      </c>
      <c r="AJ386" s="109">
        <v>-0.36</v>
      </c>
      <c r="AK386" s="113" t="s">
        <v>59</v>
      </c>
      <c r="AL386" s="107" t="s">
        <v>181</v>
      </c>
      <c r="AN386" s="107">
        <v>0.95099999999999996</v>
      </c>
      <c r="AO386" s="48">
        <f t="shared" si="479"/>
        <v>139559057.87971151</v>
      </c>
      <c r="AP386" s="156">
        <f t="shared" si="480"/>
        <v>97691340.515798047</v>
      </c>
      <c r="AQ386" s="161">
        <f t="shared" ref="AQ386:AQ403" si="485">AP386+AQ385</f>
        <v>11469452946.119253</v>
      </c>
      <c r="AR386" s="163">
        <f t="shared" ref="AR386:AR403" si="486">H386+AR385</f>
        <v>5.4238310184665606</v>
      </c>
      <c r="AS386" s="49">
        <f t="shared" si="481"/>
        <v>0.30249999999999999</v>
      </c>
      <c r="AT386" s="165">
        <f t="shared" ref="AT386:AT403" si="487">AS386+AT385</f>
        <v>34.850253968253966</v>
      </c>
      <c r="AU386" s="254">
        <f t="shared" si="482"/>
        <v>198878.3505</v>
      </c>
      <c r="AV386" s="255">
        <f t="shared" si="483"/>
        <v>474283.34950000001</v>
      </c>
      <c r="AW386" s="256">
        <f t="shared" si="484"/>
        <v>0.41932391408988307</v>
      </c>
    </row>
    <row r="387" spans="1:49">
      <c r="A387" s="108">
        <v>385</v>
      </c>
      <c r="F387" s="45">
        <v>43134.741006944445</v>
      </c>
      <c r="G387" s="45">
        <v>43134.783946759257</v>
      </c>
      <c r="H387" s="53">
        <f>G387-F387-'user time'!P102-'user time'!P103</f>
        <v>4.2453703700577883E-2</v>
      </c>
      <c r="I387" s="86">
        <v>50.77</v>
      </c>
      <c r="J387" s="109" t="s">
        <v>260</v>
      </c>
      <c r="K387" s="88" t="s">
        <v>72</v>
      </c>
      <c r="L387" s="88" t="s">
        <v>73</v>
      </c>
      <c r="M387" s="88">
        <v>-369</v>
      </c>
      <c r="N387" s="108">
        <v>1</v>
      </c>
      <c r="O387" s="108">
        <v>200</v>
      </c>
      <c r="P387" s="88">
        <v>348</v>
      </c>
      <c r="Q387" s="88" t="s">
        <v>75</v>
      </c>
      <c r="R387" s="88" t="s">
        <v>348</v>
      </c>
      <c r="S387" s="110">
        <v>10000</v>
      </c>
      <c r="T387" s="110">
        <v>914</v>
      </c>
      <c r="U387" s="88">
        <v>983</v>
      </c>
      <c r="V387" s="90">
        <v>1500</v>
      </c>
      <c r="W387" s="111">
        <v>10</v>
      </c>
      <c r="X387" s="110">
        <v>49528</v>
      </c>
      <c r="Y387" s="110">
        <v>866309</v>
      </c>
      <c r="Z387" s="110">
        <v>6726587</v>
      </c>
      <c r="AA387" s="110">
        <v>2088198</v>
      </c>
      <c r="AB387" s="112">
        <v>4663471</v>
      </c>
      <c r="AC387" s="109">
        <v>160.1</v>
      </c>
      <c r="AD387" s="110">
        <v>-109.9</v>
      </c>
      <c r="AE387" s="110">
        <v>3.95</v>
      </c>
      <c r="AF387" s="110">
        <v>-0.76</v>
      </c>
      <c r="AG387" s="110">
        <v>109.8</v>
      </c>
      <c r="AH387" s="110">
        <v>-110</v>
      </c>
      <c r="AI387" s="110">
        <v>3.72</v>
      </c>
      <c r="AJ387" s="109">
        <v>-0.35</v>
      </c>
      <c r="AK387" s="113" t="s">
        <v>59</v>
      </c>
      <c r="AL387" s="107" t="s">
        <v>181</v>
      </c>
      <c r="AN387" s="107">
        <v>0.94699999999999995</v>
      </c>
      <c r="AO387" s="48">
        <f t="shared" si="479"/>
        <v>139491465.76938462</v>
      </c>
      <c r="AP387" s="156">
        <f t="shared" si="480"/>
        <v>97644026.038569227</v>
      </c>
      <c r="AQ387" s="161">
        <f t="shared" si="485"/>
        <v>11567096972.157822</v>
      </c>
      <c r="AR387" s="163">
        <f t="shared" si="486"/>
        <v>5.4662847221671385</v>
      </c>
      <c r="AS387" s="49">
        <f t="shared" si="481"/>
        <v>0.30723908730158733</v>
      </c>
      <c r="AT387" s="165">
        <f t="shared" si="487"/>
        <v>35.157493055555555</v>
      </c>
      <c r="AU387" s="254">
        <f t="shared" si="482"/>
        <v>197752.35059999998</v>
      </c>
      <c r="AV387" s="255">
        <f t="shared" si="483"/>
        <v>477414.54939999996</v>
      </c>
      <c r="AW387" s="256">
        <f t="shared" si="484"/>
        <v>0.41421517389557794</v>
      </c>
    </row>
    <row r="388" spans="1:49">
      <c r="A388" s="108">
        <v>386</v>
      </c>
      <c r="F388" s="45">
        <v>43134.78398148148</v>
      </c>
      <c r="G388" s="45">
        <v>43134.826678240737</v>
      </c>
      <c r="H388" s="53">
        <f>G388-F388</f>
        <v>4.2696759257523809E-2</v>
      </c>
      <c r="I388" s="86">
        <v>50.81</v>
      </c>
      <c r="J388" s="109" t="s">
        <v>260</v>
      </c>
      <c r="K388" s="88" t="s">
        <v>72</v>
      </c>
      <c r="L388" s="88" t="s">
        <v>73</v>
      </c>
      <c r="M388" s="88">
        <v>-369</v>
      </c>
      <c r="N388" s="108">
        <v>1</v>
      </c>
      <c r="O388" s="108">
        <v>200</v>
      </c>
      <c r="P388" s="88">
        <v>348</v>
      </c>
      <c r="Q388" s="88" t="s">
        <v>75</v>
      </c>
      <c r="R388" s="88" t="s">
        <v>348</v>
      </c>
      <c r="S388" s="110">
        <v>10000</v>
      </c>
      <c r="T388" s="110">
        <v>914</v>
      </c>
      <c r="U388" s="88">
        <v>983</v>
      </c>
      <c r="V388" s="90">
        <v>1500</v>
      </c>
      <c r="W388" s="111">
        <v>10</v>
      </c>
      <c r="X388" s="110">
        <v>49502</v>
      </c>
      <c r="Y388" s="110">
        <v>869670</v>
      </c>
      <c r="Z388" s="110">
        <v>6740325</v>
      </c>
      <c r="AA388" s="110">
        <v>2095410</v>
      </c>
      <c r="AB388" s="112">
        <v>4669943</v>
      </c>
      <c r="AC388" s="109">
        <v>160.1</v>
      </c>
      <c r="AD388" s="110">
        <v>-109.9</v>
      </c>
      <c r="AE388" s="110">
        <v>3.95</v>
      </c>
      <c r="AF388" s="110">
        <v>-0.77</v>
      </c>
      <c r="AG388" s="110">
        <v>109.8</v>
      </c>
      <c r="AH388" s="110">
        <v>-110</v>
      </c>
      <c r="AI388" s="110">
        <v>3.72</v>
      </c>
      <c r="AJ388" s="109">
        <v>-0.35</v>
      </c>
      <c r="AK388" s="113" t="s">
        <v>59</v>
      </c>
      <c r="AL388" s="107" t="s">
        <v>181</v>
      </c>
      <c r="AN388" s="107">
        <v>0.95</v>
      </c>
      <c r="AO388" s="48">
        <f t="shared" si="479"/>
        <v>141220559.91346154</v>
      </c>
      <c r="AP388" s="156">
        <f t="shared" si="480"/>
        <v>98854391.939423069</v>
      </c>
      <c r="AQ388" s="161">
        <f t="shared" si="485"/>
        <v>11665951364.097244</v>
      </c>
      <c r="AR388" s="163">
        <f t="shared" si="486"/>
        <v>5.5089814814246623</v>
      </c>
      <c r="AS388" s="49">
        <f t="shared" si="481"/>
        <v>0.30748115079365085</v>
      </c>
      <c r="AT388" s="165">
        <f t="shared" si="487"/>
        <v>35.464974206349204</v>
      </c>
      <c r="AU388" s="254">
        <f t="shared" si="482"/>
        <v>199063.94999999998</v>
      </c>
      <c r="AV388" s="255">
        <f t="shared" si="483"/>
        <v>477471.35</v>
      </c>
      <c r="AW388" s="256">
        <f t="shared" si="484"/>
        <v>0.41691286817523188</v>
      </c>
    </row>
    <row r="389" spans="1:49">
      <c r="A389" s="108">
        <v>387</v>
      </c>
      <c r="F389" s="45">
        <v>43134.82671296296</v>
      </c>
      <c r="G389" s="45">
        <v>43134.869652777779</v>
      </c>
      <c r="H389" s="53">
        <f>G389-F389-'user time'!P104</f>
        <v>4.2476851856001807E-2</v>
      </c>
      <c r="I389" s="86">
        <v>50.74</v>
      </c>
      <c r="J389" s="109" t="s">
        <v>260</v>
      </c>
      <c r="K389" s="88" t="s">
        <v>72</v>
      </c>
      <c r="L389" s="88" t="s">
        <v>73</v>
      </c>
      <c r="M389" s="88">
        <v>-369</v>
      </c>
      <c r="N389" s="108">
        <v>1</v>
      </c>
      <c r="O389" s="108">
        <v>200</v>
      </c>
      <c r="P389" s="88">
        <v>348</v>
      </c>
      <c r="Q389" s="88" t="s">
        <v>75</v>
      </c>
      <c r="R389" s="88" t="s">
        <v>348</v>
      </c>
      <c r="S389" s="110">
        <v>10000</v>
      </c>
      <c r="T389" s="110">
        <v>914</v>
      </c>
      <c r="U389" s="88">
        <v>983</v>
      </c>
      <c r="V389" s="90">
        <v>1500</v>
      </c>
      <c r="W389" s="111">
        <v>10</v>
      </c>
      <c r="X389" s="110">
        <v>49100</v>
      </c>
      <c r="Y389" s="110">
        <v>870122</v>
      </c>
      <c r="Z389" s="110">
        <v>6720647</v>
      </c>
      <c r="AA389" s="110">
        <v>2090619</v>
      </c>
      <c r="AB389" s="112">
        <v>4655433</v>
      </c>
      <c r="AC389" s="109">
        <v>160.1</v>
      </c>
      <c r="AD389" s="110">
        <v>-109.9</v>
      </c>
      <c r="AE389" s="110">
        <v>3.95</v>
      </c>
      <c r="AF389" s="110">
        <v>-0.76</v>
      </c>
      <c r="AG389" s="110">
        <v>109.8</v>
      </c>
      <c r="AH389" s="110">
        <v>-110</v>
      </c>
      <c r="AI389" s="110">
        <v>3.72</v>
      </c>
      <c r="AJ389" s="109">
        <v>-0.35</v>
      </c>
      <c r="AK389" s="113" t="s">
        <v>59</v>
      </c>
      <c r="AL389" s="107" t="s">
        <v>181</v>
      </c>
      <c r="AN389" s="107">
        <v>0.94899999999999995</v>
      </c>
      <c r="AO389" s="48">
        <f t="shared" si="479"/>
        <v>140024434.07249996</v>
      </c>
      <c r="AP389" s="156">
        <f t="shared" si="480"/>
        <v>98017103.850749969</v>
      </c>
      <c r="AQ389" s="161">
        <f t="shared" si="485"/>
        <v>11763968467.947994</v>
      </c>
      <c r="AR389" s="163">
        <f t="shared" si="486"/>
        <v>5.5514583332806637</v>
      </c>
      <c r="AS389" s="49">
        <f t="shared" si="481"/>
        <v>0.30705753968253974</v>
      </c>
      <c r="AT389" s="165">
        <f t="shared" si="487"/>
        <v>35.772031746031743</v>
      </c>
      <c r="AU389" s="254">
        <f t="shared" si="482"/>
        <v>198399.74309999999</v>
      </c>
      <c r="AV389" s="255">
        <f t="shared" si="483"/>
        <v>476205.45689999999</v>
      </c>
      <c r="AW389" s="256">
        <f t="shared" si="484"/>
        <v>0.41662635365739337</v>
      </c>
    </row>
    <row r="390" spans="1:49">
      <c r="A390" s="108">
        <v>388</v>
      </c>
      <c r="F390" s="45">
        <v>43134.869687500002</v>
      </c>
      <c r="G390" s="45">
        <v>43134.911898148152</v>
      </c>
      <c r="H390" s="53">
        <f>G390-F390</f>
        <v>4.221064814919373E-2</v>
      </c>
      <c r="I390" s="86">
        <v>50.84</v>
      </c>
      <c r="J390" s="109" t="s">
        <v>260</v>
      </c>
      <c r="K390" s="88" t="s">
        <v>72</v>
      </c>
      <c r="L390" s="88" t="s">
        <v>73</v>
      </c>
      <c r="M390" s="88">
        <v>-369</v>
      </c>
      <c r="N390" s="108">
        <v>1</v>
      </c>
      <c r="O390" s="108">
        <v>200</v>
      </c>
      <c r="P390" s="88">
        <v>348</v>
      </c>
      <c r="Q390" s="88" t="s">
        <v>75</v>
      </c>
      <c r="R390" s="88" t="s">
        <v>348</v>
      </c>
      <c r="S390" s="110">
        <v>10000</v>
      </c>
      <c r="T390" s="110">
        <v>915</v>
      </c>
      <c r="U390" s="88">
        <v>983</v>
      </c>
      <c r="V390" s="90">
        <v>1500</v>
      </c>
      <c r="W390" s="111">
        <v>10</v>
      </c>
      <c r="X390" s="110">
        <v>48783</v>
      </c>
      <c r="Y390" s="110">
        <v>870656</v>
      </c>
      <c r="Z390" s="110">
        <v>6720864</v>
      </c>
      <c r="AA390" s="110">
        <v>2088918</v>
      </c>
      <c r="AB390" s="112">
        <v>4656675</v>
      </c>
      <c r="AC390" s="109">
        <v>160.1</v>
      </c>
      <c r="AD390" s="110">
        <v>-109.9</v>
      </c>
      <c r="AE390" s="110">
        <v>3.95</v>
      </c>
      <c r="AF390" s="110">
        <v>-0.76</v>
      </c>
      <c r="AG390" s="110">
        <v>109.8</v>
      </c>
      <c r="AH390" s="110">
        <v>-110</v>
      </c>
      <c r="AI390" s="110">
        <v>3.72</v>
      </c>
      <c r="AJ390" s="109">
        <v>-0.35</v>
      </c>
      <c r="AK390" s="113" t="s">
        <v>59</v>
      </c>
      <c r="AL390" s="107" t="s">
        <v>181</v>
      </c>
      <c r="AN390" s="107">
        <v>0.95199999999999996</v>
      </c>
      <c r="AO390" s="48">
        <f t="shared" si="479"/>
        <v>139473198.396</v>
      </c>
      <c r="AP390" s="156">
        <f t="shared" si="480"/>
        <v>97631238.877199993</v>
      </c>
      <c r="AQ390" s="161">
        <f t="shared" si="485"/>
        <v>11861599706.825193</v>
      </c>
      <c r="AR390" s="163">
        <f t="shared" si="486"/>
        <v>5.5936689814298575</v>
      </c>
      <c r="AS390" s="49">
        <f t="shared" si="481"/>
        <v>0.30261904761904762</v>
      </c>
      <c r="AT390" s="165">
        <f t="shared" si="487"/>
        <v>36.07465079365079</v>
      </c>
      <c r="AU390" s="254">
        <f t="shared" si="482"/>
        <v>198864.99359999999</v>
      </c>
      <c r="AV390" s="255">
        <f t="shared" si="483"/>
        <v>475694.3064</v>
      </c>
      <c r="AW390" s="256">
        <f t="shared" si="484"/>
        <v>0.41805207866578742</v>
      </c>
    </row>
    <row r="391" spans="1:49">
      <c r="A391" s="108">
        <v>389</v>
      </c>
      <c r="F391" s="45">
        <v>43134.911932870367</v>
      </c>
      <c r="G391" s="45">
        <v>43134.954907407409</v>
      </c>
      <c r="H391" s="53">
        <f>G391-F391-'user time'!P105</f>
        <v>4.2673611116101906E-2</v>
      </c>
      <c r="I391" s="86">
        <v>50.68</v>
      </c>
      <c r="J391" s="109" t="s">
        <v>260</v>
      </c>
      <c r="K391" s="88" t="s">
        <v>72</v>
      </c>
      <c r="L391" s="88" t="s">
        <v>73</v>
      </c>
      <c r="M391" s="88">
        <v>-369</v>
      </c>
      <c r="N391" s="108">
        <v>1</v>
      </c>
      <c r="O391" s="108">
        <v>200</v>
      </c>
      <c r="P391" s="88">
        <v>348</v>
      </c>
      <c r="Q391" s="88" t="s">
        <v>75</v>
      </c>
      <c r="R391" s="88" t="s">
        <v>348</v>
      </c>
      <c r="U391" s="88">
        <v>983</v>
      </c>
      <c r="V391" s="90">
        <v>1500</v>
      </c>
      <c r="W391" s="111">
        <v>10</v>
      </c>
      <c r="X391" s="110">
        <v>48768</v>
      </c>
      <c r="Y391" s="110">
        <v>869209</v>
      </c>
      <c r="Z391" s="110">
        <v>6709435</v>
      </c>
      <c r="AA391" s="110">
        <v>2083559</v>
      </c>
      <c r="AB391" s="112">
        <v>4650949</v>
      </c>
      <c r="AC391" s="109">
        <v>160.1</v>
      </c>
      <c r="AD391" s="110">
        <v>-109.9</v>
      </c>
      <c r="AE391" s="110">
        <v>3.95</v>
      </c>
      <c r="AF391" s="110">
        <v>-0.76</v>
      </c>
      <c r="AG391" s="110">
        <v>109.8</v>
      </c>
      <c r="AH391" s="110">
        <v>-110</v>
      </c>
      <c r="AI391" s="110">
        <v>3.71</v>
      </c>
      <c r="AJ391" s="109">
        <v>-0.35</v>
      </c>
      <c r="AK391" s="113" t="s">
        <v>59</v>
      </c>
      <c r="AL391" s="107" t="s">
        <v>181</v>
      </c>
      <c r="AN391" s="107">
        <v>0.95299999999999996</v>
      </c>
      <c r="AO391" s="48">
        <f t="shared" si="479"/>
        <v>140788926.48940384</v>
      </c>
      <c r="AP391" s="156">
        <f t="shared" si="480"/>
        <v>98552248.542582691</v>
      </c>
      <c r="AQ391" s="161">
        <f t="shared" si="485"/>
        <v>11960151955.367777</v>
      </c>
      <c r="AR391" s="163">
        <f t="shared" si="486"/>
        <v>5.6363425925459598</v>
      </c>
      <c r="AS391" s="49">
        <f t="shared" si="481"/>
        <v>0.30669444444444444</v>
      </c>
      <c r="AT391" s="165">
        <f t="shared" si="487"/>
        <v>36.381345238095236</v>
      </c>
      <c r="AU391" s="254">
        <f t="shared" si="482"/>
        <v>198563.1727</v>
      </c>
      <c r="AV391" s="255">
        <f t="shared" si="483"/>
        <v>474887.62730000005</v>
      </c>
      <c r="AW391" s="256">
        <f t="shared" si="484"/>
        <v>0.41812664993809573</v>
      </c>
    </row>
    <row r="392" spans="1:49">
      <c r="A392" s="108">
        <v>390</v>
      </c>
      <c r="F392" s="45">
        <v>43134.955034722225</v>
      </c>
      <c r="G392" s="45">
        <v>43134.997534722221</v>
      </c>
      <c r="H392" s="53">
        <f>G392-F392-'user time'!P106</f>
        <v>4.2210648144073715E-2</v>
      </c>
      <c r="I392" s="86">
        <v>50.78</v>
      </c>
      <c r="J392" s="109" t="s">
        <v>260</v>
      </c>
      <c r="K392" s="88" t="s">
        <v>72</v>
      </c>
      <c r="L392" s="88" t="s">
        <v>73</v>
      </c>
      <c r="M392" s="88">
        <v>-369</v>
      </c>
      <c r="N392" s="108">
        <v>1</v>
      </c>
      <c r="O392" s="108">
        <v>200</v>
      </c>
      <c r="P392" s="88">
        <v>348</v>
      </c>
      <c r="Q392" s="88" t="s">
        <v>75</v>
      </c>
      <c r="R392" s="88" t="s">
        <v>348</v>
      </c>
      <c r="S392" s="110">
        <v>10000</v>
      </c>
      <c r="T392" s="110">
        <v>912</v>
      </c>
      <c r="U392" s="88">
        <v>983</v>
      </c>
      <c r="V392" s="90">
        <v>1500</v>
      </c>
      <c r="W392" s="111">
        <v>10</v>
      </c>
      <c r="X392" s="110">
        <v>48911</v>
      </c>
      <c r="Y392" s="110">
        <v>872316</v>
      </c>
      <c r="Z392" s="110">
        <v>6699148</v>
      </c>
      <c r="AA392" s="110">
        <v>2084816</v>
      </c>
      <c r="AB392" s="112">
        <v>4639091</v>
      </c>
      <c r="AC392" s="109">
        <v>160.1</v>
      </c>
      <c r="AD392" s="110">
        <v>-109.9</v>
      </c>
      <c r="AE392" s="110">
        <v>3.95</v>
      </c>
      <c r="AF392" s="110">
        <v>-0.76</v>
      </c>
      <c r="AG392" s="110">
        <v>109.8</v>
      </c>
      <c r="AH392" s="110">
        <v>-110</v>
      </c>
      <c r="AI392" s="110">
        <v>3.71</v>
      </c>
      <c r="AJ392" s="109">
        <v>-0.35</v>
      </c>
      <c r="AK392" s="113" t="s">
        <v>59</v>
      </c>
      <c r="AL392" s="107" t="s">
        <v>616</v>
      </c>
      <c r="AN392" s="107">
        <v>0.94799999999999995</v>
      </c>
      <c r="AO392" s="48">
        <f t="shared" si="479"/>
        <v>138614444.3556923</v>
      </c>
      <c r="AP392" s="156">
        <f t="shared" si="480"/>
        <v>97030111.048984602</v>
      </c>
      <c r="AQ392" s="161">
        <f t="shared" si="485"/>
        <v>12057182066.416761</v>
      </c>
      <c r="AR392" s="163">
        <f t="shared" si="486"/>
        <v>5.6785532406900332</v>
      </c>
      <c r="AS392" s="49">
        <f t="shared" si="481"/>
        <v>0.30226190476190479</v>
      </c>
      <c r="AT392" s="165">
        <f t="shared" si="487"/>
        <v>36.683607142857142</v>
      </c>
      <c r="AU392" s="254">
        <f t="shared" si="482"/>
        <v>197640.55679999999</v>
      </c>
      <c r="AV392" s="255">
        <f t="shared" si="483"/>
        <v>474750.14319999999</v>
      </c>
      <c r="AW392" s="256">
        <f t="shared" si="484"/>
        <v>0.41630436479244859</v>
      </c>
    </row>
    <row r="393" spans="1:49">
      <c r="A393" s="108">
        <v>391</v>
      </c>
      <c r="F393" s="45">
        <v>43134.997569444444</v>
      </c>
      <c r="G393" s="45">
        <v>43135.040324074071</v>
      </c>
      <c r="H393" s="53">
        <f>G393-F393-'user time'!P110</f>
        <v>4.2256944441684971E-2</v>
      </c>
      <c r="I393" s="86">
        <v>50.82</v>
      </c>
      <c r="J393" s="109" t="s">
        <v>260</v>
      </c>
      <c r="K393" s="88" t="s">
        <v>72</v>
      </c>
      <c r="L393" s="88" t="s">
        <v>73</v>
      </c>
      <c r="M393" s="88">
        <v>-369</v>
      </c>
      <c r="N393" s="108">
        <v>1</v>
      </c>
      <c r="O393" s="108">
        <v>200</v>
      </c>
      <c r="P393" s="88">
        <v>348</v>
      </c>
      <c r="Q393" s="88" t="s">
        <v>75</v>
      </c>
      <c r="R393" s="88" t="s">
        <v>348</v>
      </c>
      <c r="S393" s="110">
        <v>10000</v>
      </c>
      <c r="T393" s="110">
        <v>912</v>
      </c>
      <c r="U393" s="88">
        <v>983</v>
      </c>
      <c r="V393" s="90">
        <v>1500</v>
      </c>
      <c r="W393" s="111">
        <v>10</v>
      </c>
      <c r="X393" s="110">
        <v>49406</v>
      </c>
      <c r="Y393" s="110">
        <v>873121</v>
      </c>
      <c r="Z393" s="110">
        <v>6705520</v>
      </c>
      <c r="AA393" s="110">
        <v>2079970</v>
      </c>
      <c r="AB393" s="112">
        <v>4651167</v>
      </c>
      <c r="AC393" s="109">
        <v>160.1</v>
      </c>
      <c r="AD393" s="110">
        <v>-109.9</v>
      </c>
      <c r="AE393" s="110">
        <v>3.95</v>
      </c>
      <c r="AF393" s="110">
        <v>-0.76</v>
      </c>
      <c r="AG393" s="110">
        <v>109.8</v>
      </c>
      <c r="AH393" s="110">
        <v>-110</v>
      </c>
      <c r="AI393" s="110">
        <v>3.71</v>
      </c>
      <c r="AJ393" s="109">
        <v>-0.35</v>
      </c>
      <c r="AK393" s="113" t="s">
        <v>59</v>
      </c>
      <c r="AL393" s="107" t="s">
        <v>181</v>
      </c>
      <c r="AN393" s="107">
        <v>0.94799999999999995</v>
      </c>
      <c r="AO393" s="48">
        <f t="shared" si="479"/>
        <v>138443923.18384618</v>
      </c>
      <c r="AP393" s="156">
        <f t="shared" si="480"/>
        <v>96910746.228692323</v>
      </c>
      <c r="AQ393" s="161">
        <f t="shared" si="485"/>
        <v>12154092812.645454</v>
      </c>
      <c r="AR393" s="163">
        <f t="shared" si="486"/>
        <v>5.7208101851317181</v>
      </c>
      <c r="AS393" s="49">
        <f t="shared" si="481"/>
        <v>0.30249999999999999</v>
      </c>
      <c r="AT393" s="165">
        <f t="shared" si="487"/>
        <v>36.986107142857144</v>
      </c>
      <c r="AU393" s="254">
        <f t="shared" si="482"/>
        <v>197181.15599999999</v>
      </c>
      <c r="AV393" s="255">
        <f t="shared" si="483"/>
        <v>475932.54399999999</v>
      </c>
      <c r="AW393" s="256">
        <f t="shared" si="484"/>
        <v>0.41430483896474202</v>
      </c>
    </row>
    <row r="394" spans="1:49">
      <c r="A394" s="108">
        <v>392</v>
      </c>
      <c r="F394" s="45">
        <v>43135.040347222224</v>
      </c>
      <c r="G394" s="45">
        <v>43135.081793981481</v>
      </c>
      <c r="H394" s="53">
        <f>G394-F394-'user time'!P111-'user time'!P112</f>
        <v>4.1018518515618919E-2</v>
      </c>
      <c r="I394" s="86">
        <v>50.78</v>
      </c>
      <c r="J394" s="109" t="s">
        <v>260</v>
      </c>
      <c r="K394" s="88" t="s">
        <v>72</v>
      </c>
      <c r="L394" s="88" t="s">
        <v>73</v>
      </c>
      <c r="M394" s="88">
        <v>-369</v>
      </c>
      <c r="N394" s="108">
        <v>1</v>
      </c>
      <c r="O394" s="108">
        <v>200</v>
      </c>
      <c r="P394" s="88">
        <v>348</v>
      </c>
      <c r="Q394" s="88" t="s">
        <v>75</v>
      </c>
      <c r="R394" s="88" t="s">
        <v>348</v>
      </c>
      <c r="S394" s="110">
        <v>10000</v>
      </c>
      <c r="T394" s="110">
        <v>887</v>
      </c>
      <c r="U394" s="88">
        <v>983</v>
      </c>
      <c r="V394" s="90">
        <v>1500</v>
      </c>
      <c r="W394" s="111">
        <v>10</v>
      </c>
      <c r="X394" s="110">
        <v>49129</v>
      </c>
      <c r="Y394" s="110">
        <v>874174</v>
      </c>
      <c r="Z394" s="110">
        <v>6699678</v>
      </c>
      <c r="AA394" s="110">
        <v>2080548</v>
      </c>
      <c r="AB394" s="112">
        <v>4644063</v>
      </c>
      <c r="AC394" s="109">
        <v>160.1</v>
      </c>
      <c r="AD394" s="110">
        <v>-109.9</v>
      </c>
      <c r="AE394" s="110">
        <v>3.95</v>
      </c>
      <c r="AF394" s="110">
        <v>-0.76</v>
      </c>
      <c r="AG394" s="110">
        <v>109.8</v>
      </c>
      <c r="AH394" s="110">
        <v>-110</v>
      </c>
      <c r="AI394" s="110">
        <v>3.71</v>
      </c>
      <c r="AJ394" s="109">
        <v>-0.35</v>
      </c>
      <c r="AK394" s="113" t="s">
        <v>59</v>
      </c>
      <c r="AL394" s="107" t="s">
        <v>181</v>
      </c>
      <c r="AN394" s="107">
        <v>0.94899999999999995</v>
      </c>
      <c r="AO394" s="48">
        <f t="shared" si="479"/>
        <v>134565683.544</v>
      </c>
      <c r="AP394" s="156">
        <f t="shared" si="480"/>
        <v>94195978.480799988</v>
      </c>
      <c r="AQ394" s="161">
        <f t="shared" si="485"/>
        <v>12248288791.126255</v>
      </c>
      <c r="AR394" s="163">
        <f t="shared" si="486"/>
        <v>5.7618287036473372</v>
      </c>
      <c r="AS394" s="49">
        <f t="shared" si="481"/>
        <v>0.29722420634920638</v>
      </c>
      <c r="AT394" s="165">
        <f t="shared" si="487"/>
        <v>37.28333134920635</v>
      </c>
      <c r="AU394" s="254">
        <f t="shared" si="482"/>
        <v>197444.00519999999</v>
      </c>
      <c r="AV394" s="255">
        <f t="shared" si="483"/>
        <v>475017.09480000002</v>
      </c>
      <c r="AW394" s="256">
        <f t="shared" si="484"/>
        <v>0.41565663080637405</v>
      </c>
    </row>
    <row r="395" spans="1:49">
      <c r="A395" s="108">
        <v>393</v>
      </c>
      <c r="F395" s="45">
        <v>43135.081817129627</v>
      </c>
      <c r="G395" s="45">
        <v>43135.123206018521</v>
      </c>
      <c r="H395" s="53">
        <f>G395-F395</f>
        <v>4.1388888894289266E-2</v>
      </c>
      <c r="I395" s="86">
        <v>50.74</v>
      </c>
      <c r="J395" s="109" t="s">
        <v>260</v>
      </c>
      <c r="K395" s="88" t="s">
        <v>72</v>
      </c>
      <c r="L395" s="88" t="s">
        <v>73</v>
      </c>
      <c r="M395" s="88">
        <v>-369</v>
      </c>
      <c r="N395" s="108">
        <v>1</v>
      </c>
      <c r="O395" s="108">
        <v>200</v>
      </c>
      <c r="P395" s="88">
        <v>348</v>
      </c>
      <c r="Q395" s="88" t="s">
        <v>75</v>
      </c>
      <c r="R395" s="88" t="s">
        <v>348</v>
      </c>
      <c r="S395" s="110">
        <v>10156</v>
      </c>
      <c r="T395" s="110">
        <v>889</v>
      </c>
      <c r="U395" s="88">
        <v>983</v>
      </c>
      <c r="V395" s="90">
        <v>1500</v>
      </c>
      <c r="W395" s="111">
        <v>10</v>
      </c>
      <c r="X395" s="110">
        <v>49284</v>
      </c>
      <c r="Y395" s="110">
        <v>874047</v>
      </c>
      <c r="Z395" s="110">
        <v>6708069</v>
      </c>
      <c r="AA395" s="110">
        <v>2086435</v>
      </c>
      <c r="AB395" s="112">
        <v>4646030</v>
      </c>
      <c r="AC395" s="109">
        <v>160.1</v>
      </c>
      <c r="AD395" s="110">
        <v>-109.9</v>
      </c>
      <c r="AE395" s="110">
        <v>3.95</v>
      </c>
      <c r="AF395" s="110">
        <v>-0.76</v>
      </c>
      <c r="AG395" s="110">
        <v>109.8</v>
      </c>
      <c r="AH395" s="110">
        <v>-110</v>
      </c>
      <c r="AI395" s="110">
        <v>3.71</v>
      </c>
      <c r="AJ395" s="109">
        <v>-0.35</v>
      </c>
      <c r="AK395" s="113" t="s">
        <v>59</v>
      </c>
      <c r="AL395" s="107" t="s">
        <v>181</v>
      </c>
      <c r="AN395" s="107">
        <v>0.94699999999999995</v>
      </c>
      <c r="AO395" s="48">
        <f t="shared" si="479"/>
        <v>135877955.90999997</v>
      </c>
      <c r="AP395" s="156">
        <f t="shared" si="480"/>
        <v>95114569.136999965</v>
      </c>
      <c r="AQ395" s="161">
        <f t="shared" si="485"/>
        <v>12343403360.263254</v>
      </c>
      <c r="AR395" s="163">
        <f t="shared" si="486"/>
        <v>5.8032175925416265</v>
      </c>
      <c r="AS395" s="49">
        <f t="shared" si="481"/>
        <v>0.29699007936507937</v>
      </c>
      <c r="AT395" s="165">
        <f t="shared" si="487"/>
        <v>37.58032142857143</v>
      </c>
      <c r="AU395" s="254">
        <f t="shared" si="482"/>
        <v>197585.39449999999</v>
      </c>
      <c r="AV395" s="255">
        <f t="shared" si="483"/>
        <v>475661.10550000001</v>
      </c>
      <c r="AW395" s="256">
        <f t="shared" si="484"/>
        <v>0.41539110979508076</v>
      </c>
    </row>
    <row r="396" spans="1:49">
      <c r="A396" s="108">
        <v>394</v>
      </c>
      <c r="F396" s="45">
        <v>43135.123194444444</v>
      </c>
      <c r="G396" s="45">
        <v>43135.128645833334</v>
      </c>
      <c r="H396" s="53">
        <f>G396-F396</f>
        <v>5.4513888899236917E-3</v>
      </c>
      <c r="I396" s="86">
        <v>50.84</v>
      </c>
      <c r="J396" s="109" t="s">
        <v>260</v>
      </c>
      <c r="K396" s="88" t="s">
        <v>72</v>
      </c>
      <c r="L396" s="88" t="s">
        <v>73</v>
      </c>
      <c r="M396" s="88">
        <v>-369</v>
      </c>
      <c r="N396" s="108">
        <v>1</v>
      </c>
      <c r="O396" s="108">
        <v>200</v>
      </c>
      <c r="P396" s="88">
        <v>348</v>
      </c>
      <c r="Q396" s="88" t="s">
        <v>75</v>
      </c>
      <c r="R396" s="88" t="s">
        <v>348</v>
      </c>
      <c r="S396" s="110">
        <v>9660</v>
      </c>
      <c r="T396" s="110">
        <v>841</v>
      </c>
      <c r="U396" s="88">
        <v>983</v>
      </c>
      <c r="V396" s="90">
        <v>1500</v>
      </c>
      <c r="W396" s="111">
        <v>10</v>
      </c>
      <c r="X396" s="110">
        <v>48725</v>
      </c>
      <c r="Y396" s="110">
        <v>870215</v>
      </c>
      <c r="Z396" s="110">
        <v>6667032</v>
      </c>
      <c r="AA396" s="110">
        <v>2077433</v>
      </c>
      <c r="AB396" s="112">
        <v>4614997</v>
      </c>
      <c r="AC396" s="109">
        <v>160.1</v>
      </c>
      <c r="AD396" s="110">
        <v>-109.9</v>
      </c>
      <c r="AE396" s="110">
        <v>3.95</v>
      </c>
      <c r="AF396" s="110">
        <v>-0.76</v>
      </c>
      <c r="AG396" s="110">
        <v>109.8</v>
      </c>
      <c r="AH396" s="110">
        <v>-110</v>
      </c>
      <c r="AI396" s="110">
        <v>3.71</v>
      </c>
      <c r="AJ396" s="109">
        <v>-0.36</v>
      </c>
      <c r="AK396" s="113" t="s">
        <v>59</v>
      </c>
      <c r="AL396" s="107" t="s">
        <v>181</v>
      </c>
      <c r="AN396" s="107">
        <f>AN395</f>
        <v>0.94699999999999995</v>
      </c>
      <c r="AO396" s="48">
        <f t="shared" si="479"/>
        <v>17819461.211942304</v>
      </c>
      <c r="AP396" s="156">
        <f t="shared" si="480"/>
        <v>12473622.848359613</v>
      </c>
      <c r="AQ396" s="161">
        <f t="shared" si="485"/>
        <v>12355876983.111614</v>
      </c>
      <c r="AR396" s="163">
        <f t="shared" si="486"/>
        <v>5.8086689814315502</v>
      </c>
      <c r="AS396" s="49">
        <f t="shared" si="481"/>
        <v>3.5305555555555555E-2</v>
      </c>
      <c r="AT396" s="165">
        <f t="shared" si="487"/>
        <v>37.615626984126983</v>
      </c>
      <c r="AU396" s="254">
        <f t="shared" si="482"/>
        <v>196732.90509999997</v>
      </c>
      <c r="AV396" s="255">
        <f t="shared" si="483"/>
        <v>472510.09490000003</v>
      </c>
      <c r="AW396" s="256">
        <f t="shared" si="484"/>
        <v>0.41635704130646284</v>
      </c>
    </row>
    <row r="397" spans="1:49">
      <c r="A397" s="108">
        <v>395</v>
      </c>
      <c r="F397" s="45">
        <v>43135.128645833334</v>
      </c>
      <c r="G397" s="45">
        <v>43135.143854166665</v>
      </c>
      <c r="H397" s="53">
        <f>G397-F397</f>
        <v>1.5208333330519963E-2</v>
      </c>
      <c r="I397" s="86">
        <v>50.84</v>
      </c>
      <c r="J397" s="109" t="s">
        <v>260</v>
      </c>
      <c r="K397" s="88" t="s">
        <v>72</v>
      </c>
      <c r="L397" s="88" t="s">
        <v>73</v>
      </c>
      <c r="M397" s="88">
        <v>-369</v>
      </c>
      <c r="N397" s="108">
        <v>1</v>
      </c>
      <c r="O397" s="108">
        <v>200</v>
      </c>
      <c r="P397" s="88">
        <v>348</v>
      </c>
      <c r="Q397" s="88" t="s">
        <v>75</v>
      </c>
      <c r="R397" s="88" t="s">
        <v>348</v>
      </c>
      <c r="U397" s="88">
        <v>983</v>
      </c>
      <c r="V397" s="90">
        <v>1500</v>
      </c>
      <c r="W397" s="111">
        <v>10</v>
      </c>
      <c r="AA397" s="110">
        <f>AA396</f>
        <v>2077433</v>
      </c>
      <c r="AB397" s="112">
        <f>AB396</f>
        <v>4614997</v>
      </c>
      <c r="AC397" s="109">
        <v>160.1</v>
      </c>
      <c r="AD397" s="110">
        <v>-109.9</v>
      </c>
      <c r="AE397" s="110">
        <v>3.95</v>
      </c>
      <c r="AF397" s="110">
        <v>-0.76</v>
      </c>
      <c r="AG397" s="110">
        <v>109.8</v>
      </c>
      <c r="AH397" s="110">
        <v>-110</v>
      </c>
      <c r="AI397" s="110">
        <v>3.71</v>
      </c>
      <c r="AJ397" s="109">
        <v>-0.36</v>
      </c>
      <c r="AK397" s="113" t="s">
        <v>59</v>
      </c>
      <c r="AL397" s="107" t="s">
        <v>515</v>
      </c>
      <c r="AN397" s="107">
        <f>AN396</f>
        <v>0.94699999999999995</v>
      </c>
      <c r="AO397" s="48">
        <f t="shared" si="479"/>
        <v>49712891.788730755</v>
      </c>
      <c r="AP397" s="156">
        <f t="shared" si="480"/>
        <v>34799024.252111524</v>
      </c>
      <c r="AQ397" s="161">
        <f t="shared" si="485"/>
        <v>12390676007.363726</v>
      </c>
      <c r="AR397" s="163">
        <f t="shared" si="486"/>
        <v>5.8238773147620702</v>
      </c>
      <c r="AS397" s="49">
        <f t="shared" si="481"/>
        <v>0.10591666666666667</v>
      </c>
      <c r="AT397" s="165">
        <f t="shared" si="487"/>
        <v>37.721543650793649</v>
      </c>
      <c r="AU397" s="254">
        <f t="shared" si="482"/>
        <v>196732.90509999997</v>
      </c>
      <c r="AV397" s="255">
        <f t="shared" si="483"/>
        <v>472510.09490000003</v>
      </c>
      <c r="AW397" s="256">
        <f t="shared" si="484"/>
        <v>0.41635704130646284</v>
      </c>
    </row>
    <row r="398" spans="1:49">
      <c r="A398" s="108">
        <v>396</v>
      </c>
      <c r="F398" s="45">
        <v>43135.160624999997</v>
      </c>
      <c r="G398" s="45">
        <v>43135.182349537034</v>
      </c>
      <c r="H398" s="53">
        <f>G398-F398</f>
        <v>2.1724537036789116E-2</v>
      </c>
      <c r="I398" s="86">
        <v>50.77</v>
      </c>
      <c r="J398" s="109" t="s">
        <v>260</v>
      </c>
      <c r="K398" s="88" t="s">
        <v>72</v>
      </c>
      <c r="L398" s="88" t="s">
        <v>73</v>
      </c>
      <c r="M398" s="88">
        <v>-369</v>
      </c>
      <c r="N398" s="108">
        <v>1</v>
      </c>
      <c r="O398" s="108">
        <v>200</v>
      </c>
      <c r="P398" s="88">
        <v>348</v>
      </c>
      <c r="Q398" s="88" t="s">
        <v>75</v>
      </c>
      <c r="R398" s="88" t="s">
        <v>348</v>
      </c>
      <c r="S398" s="110">
        <v>10178</v>
      </c>
      <c r="T398" s="110">
        <v>905</v>
      </c>
      <c r="U398" s="88">
        <v>983</v>
      </c>
      <c r="V398" s="90">
        <v>1500</v>
      </c>
      <c r="W398" s="111">
        <v>10</v>
      </c>
      <c r="X398" s="110">
        <v>48922</v>
      </c>
      <c r="Y398" s="110">
        <v>873773</v>
      </c>
      <c r="Z398" s="110">
        <v>6664390</v>
      </c>
      <c r="AA398" s="110">
        <v>2079868</v>
      </c>
      <c r="AB398" s="112">
        <v>4609387</v>
      </c>
      <c r="AC398" s="109">
        <v>160.1</v>
      </c>
      <c r="AD398" s="110">
        <v>-109.9</v>
      </c>
      <c r="AE398" s="110">
        <v>3.95</v>
      </c>
      <c r="AF398" s="110">
        <v>-0.77</v>
      </c>
      <c r="AG398" s="110">
        <v>109.8</v>
      </c>
      <c r="AH398" s="110">
        <v>-110</v>
      </c>
      <c r="AI398" s="110">
        <v>3.71</v>
      </c>
      <c r="AJ398" s="109">
        <v>-0.35</v>
      </c>
      <c r="AK398" s="113" t="s">
        <v>59</v>
      </c>
      <c r="AL398" s="107" t="s">
        <v>515</v>
      </c>
      <c r="AN398" s="107">
        <v>0.95</v>
      </c>
      <c r="AO398" s="48">
        <f t="shared" si="479"/>
        <v>71321473.54230769</v>
      </c>
      <c r="AP398" s="156">
        <f t="shared" si="480"/>
        <v>49925031.479615383</v>
      </c>
      <c r="AQ398" s="161">
        <f t="shared" si="485"/>
        <v>12440601038.843342</v>
      </c>
      <c r="AR398" s="163">
        <f t="shared" si="486"/>
        <v>5.8456018517988593</v>
      </c>
      <c r="AS398" s="49">
        <f t="shared" si="481"/>
        <v>0.15613789682539686</v>
      </c>
      <c r="AT398" s="165">
        <f t="shared" si="487"/>
        <v>37.877681547619048</v>
      </c>
      <c r="AU398" s="254">
        <f t="shared" si="482"/>
        <v>197587.46</v>
      </c>
      <c r="AV398" s="255">
        <f t="shared" si="483"/>
        <v>471338.04000000004</v>
      </c>
      <c r="AW398" s="256">
        <f t="shared" si="484"/>
        <v>0.41920541783557291</v>
      </c>
    </row>
    <row r="399" spans="1:49">
      <c r="A399" s="108">
        <v>397</v>
      </c>
      <c r="F399" s="45">
        <v>43135.20484953704</v>
      </c>
      <c r="G399" s="45">
        <v>43135.248993055553</v>
      </c>
      <c r="H399" s="53">
        <f>G399-F399-'user time'!P115</f>
        <v>4.105324073523256E-2</v>
      </c>
      <c r="I399" s="86">
        <v>50.69</v>
      </c>
      <c r="J399" s="109" t="s">
        <v>260</v>
      </c>
      <c r="K399" s="88" t="s">
        <v>72</v>
      </c>
      <c r="L399" s="88" t="s">
        <v>73</v>
      </c>
      <c r="M399" s="88">
        <v>-369</v>
      </c>
      <c r="N399" s="108">
        <v>1</v>
      </c>
      <c r="O399" s="108">
        <v>200</v>
      </c>
      <c r="P399" s="88">
        <v>348</v>
      </c>
      <c r="Q399" s="88" t="s">
        <v>75</v>
      </c>
      <c r="R399" s="88" t="s">
        <v>348</v>
      </c>
      <c r="S399" s="110">
        <v>10219</v>
      </c>
      <c r="T399" s="110">
        <v>899</v>
      </c>
      <c r="U399" s="88">
        <v>983</v>
      </c>
      <c r="V399" s="90">
        <v>1500</v>
      </c>
      <c r="W399" s="111">
        <v>10</v>
      </c>
      <c r="X399" s="110">
        <v>49042</v>
      </c>
      <c r="Y399" s="110">
        <v>873660</v>
      </c>
      <c r="Z399" s="110">
        <v>6668291</v>
      </c>
      <c r="AA399" s="110">
        <v>2084920</v>
      </c>
      <c r="AB399" s="112">
        <v>4607763</v>
      </c>
      <c r="AC399" s="109">
        <v>160.1</v>
      </c>
      <c r="AD399" s="110">
        <v>-109.9</v>
      </c>
      <c r="AE399" s="110">
        <v>3.95</v>
      </c>
      <c r="AF399" s="110">
        <v>-0.77</v>
      </c>
      <c r="AG399" s="110">
        <v>109.8</v>
      </c>
      <c r="AH399" s="110">
        <v>-110</v>
      </c>
      <c r="AI399" s="110">
        <v>3.71</v>
      </c>
      <c r="AJ399" s="109">
        <v>-0.36</v>
      </c>
      <c r="AK399" s="113" t="s">
        <v>59</v>
      </c>
      <c r="AL399" s="107" t="s">
        <v>181</v>
      </c>
      <c r="AN399" s="107">
        <v>0.95</v>
      </c>
      <c r="AO399" s="48">
        <f t="shared" si="479"/>
        <v>135104820.73076925</v>
      </c>
      <c r="AP399" s="156">
        <f t="shared" si="480"/>
        <v>94573374.511538461</v>
      </c>
      <c r="AQ399" s="161">
        <f t="shared" si="485"/>
        <v>12535174413.354879</v>
      </c>
      <c r="AR399" s="163">
        <f t="shared" si="486"/>
        <v>5.8866550925340917</v>
      </c>
      <c r="AS399" s="49">
        <f t="shared" si="481"/>
        <v>0.29669742063492061</v>
      </c>
      <c r="AT399" s="165">
        <f t="shared" si="487"/>
        <v>38.174378968253968</v>
      </c>
      <c r="AU399" s="254">
        <f t="shared" si="482"/>
        <v>198067.4</v>
      </c>
      <c r="AV399" s="255">
        <f t="shared" si="483"/>
        <v>471200.9</v>
      </c>
      <c r="AW399" s="256">
        <f t="shared" si="484"/>
        <v>0.42034597132560653</v>
      </c>
    </row>
    <row r="400" spans="1:49">
      <c r="A400" s="108">
        <v>398</v>
      </c>
      <c r="F400" s="45">
        <v>43135.249016203707</v>
      </c>
      <c r="G400" s="45">
        <v>43135.29078703704</v>
      </c>
      <c r="H400" s="53">
        <f>G400-F400</f>
        <v>4.1770833333430346E-2</v>
      </c>
      <c r="I400" s="86">
        <v>50.84</v>
      </c>
      <c r="J400" s="109" t="s">
        <v>260</v>
      </c>
      <c r="K400" s="88" t="s">
        <v>72</v>
      </c>
      <c r="L400" s="88" t="s">
        <v>73</v>
      </c>
      <c r="M400" s="88">
        <v>-369</v>
      </c>
      <c r="N400" s="108">
        <v>1</v>
      </c>
      <c r="O400" s="108">
        <v>200</v>
      </c>
      <c r="P400" s="88">
        <v>348</v>
      </c>
      <c r="Q400" s="88" t="s">
        <v>75</v>
      </c>
      <c r="R400" s="88" t="s">
        <v>348</v>
      </c>
      <c r="S400" s="110">
        <v>9879</v>
      </c>
      <c r="T400" s="110">
        <v>917</v>
      </c>
      <c r="U400" s="88">
        <v>983</v>
      </c>
      <c r="V400" s="90">
        <v>1500</v>
      </c>
      <c r="W400" s="111">
        <v>10</v>
      </c>
      <c r="X400" s="110">
        <v>48831</v>
      </c>
      <c r="Y400" s="110">
        <v>872611</v>
      </c>
      <c r="Z400" s="110">
        <v>6662824</v>
      </c>
      <c r="AA400" s="110">
        <v>2084325</v>
      </c>
      <c r="AB400" s="112">
        <v>4602991</v>
      </c>
      <c r="AC400" s="109">
        <v>160.1</v>
      </c>
      <c r="AD400" s="110">
        <v>-109.9</v>
      </c>
      <c r="AE400" s="110">
        <v>3.95</v>
      </c>
      <c r="AF400" s="110">
        <v>-0.77</v>
      </c>
      <c r="AG400" s="110">
        <v>109.8</v>
      </c>
      <c r="AH400" s="110">
        <v>-110</v>
      </c>
      <c r="AI400" s="110">
        <v>3.71</v>
      </c>
      <c r="AJ400" s="109">
        <v>-0.36</v>
      </c>
      <c r="AK400" s="113" t="s">
        <v>59</v>
      </c>
      <c r="AL400" s="107" t="s">
        <v>512</v>
      </c>
      <c r="AN400" s="107">
        <v>0.95</v>
      </c>
      <c r="AO400" s="48">
        <f t="shared" si="479"/>
        <v>137427163.05288461</v>
      </c>
      <c r="AP400" s="156">
        <f t="shared" si="480"/>
        <v>96199014.137019217</v>
      </c>
      <c r="AQ400" s="161">
        <f t="shared" si="485"/>
        <v>12631373427.491899</v>
      </c>
      <c r="AR400" s="163">
        <f t="shared" si="486"/>
        <v>5.928425925867522</v>
      </c>
      <c r="AS400" s="49">
        <f t="shared" si="481"/>
        <v>0.30261904761904762</v>
      </c>
      <c r="AT400" s="165">
        <f t="shared" si="487"/>
        <v>38.476998015873015</v>
      </c>
      <c r="AU400" s="254">
        <f t="shared" si="482"/>
        <v>198010.875</v>
      </c>
      <c r="AV400" s="255">
        <f t="shared" si="483"/>
        <v>470720.72499999998</v>
      </c>
      <c r="AW400" s="256">
        <f t="shared" si="484"/>
        <v>0.42065467799404838</v>
      </c>
    </row>
    <row r="401" spans="1:70">
      <c r="A401" s="108">
        <v>399</v>
      </c>
      <c r="F401" s="45">
        <v>43135.29078703704</v>
      </c>
      <c r="G401" s="45">
        <v>43135.332511574074</v>
      </c>
      <c r="H401" s="53">
        <f>G401-F401-'user time'!P116-'user time'!P117</f>
        <v>4.0925925922476625E-2</v>
      </c>
      <c r="I401" s="86">
        <v>50.88</v>
      </c>
      <c r="J401" s="109" t="s">
        <v>260</v>
      </c>
      <c r="K401" s="88" t="s">
        <v>72</v>
      </c>
      <c r="L401" s="88" t="s">
        <v>73</v>
      </c>
      <c r="M401" s="88">
        <v>-369</v>
      </c>
      <c r="N401" s="108">
        <v>1</v>
      </c>
      <c r="O401" s="108">
        <v>200</v>
      </c>
      <c r="P401" s="88">
        <v>348</v>
      </c>
      <c r="Q401" s="88" t="s">
        <v>75</v>
      </c>
      <c r="R401" s="88" t="s">
        <v>348</v>
      </c>
      <c r="S401" s="110">
        <v>10000</v>
      </c>
      <c r="T401" s="110">
        <v>908</v>
      </c>
      <c r="U401" s="88">
        <v>983</v>
      </c>
      <c r="V401" s="90">
        <v>1500</v>
      </c>
      <c r="W401" s="111">
        <v>10</v>
      </c>
      <c r="X401" s="110">
        <v>49001</v>
      </c>
      <c r="Y401" s="110">
        <v>874664</v>
      </c>
      <c r="Z401" s="110">
        <v>6687079</v>
      </c>
      <c r="AA401" s="110">
        <v>2092958</v>
      </c>
      <c r="AB401" s="112">
        <v>4619251</v>
      </c>
      <c r="AC401" s="109">
        <v>160.1</v>
      </c>
      <c r="AD401" s="110">
        <v>-109.9</v>
      </c>
      <c r="AE401" s="110">
        <v>3.95</v>
      </c>
      <c r="AF401" s="110">
        <v>-0.77</v>
      </c>
      <c r="AG401" s="110">
        <v>109.8</v>
      </c>
      <c r="AH401" s="110">
        <v>-110</v>
      </c>
      <c r="AI401" s="110">
        <v>3.71</v>
      </c>
      <c r="AJ401" s="109">
        <v>-0.36</v>
      </c>
      <c r="AK401" s="113" t="s">
        <v>59</v>
      </c>
      <c r="AL401" s="107" t="s">
        <v>512</v>
      </c>
      <c r="AN401" s="107">
        <v>0.94799999999999995</v>
      </c>
      <c r="AO401" s="48">
        <f t="shared" si="479"/>
        <v>134920444.51199999</v>
      </c>
      <c r="AP401" s="156">
        <f t="shared" si="480"/>
        <v>94444311.158399984</v>
      </c>
      <c r="AQ401" s="161">
        <f t="shared" si="485"/>
        <v>12725817738.650299</v>
      </c>
      <c r="AR401" s="163">
        <f t="shared" si="486"/>
        <v>5.9693518517899991</v>
      </c>
      <c r="AS401" s="49">
        <f t="shared" si="481"/>
        <v>0.29276190476190472</v>
      </c>
      <c r="AT401" s="165">
        <f t="shared" si="487"/>
        <v>38.769759920634918</v>
      </c>
      <c r="AU401" s="254">
        <f t="shared" si="482"/>
        <v>198412.41839999997</v>
      </c>
      <c r="AV401" s="255">
        <f t="shared" si="483"/>
        <v>472808.4816</v>
      </c>
      <c r="AW401" s="256">
        <f t="shared" si="484"/>
        <v>0.41964648715388014</v>
      </c>
    </row>
    <row r="402" spans="1:70">
      <c r="A402" s="108">
        <v>400</v>
      </c>
      <c r="F402" s="45">
        <v>43135.332511574074</v>
      </c>
      <c r="G402" s="45">
        <v>43135.373865740738</v>
      </c>
      <c r="H402" s="53">
        <f>G402-F402-'user time'!P118</f>
        <v>4.0925925923209538E-2</v>
      </c>
      <c r="I402" s="86">
        <v>50.76</v>
      </c>
      <c r="J402" s="109" t="s">
        <v>260</v>
      </c>
      <c r="K402" s="88" t="s">
        <v>72</v>
      </c>
      <c r="L402" s="88" t="s">
        <v>73</v>
      </c>
      <c r="M402" s="88">
        <v>-369</v>
      </c>
      <c r="N402" s="108">
        <v>1</v>
      </c>
      <c r="O402" s="108">
        <v>200</v>
      </c>
      <c r="P402" s="88">
        <v>348</v>
      </c>
      <c r="Q402" s="88" t="s">
        <v>75</v>
      </c>
      <c r="R402" s="88" t="s">
        <v>348</v>
      </c>
      <c r="S402" s="110">
        <v>10000</v>
      </c>
      <c r="T402" s="110">
        <v>917</v>
      </c>
      <c r="U402" s="88">
        <v>983</v>
      </c>
      <c r="V402" s="90">
        <v>1500</v>
      </c>
      <c r="W402" s="111">
        <v>10</v>
      </c>
      <c r="X402" s="110">
        <v>48904</v>
      </c>
      <c r="Y402" s="110">
        <v>870939</v>
      </c>
      <c r="Z402" s="110">
        <v>6646559</v>
      </c>
      <c r="AA402" s="110">
        <v>2078882</v>
      </c>
      <c r="AB402" s="112">
        <v>4592483</v>
      </c>
      <c r="AC402" s="109">
        <v>160.1</v>
      </c>
      <c r="AD402" s="110">
        <v>-109.9</v>
      </c>
      <c r="AE402" s="110">
        <v>3.95</v>
      </c>
      <c r="AF402" s="110">
        <v>-0.76</v>
      </c>
      <c r="AG402" s="110">
        <v>109.8</v>
      </c>
      <c r="AH402" s="110">
        <v>-110</v>
      </c>
      <c r="AI402" s="110">
        <v>3.71</v>
      </c>
      <c r="AJ402" s="109">
        <v>-0.36</v>
      </c>
      <c r="AK402" s="113" t="s">
        <v>59</v>
      </c>
      <c r="AL402" s="107" t="s">
        <v>512</v>
      </c>
      <c r="AN402" s="107">
        <v>0.94799999999999995</v>
      </c>
      <c r="AO402" s="48">
        <f t="shared" si="479"/>
        <v>134013049.248</v>
      </c>
      <c r="AP402" s="156">
        <f t="shared" si="480"/>
        <v>93809134.473599985</v>
      </c>
      <c r="AQ402" s="161">
        <f t="shared" si="485"/>
        <v>12819626873.123899</v>
      </c>
      <c r="AR402" s="163">
        <f t="shared" si="486"/>
        <v>6.0102777777132088</v>
      </c>
      <c r="AS402" s="49">
        <f t="shared" si="481"/>
        <v>0.29207142857142854</v>
      </c>
      <c r="AT402" s="165">
        <f t="shared" si="487"/>
        <v>39.061831349206344</v>
      </c>
      <c r="AU402" s="254">
        <f t="shared" si="482"/>
        <v>197078.01360000001</v>
      </c>
      <c r="AV402" s="255">
        <f t="shared" si="483"/>
        <v>470058.48639999999</v>
      </c>
      <c r="AW402" s="256">
        <f t="shared" si="484"/>
        <v>0.4192627498534191</v>
      </c>
    </row>
    <row r="403" spans="1:70">
      <c r="A403" s="108">
        <v>401</v>
      </c>
      <c r="F403" s="45">
        <v>43135.373900462961</v>
      </c>
      <c r="G403" s="45">
        <v>43135.415810185186</v>
      </c>
      <c r="H403" s="53">
        <f>G403-F403-'user time'!P119-'user time'!P120</f>
        <v>4.1342592596052719E-2</v>
      </c>
      <c r="I403" s="86">
        <v>50.81</v>
      </c>
      <c r="J403" s="109" t="s">
        <v>260</v>
      </c>
      <c r="K403" s="88" t="s">
        <v>72</v>
      </c>
      <c r="L403" s="88" t="s">
        <v>73</v>
      </c>
      <c r="M403" s="88">
        <v>-369</v>
      </c>
      <c r="N403" s="108">
        <v>1</v>
      </c>
      <c r="O403" s="108">
        <v>200</v>
      </c>
      <c r="P403" s="88">
        <v>348</v>
      </c>
      <c r="Q403" s="88" t="s">
        <v>75</v>
      </c>
      <c r="R403" s="88" t="s">
        <v>348</v>
      </c>
      <c r="S403" s="110">
        <v>10200</v>
      </c>
      <c r="T403" s="110">
        <v>925</v>
      </c>
      <c r="U403" s="88">
        <v>983</v>
      </c>
      <c r="V403" s="90">
        <v>1500</v>
      </c>
      <c r="W403" s="111">
        <v>10</v>
      </c>
      <c r="X403" s="110">
        <v>49268</v>
      </c>
      <c r="Y403" s="110">
        <v>872117</v>
      </c>
      <c r="Z403" s="110">
        <v>6660058</v>
      </c>
      <c r="AA403" s="110">
        <v>2087767</v>
      </c>
      <c r="AB403" s="112">
        <v>4596424</v>
      </c>
      <c r="AC403" s="109">
        <v>160.1</v>
      </c>
      <c r="AD403" s="110">
        <v>-109.9</v>
      </c>
      <c r="AE403" s="110">
        <v>3.95</v>
      </c>
      <c r="AF403" s="110">
        <v>-0.76</v>
      </c>
      <c r="AG403" s="110">
        <v>109.8</v>
      </c>
      <c r="AH403" s="110">
        <v>-110</v>
      </c>
      <c r="AI403" s="110">
        <v>3.71</v>
      </c>
      <c r="AJ403" s="109">
        <v>-0.36</v>
      </c>
      <c r="AK403" s="113" t="s">
        <v>59</v>
      </c>
      <c r="AL403" s="107" t="s">
        <v>512</v>
      </c>
      <c r="AN403" s="107">
        <v>0.95</v>
      </c>
      <c r="AO403" s="48">
        <f t="shared" si="479"/>
        <v>136242856.49615383</v>
      </c>
      <c r="AP403" s="156">
        <f t="shared" si="480"/>
        <v>95369999.54730767</v>
      </c>
      <c r="AQ403" s="161">
        <f t="shared" si="485"/>
        <v>12914996872.671207</v>
      </c>
      <c r="AR403" s="163">
        <f t="shared" si="486"/>
        <v>6.0516203703092613</v>
      </c>
      <c r="AS403" s="49">
        <f t="shared" si="481"/>
        <v>0.29739980158730156</v>
      </c>
      <c r="AT403" s="165">
        <f t="shared" si="487"/>
        <v>39.359231150793647</v>
      </c>
      <c r="AU403" s="254">
        <f t="shared" si="482"/>
        <v>198337.86499999999</v>
      </c>
      <c r="AV403" s="255">
        <f t="shared" si="483"/>
        <v>470081.23500000004</v>
      </c>
      <c r="AW403" s="256">
        <f t="shared" si="484"/>
        <v>0.42192253217680553</v>
      </c>
    </row>
    <row r="404" spans="1:70">
      <c r="A404" s="108">
        <v>402</v>
      </c>
      <c r="F404" s="45">
        <v>43135.415983796294</v>
      </c>
      <c r="G404" s="45">
        <v>43135.458078703705</v>
      </c>
      <c r="H404" s="53">
        <f>G404-F404-'user time'!P121</f>
        <v>4.1539351854945505E-2</v>
      </c>
      <c r="I404" s="86">
        <v>50.71</v>
      </c>
      <c r="J404" s="109" t="s">
        <v>260</v>
      </c>
      <c r="K404" s="88" t="s">
        <v>72</v>
      </c>
      <c r="L404" s="88" t="s">
        <v>73</v>
      </c>
      <c r="M404" s="88">
        <v>-369</v>
      </c>
      <c r="N404" s="108">
        <v>1</v>
      </c>
      <c r="O404" s="108">
        <v>200</v>
      </c>
      <c r="P404" s="88">
        <v>348</v>
      </c>
      <c r="Q404" s="88" t="s">
        <v>75</v>
      </c>
      <c r="R404" s="88" t="s">
        <v>348</v>
      </c>
      <c r="S404" s="110">
        <v>10100</v>
      </c>
      <c r="T404" s="110">
        <v>916</v>
      </c>
      <c r="U404" s="88">
        <v>983</v>
      </c>
      <c r="V404" s="90">
        <v>1500</v>
      </c>
      <c r="W404" s="111">
        <v>10</v>
      </c>
      <c r="X404" s="110">
        <v>49082</v>
      </c>
      <c r="Y404" s="110">
        <v>874602</v>
      </c>
      <c r="Z404" s="110">
        <v>6674179</v>
      </c>
      <c r="AA404" s="110">
        <v>2088255</v>
      </c>
      <c r="AB404" s="112">
        <v>4610344</v>
      </c>
      <c r="AC404" s="109">
        <v>160.1</v>
      </c>
      <c r="AD404" s="110">
        <v>-109.8</v>
      </c>
      <c r="AE404" s="110">
        <v>3.95</v>
      </c>
      <c r="AF404" s="110">
        <v>-0.77</v>
      </c>
      <c r="AG404" s="110">
        <v>109.8</v>
      </c>
      <c r="AH404" s="110">
        <v>-110</v>
      </c>
      <c r="AI404" s="110">
        <v>3.71</v>
      </c>
      <c r="AJ404" s="109">
        <v>-0.36</v>
      </c>
      <c r="AK404" s="113" t="s">
        <v>59</v>
      </c>
      <c r="AL404" s="107" t="s">
        <v>513</v>
      </c>
      <c r="AN404" s="107">
        <v>0.94799999999999995</v>
      </c>
      <c r="AO404" s="48">
        <f t="shared" ref="AO404:AO405" si="488">(HOUR(H404)*60*60+MINUTE(H404)*60+SECOND(H404))/5.2*AA404/W404*AN404</f>
        <v>136635006.55499998</v>
      </c>
      <c r="AP404" s="156">
        <f t="shared" ref="AP404:AP405" si="489">AO404*0.7</f>
        <v>95644504.588499978</v>
      </c>
      <c r="AQ404" s="161">
        <f t="shared" ref="AQ404:AQ405" si="490">AP404+AQ403</f>
        <v>13010641377.259706</v>
      </c>
      <c r="AR404" s="163">
        <f t="shared" ref="AR404:AR405" si="491">H404+AR403</f>
        <v>6.0931597221642066</v>
      </c>
      <c r="AS404" s="49">
        <f t="shared" ref="AS404:AS405" si="492">I404*(HOUR(H404)*60+MINUTE(H404))/60/(7*24)</f>
        <v>0.29681448412698408</v>
      </c>
      <c r="AT404" s="165">
        <f t="shared" ref="AT404:AT405" si="493">AS404+AT403</f>
        <v>39.656045634920631</v>
      </c>
      <c r="AU404" s="254">
        <f t="shared" si="482"/>
        <v>197966.57399999999</v>
      </c>
      <c r="AV404" s="255">
        <f t="shared" si="483"/>
        <v>471893.32600000006</v>
      </c>
      <c r="AW404" s="256">
        <f t="shared" si="484"/>
        <v>0.41951551991222685</v>
      </c>
    </row>
    <row r="405" spans="1:70">
      <c r="A405" s="108">
        <v>403</v>
      </c>
      <c r="F405" s="45">
        <v>43135.458113425928</v>
      </c>
      <c r="G405" s="45">
        <v>43135.499421296299</v>
      </c>
      <c r="H405" s="53">
        <f>G405-F405-'user time'!P122-'user time'!P123</f>
        <v>4.0740740741753934E-2</v>
      </c>
      <c r="I405" s="86">
        <v>50.79</v>
      </c>
      <c r="J405" s="109" t="s">
        <v>260</v>
      </c>
      <c r="K405" s="88" t="s">
        <v>72</v>
      </c>
      <c r="L405" s="88" t="s">
        <v>73</v>
      </c>
      <c r="M405" s="88">
        <v>-369</v>
      </c>
      <c r="N405" s="108">
        <v>1</v>
      </c>
      <c r="O405" s="108">
        <v>200</v>
      </c>
      <c r="P405" s="88">
        <v>348</v>
      </c>
      <c r="Q405" s="88" t="s">
        <v>75</v>
      </c>
      <c r="R405" s="88" t="s">
        <v>348</v>
      </c>
      <c r="S405" s="110">
        <v>10000</v>
      </c>
      <c r="T405" s="110">
        <v>921</v>
      </c>
      <c r="U405" s="88">
        <v>983</v>
      </c>
      <c r="V405" s="90">
        <v>1500</v>
      </c>
      <c r="W405" s="111">
        <v>10</v>
      </c>
      <c r="X405" s="110">
        <v>48578</v>
      </c>
      <c r="Y405" s="110">
        <v>873840</v>
      </c>
      <c r="Z405" s="110">
        <v>6692295</v>
      </c>
      <c r="AA405" s="110">
        <v>2085935</v>
      </c>
      <c r="AB405" s="112">
        <v>4631068</v>
      </c>
      <c r="AC405" s="109">
        <v>160.1</v>
      </c>
      <c r="AD405" s="110">
        <v>-109.8</v>
      </c>
      <c r="AE405" s="110">
        <v>3.95</v>
      </c>
      <c r="AF405" s="110">
        <v>-0.76</v>
      </c>
      <c r="AG405" s="110">
        <v>109.8</v>
      </c>
      <c r="AH405" s="110">
        <v>-110</v>
      </c>
      <c r="AI405" s="110">
        <v>3.72</v>
      </c>
      <c r="AJ405" s="109">
        <v>-0.35</v>
      </c>
      <c r="AK405" s="113" t="s">
        <v>59</v>
      </c>
      <c r="AL405" s="107" t="s">
        <v>513</v>
      </c>
      <c r="AN405" s="107">
        <v>0.94899999999999995</v>
      </c>
      <c r="AO405" s="48">
        <f t="shared" si="488"/>
        <v>134000464.39999998</v>
      </c>
      <c r="AP405" s="156">
        <f t="shared" si="489"/>
        <v>93800325.079999983</v>
      </c>
      <c r="AQ405" s="161">
        <f t="shared" si="490"/>
        <v>13104441702.339706</v>
      </c>
      <c r="AR405" s="163">
        <f t="shared" si="491"/>
        <v>6.1339004629059604</v>
      </c>
      <c r="AS405" s="49">
        <f t="shared" si="492"/>
        <v>0.29224404761904765</v>
      </c>
      <c r="AT405" s="165">
        <f t="shared" si="493"/>
        <v>39.948289682539681</v>
      </c>
      <c r="AU405" s="254">
        <f t="shared" si="482"/>
        <v>197955.23149999999</v>
      </c>
      <c r="AV405" s="255">
        <f t="shared" si="483"/>
        <v>473745.06849999999</v>
      </c>
      <c r="AW405" s="256">
        <f t="shared" si="484"/>
        <v>0.41785180398136429</v>
      </c>
    </row>
    <row r="406" spans="1:70">
      <c r="A406" s="108">
        <v>404</v>
      </c>
      <c r="F406" s="45">
        <v>43135.499444444446</v>
      </c>
      <c r="G406" s="45">
        <v>43135.533738425926</v>
      </c>
      <c r="H406" s="53">
        <f>G406-F406-'user time'!P124</f>
        <v>3.3935185183708416E-2</v>
      </c>
      <c r="I406" s="86">
        <v>50.8</v>
      </c>
      <c r="J406" s="109" t="s">
        <v>260</v>
      </c>
      <c r="K406" s="88" t="s">
        <v>72</v>
      </c>
      <c r="L406" s="88" t="s">
        <v>73</v>
      </c>
      <c r="M406" s="88">
        <v>-369</v>
      </c>
      <c r="N406" s="108">
        <v>1</v>
      </c>
      <c r="O406" s="108">
        <v>200</v>
      </c>
      <c r="P406" s="88">
        <v>348</v>
      </c>
      <c r="Q406" s="88" t="s">
        <v>75</v>
      </c>
      <c r="R406" s="88" t="s">
        <v>348</v>
      </c>
      <c r="S406" s="110">
        <v>10100</v>
      </c>
      <c r="T406" s="110">
        <v>917</v>
      </c>
      <c r="U406" s="88">
        <v>983</v>
      </c>
      <c r="V406" s="90">
        <v>1500</v>
      </c>
      <c r="W406" s="111">
        <v>10</v>
      </c>
      <c r="X406" s="110">
        <v>49207</v>
      </c>
      <c r="Y406" s="110">
        <v>872503</v>
      </c>
      <c r="Z406" s="110">
        <v>6697232</v>
      </c>
      <c r="AA406" s="110">
        <v>2085185</v>
      </c>
      <c r="AB406" s="112">
        <v>4637322</v>
      </c>
      <c r="AC406" s="109">
        <v>160.1</v>
      </c>
      <c r="AD406" s="110">
        <v>-109.8</v>
      </c>
      <c r="AE406" s="110">
        <v>3.95</v>
      </c>
      <c r="AF406" s="110">
        <v>-0.76</v>
      </c>
      <c r="AG406" s="110">
        <v>109.8</v>
      </c>
      <c r="AH406" s="110">
        <v>-110</v>
      </c>
      <c r="AI406" s="110">
        <v>3.72</v>
      </c>
      <c r="AJ406" s="109">
        <v>-0.35</v>
      </c>
      <c r="AK406" s="113" t="s">
        <v>59</v>
      </c>
      <c r="AL406" s="107" t="s">
        <v>522</v>
      </c>
      <c r="AM406" s="114" t="s">
        <v>527</v>
      </c>
      <c r="AN406" s="107">
        <v>0.95</v>
      </c>
      <c r="AO406" s="48">
        <f t="shared" ref="AO406" si="494">(HOUR(H406)*60*60+MINUTE(H406)*60+SECOND(H406))/5.2*AA406/W406*AN406</f>
        <v>111693736.51923077</v>
      </c>
      <c r="AP406" s="156">
        <f t="shared" ref="AP406" si="495">AO406*0.7</f>
        <v>78185615.563461527</v>
      </c>
      <c r="AQ406" s="161">
        <f t="shared" ref="AQ406" si="496">AP406+AQ405</f>
        <v>13182627317.903168</v>
      </c>
      <c r="AR406" s="163">
        <f t="shared" ref="AR406" si="497">H406+AR405</f>
        <v>6.1678356480896692</v>
      </c>
      <c r="AS406" s="49">
        <f t="shared" ref="AS406" si="498">I406*(HOUR(H406)*60+MINUTE(H406))/60/(7*24)</f>
        <v>0.24190476190476187</v>
      </c>
      <c r="AT406" s="165">
        <f t="shared" ref="AT406" si="499">AS406+AT405</f>
        <v>40.190194444444444</v>
      </c>
      <c r="AU406" s="254">
        <f t="shared" si="482"/>
        <v>198092.57499999998</v>
      </c>
      <c r="AV406" s="255">
        <f t="shared" si="483"/>
        <v>474158.125</v>
      </c>
      <c r="AW406" s="256">
        <f t="shared" si="484"/>
        <v>0.41777745556927864</v>
      </c>
    </row>
    <row r="407" spans="1:70" s="149" customFormat="1">
      <c r="A407" s="138">
        <v>405</v>
      </c>
      <c r="F407" s="133"/>
      <c r="G407" s="133"/>
      <c r="H407" s="245"/>
      <c r="I407" s="135"/>
      <c r="J407" s="136"/>
      <c r="K407" s="137"/>
      <c r="L407" s="137"/>
      <c r="M407" s="137"/>
      <c r="N407" s="138"/>
      <c r="O407" s="138"/>
      <c r="P407" s="137"/>
      <c r="Q407" s="137"/>
      <c r="R407" s="235"/>
      <c r="S407" s="139"/>
      <c r="T407" s="139"/>
      <c r="U407" s="137"/>
      <c r="V407" s="140"/>
      <c r="W407" s="141"/>
      <c r="X407" s="139"/>
      <c r="Y407" s="139"/>
      <c r="Z407" s="139"/>
      <c r="AA407" s="139"/>
      <c r="AB407" s="142"/>
      <c r="AC407" s="136"/>
      <c r="AD407" s="139"/>
      <c r="AE407" s="139"/>
      <c r="AF407" s="139"/>
      <c r="AG407" s="139"/>
      <c r="AH407" s="139"/>
      <c r="AI407" s="139"/>
      <c r="AJ407" s="136"/>
      <c r="AK407" s="143"/>
      <c r="AL407" s="246" t="s">
        <v>481</v>
      </c>
      <c r="AM407" s="145"/>
      <c r="AN407" s="144"/>
      <c r="AO407" s="151"/>
      <c r="AP407" s="146"/>
      <c r="AQ407" s="160"/>
      <c r="AR407" s="162"/>
      <c r="AS407" s="147"/>
      <c r="AT407" s="164"/>
      <c r="AU407" s="147"/>
      <c r="AV407" s="147"/>
      <c r="AW407" s="139"/>
      <c r="AX407" s="139"/>
      <c r="AY407" s="139"/>
      <c r="AZ407" s="139"/>
      <c r="BA407" s="147"/>
      <c r="BB407" s="142"/>
      <c r="BC407" s="148"/>
      <c r="BD407" s="148"/>
      <c r="BE407" s="148"/>
      <c r="BF407" s="148"/>
      <c r="BG407" s="148"/>
      <c r="BH407" s="148"/>
      <c r="BI407" s="148"/>
      <c r="BJ407" s="148"/>
      <c r="BK407" s="148"/>
      <c r="BL407" s="148"/>
      <c r="BM407" s="148"/>
      <c r="BN407" s="148"/>
      <c r="BO407" s="148"/>
      <c r="BP407" s="148"/>
      <c r="BQ407" s="148"/>
      <c r="BR407" s="148"/>
    </row>
    <row r="408" spans="1:70">
      <c r="A408" s="108">
        <v>406</v>
      </c>
      <c r="F408" s="45">
        <v>43135.556145833332</v>
      </c>
      <c r="G408" s="45">
        <v>43135.59684027778</v>
      </c>
      <c r="H408" s="53">
        <f>G408-F408-'user time'!P126</f>
        <v>4.0324074077210836E-2</v>
      </c>
      <c r="I408" s="86">
        <v>50.78</v>
      </c>
      <c r="J408" s="109" t="s">
        <v>260</v>
      </c>
      <c r="K408" s="88" t="s">
        <v>72</v>
      </c>
      <c r="L408" s="88" t="s">
        <v>73</v>
      </c>
      <c r="M408" s="88">
        <v>-369</v>
      </c>
      <c r="N408" s="108">
        <v>1</v>
      </c>
      <c r="O408" s="108">
        <v>200</v>
      </c>
      <c r="P408" s="88">
        <v>348</v>
      </c>
      <c r="Q408" s="88" t="s">
        <v>75</v>
      </c>
      <c r="R408" s="88" t="s">
        <v>348</v>
      </c>
      <c r="S408" s="110">
        <v>10057</v>
      </c>
      <c r="T408" s="110">
        <v>891</v>
      </c>
      <c r="U408" s="88">
        <v>983</v>
      </c>
      <c r="V408" s="90">
        <v>1500</v>
      </c>
      <c r="W408" s="111">
        <v>10</v>
      </c>
      <c r="X408" s="110">
        <v>49128</v>
      </c>
      <c r="Y408" s="110">
        <v>874950</v>
      </c>
      <c r="Z408" s="110">
        <v>6562815</v>
      </c>
      <c r="AA408" s="110">
        <v>2108970</v>
      </c>
      <c r="AB408" s="112">
        <v>4476718</v>
      </c>
      <c r="AC408" s="109">
        <v>160.1</v>
      </c>
      <c r="AD408" s="110">
        <v>-109.8</v>
      </c>
      <c r="AE408" s="110">
        <v>3.95</v>
      </c>
      <c r="AF408" s="110">
        <v>-0.76</v>
      </c>
      <c r="AG408" s="110">
        <v>109.8</v>
      </c>
      <c r="AH408" s="110">
        <v>-110.1</v>
      </c>
      <c r="AI408" s="110">
        <v>3.72</v>
      </c>
      <c r="AJ408" s="109">
        <v>-0.35</v>
      </c>
      <c r="AK408" s="113" t="s">
        <v>59</v>
      </c>
      <c r="AL408" s="107" t="s">
        <v>525</v>
      </c>
      <c r="AN408" s="107">
        <v>0.95799999999999996</v>
      </c>
      <c r="AO408" s="48">
        <f t="shared" ref="AO408:AO410" si="500">(HOUR(H408)*60*60+MINUTE(H408)*60+SECOND(H408))/5.2*AA408/W408*AN408</f>
        <v>135366348.41999999</v>
      </c>
      <c r="AP408" s="156">
        <f t="shared" ref="AP408:AP410" si="501">AO408*0.7</f>
        <v>94756443.893999979</v>
      </c>
      <c r="AQ408" s="161">
        <f>AP408+AQ406</f>
        <v>13277383761.797167</v>
      </c>
      <c r="AR408" s="163">
        <f>H408+AR406</f>
        <v>6.2081597221668803</v>
      </c>
      <c r="AS408" s="49">
        <f t="shared" ref="AS408:AS410" si="502">I408*(HOUR(H408)*60+MINUTE(H408))/60/(7*24)</f>
        <v>0.29218650793650797</v>
      </c>
      <c r="AT408" s="165">
        <f>AS408+AT406</f>
        <v>40.48238095238095</v>
      </c>
      <c r="AU408" s="254">
        <f t="shared" ref="AU408:AU435" si="503">AA408/W408*AN408</f>
        <v>202039.326</v>
      </c>
      <c r="AV408" s="255">
        <f t="shared" ref="AV408:AV435" si="504">AB408/W408+AA408/W408*(1-AN408)</f>
        <v>456529.47399999999</v>
      </c>
      <c r="AW408" s="256">
        <f t="shared" ref="AW408:AW435" si="505">AU408/AV408</f>
        <v>0.44255483491521513</v>
      </c>
    </row>
    <row r="409" spans="1:70">
      <c r="A409" s="108">
        <v>407</v>
      </c>
      <c r="F409" s="45">
        <v>43135.600914351853</v>
      </c>
      <c r="G409" s="45">
        <v>43135.642962962964</v>
      </c>
      <c r="H409" s="53">
        <f>G409-F409-'user time'!P128-'user time'!P129-'user time'!P130</f>
        <v>4.09374999995471E-2</v>
      </c>
      <c r="I409" s="86">
        <v>50.75</v>
      </c>
      <c r="J409" s="109" t="s">
        <v>260</v>
      </c>
      <c r="K409" s="88" t="s">
        <v>72</v>
      </c>
      <c r="L409" s="88" t="s">
        <v>73</v>
      </c>
      <c r="M409" s="88">
        <v>-369</v>
      </c>
      <c r="N409" s="108">
        <v>1</v>
      </c>
      <c r="O409" s="108">
        <v>200</v>
      </c>
      <c r="P409" s="88">
        <v>348</v>
      </c>
      <c r="Q409" s="88" t="s">
        <v>75</v>
      </c>
      <c r="R409" s="88" t="s">
        <v>348</v>
      </c>
      <c r="S409" s="110">
        <v>10000</v>
      </c>
      <c r="T409" s="110">
        <v>892</v>
      </c>
      <c r="U409" s="88">
        <v>983</v>
      </c>
      <c r="V409" s="90">
        <v>1500</v>
      </c>
      <c r="W409" s="111">
        <v>10</v>
      </c>
      <c r="X409" s="110">
        <v>49386</v>
      </c>
      <c r="Y409" s="110">
        <v>875452</v>
      </c>
      <c r="Z409" s="110">
        <v>6562101</v>
      </c>
      <c r="AA409" s="110">
        <v>2108365</v>
      </c>
      <c r="AB409" s="112">
        <v>4476107</v>
      </c>
      <c r="AC409" s="109">
        <v>160.1</v>
      </c>
      <c r="AD409" s="110">
        <v>-109.8</v>
      </c>
      <c r="AE409" s="110">
        <v>3.95</v>
      </c>
      <c r="AF409" s="110">
        <v>-0.76</v>
      </c>
      <c r="AG409" s="110">
        <v>109.8</v>
      </c>
      <c r="AH409" s="110">
        <v>-110.1</v>
      </c>
      <c r="AI409" s="110">
        <v>3.72</v>
      </c>
      <c r="AJ409" s="109">
        <v>-0.36</v>
      </c>
      <c r="AK409" s="113" t="s">
        <v>59</v>
      </c>
      <c r="AL409" s="107" t="s">
        <v>181</v>
      </c>
      <c r="AN409" s="107">
        <v>0.96099999999999997</v>
      </c>
      <c r="AO409" s="48">
        <f t="shared" si="500"/>
        <v>137816400.22701922</v>
      </c>
      <c r="AP409" s="156">
        <f t="shared" si="501"/>
        <v>96471480.158913448</v>
      </c>
      <c r="AQ409" s="161">
        <f t="shared" ref="AQ409:AQ410" si="506">AP409+AQ408</f>
        <v>13373855241.956079</v>
      </c>
      <c r="AR409" s="163">
        <f t="shared" ref="AR409:AR410" si="507">H409+AR408</f>
        <v>6.2490972221664274</v>
      </c>
      <c r="AS409" s="49">
        <f t="shared" si="502"/>
        <v>0.29201388888888885</v>
      </c>
      <c r="AT409" s="165">
        <f t="shared" ref="AT409:AT410" si="508">AS409+AT408</f>
        <v>40.774394841269839</v>
      </c>
      <c r="AU409" s="254">
        <f t="shared" si="503"/>
        <v>202613.87649999998</v>
      </c>
      <c r="AV409" s="255">
        <f t="shared" si="504"/>
        <v>455833.3235</v>
      </c>
      <c r="AW409" s="256">
        <f t="shared" si="505"/>
        <v>0.4444911463345439</v>
      </c>
    </row>
    <row r="410" spans="1:70">
      <c r="A410" s="108">
        <v>408</v>
      </c>
      <c r="F410" s="45">
        <v>43135.64298611111</v>
      </c>
      <c r="G410" s="45">
        <v>43135.663495370369</v>
      </c>
      <c r="H410" s="53">
        <f>G410-F410</f>
        <v>2.0509259258687962E-2</v>
      </c>
      <c r="I410" s="86">
        <v>50.82</v>
      </c>
      <c r="J410" s="109" t="s">
        <v>260</v>
      </c>
      <c r="K410" s="88" t="s">
        <v>72</v>
      </c>
      <c r="L410" s="88" t="s">
        <v>73</v>
      </c>
      <c r="M410" s="88">
        <v>-369</v>
      </c>
      <c r="N410" s="108">
        <v>1</v>
      </c>
      <c r="O410" s="108">
        <v>200</v>
      </c>
      <c r="P410" s="88">
        <v>348</v>
      </c>
      <c r="Q410" s="88" t="s">
        <v>75</v>
      </c>
      <c r="R410" s="88" t="s">
        <v>348</v>
      </c>
      <c r="S410" s="110">
        <v>10100</v>
      </c>
      <c r="T410" s="110">
        <v>911</v>
      </c>
      <c r="U410" s="88">
        <v>983</v>
      </c>
      <c r="V410" s="90">
        <v>1500</v>
      </c>
      <c r="W410" s="111">
        <v>10</v>
      </c>
      <c r="X410" s="110">
        <v>49128</v>
      </c>
      <c r="Y410" s="110">
        <v>875153</v>
      </c>
      <c r="Z410" s="110">
        <v>6537511</v>
      </c>
      <c r="AA410" s="110">
        <v>2102098</v>
      </c>
      <c r="AB410" s="112">
        <v>4458591</v>
      </c>
      <c r="AC410" s="109">
        <v>160.1</v>
      </c>
      <c r="AD410" s="110">
        <v>-109.8</v>
      </c>
      <c r="AE410" s="110">
        <v>3.95</v>
      </c>
      <c r="AF410" s="110">
        <v>-0.76</v>
      </c>
      <c r="AG410" s="110">
        <v>109.8</v>
      </c>
      <c r="AH410" s="110">
        <v>-110.1</v>
      </c>
      <c r="AI410" s="110">
        <v>3.72</v>
      </c>
      <c r="AJ410" s="109">
        <v>-0.36</v>
      </c>
      <c r="AK410" s="113" t="s">
        <v>59</v>
      </c>
      <c r="AL410" s="107" t="s">
        <v>459</v>
      </c>
      <c r="AN410" s="107">
        <v>0.95799999999999996</v>
      </c>
      <c r="AO410" s="48">
        <f t="shared" si="500"/>
        <v>68624444.508615375</v>
      </c>
      <c r="AP410" s="156">
        <f t="shared" si="501"/>
        <v>48037111.156030759</v>
      </c>
      <c r="AQ410" s="161">
        <f t="shared" si="506"/>
        <v>13421892353.11211</v>
      </c>
      <c r="AR410" s="163">
        <f t="shared" si="507"/>
        <v>6.2696064814251153</v>
      </c>
      <c r="AS410" s="49">
        <f t="shared" si="502"/>
        <v>0.14620833333333333</v>
      </c>
      <c r="AT410" s="165">
        <f t="shared" si="508"/>
        <v>40.920603174603173</v>
      </c>
      <c r="AU410" s="254">
        <f t="shared" si="503"/>
        <v>201380.98839999997</v>
      </c>
      <c r="AV410" s="255">
        <f t="shared" si="504"/>
        <v>454687.91159999999</v>
      </c>
      <c r="AW410" s="256">
        <f t="shared" si="505"/>
        <v>0.44289936737346058</v>
      </c>
    </row>
    <row r="411" spans="1:70">
      <c r="A411" s="108">
        <v>409</v>
      </c>
      <c r="F411" s="45">
        <v>43135.663923611108</v>
      </c>
      <c r="G411" s="45">
        <v>43135.708564814813</v>
      </c>
      <c r="H411" s="53">
        <f>G411-F411-SUM('user time'!P131:P134)</f>
        <v>4.3518518520210936E-2</v>
      </c>
      <c r="I411" s="86">
        <v>50.73</v>
      </c>
      <c r="J411" s="109" t="s">
        <v>260</v>
      </c>
      <c r="K411" s="88" t="s">
        <v>72</v>
      </c>
      <c r="L411" s="88" t="s">
        <v>73</v>
      </c>
      <c r="M411" s="88">
        <v>-369</v>
      </c>
      <c r="N411" s="108">
        <v>1</v>
      </c>
      <c r="O411" s="108">
        <v>200</v>
      </c>
      <c r="P411" s="88">
        <v>348</v>
      </c>
      <c r="Q411" s="88" t="s">
        <v>75</v>
      </c>
      <c r="R411" s="88" t="s">
        <v>348</v>
      </c>
      <c r="S411" s="110">
        <v>10079</v>
      </c>
      <c r="T411" s="110">
        <v>887</v>
      </c>
      <c r="U411" s="88">
        <v>983</v>
      </c>
      <c r="V411" s="90">
        <v>1500</v>
      </c>
      <c r="W411" s="111">
        <v>10</v>
      </c>
      <c r="X411" s="110">
        <v>49295</v>
      </c>
      <c r="Y411" s="110">
        <v>874800</v>
      </c>
      <c r="Z411" s="110">
        <v>6533821</v>
      </c>
      <c r="AA411" s="110">
        <v>2100202</v>
      </c>
      <c r="AB411" s="112">
        <v>4456296</v>
      </c>
      <c r="AC411" s="109">
        <v>160.1</v>
      </c>
      <c r="AD411" s="110">
        <v>-109.8</v>
      </c>
      <c r="AE411" s="110">
        <v>3.95</v>
      </c>
      <c r="AF411" s="110">
        <v>-0.76</v>
      </c>
      <c r="AG411" s="110">
        <v>109.8</v>
      </c>
      <c r="AH411" s="110">
        <v>-110.1</v>
      </c>
      <c r="AI411" s="110">
        <v>3.72</v>
      </c>
      <c r="AJ411" s="109">
        <v>-0.36</v>
      </c>
      <c r="AK411" s="113" t="s">
        <v>59</v>
      </c>
      <c r="AL411" s="107" t="s">
        <v>181</v>
      </c>
      <c r="AN411" s="107">
        <v>0.96299999999999997</v>
      </c>
      <c r="AO411" s="48">
        <f t="shared" ref="AO411:AO426" si="509">(HOUR(H411)*60*60+MINUTE(H411)*60+SECOND(H411))/5.2*AA411/W411*AN411</f>
        <v>146241911.88</v>
      </c>
      <c r="AP411" s="156">
        <f t="shared" ref="AP411:AP426" si="510">AO411*0.7</f>
        <v>102369338.31599998</v>
      </c>
      <c r="AQ411" s="161">
        <f t="shared" ref="AQ411:AQ426" si="511">AP411+AQ410</f>
        <v>13524261691.42811</v>
      </c>
      <c r="AR411" s="163">
        <f t="shared" ref="AR411:AR426" si="512">H411+AR410</f>
        <v>6.3131249999453267</v>
      </c>
      <c r="AS411" s="49">
        <f t="shared" ref="AS411:AS426" si="513">I411*(HOUR(H411)*60+MINUTE(H411))/60/(7*24)</f>
        <v>0.31202976190476189</v>
      </c>
      <c r="AT411" s="165">
        <f t="shared" ref="AT411:AT426" si="514">AS411+AT410</f>
        <v>41.232632936507933</v>
      </c>
      <c r="AU411" s="254">
        <f t="shared" si="503"/>
        <v>202249.45260000002</v>
      </c>
      <c r="AV411" s="255">
        <f t="shared" si="504"/>
        <v>453400.34739999997</v>
      </c>
      <c r="AW411" s="256">
        <f t="shared" si="505"/>
        <v>0.44607255764092085</v>
      </c>
    </row>
    <row r="412" spans="1:70">
      <c r="A412" s="108">
        <v>410</v>
      </c>
      <c r="F412" s="45">
        <v>43135.708599537036</v>
      </c>
      <c r="G412" s="45">
        <v>43135.751423611109</v>
      </c>
      <c r="H412" s="53">
        <f>G412-F412-'user time'!P135-'user time'!P136</f>
        <v>4.2280092591514662E-2</v>
      </c>
      <c r="I412" s="86">
        <v>50.73</v>
      </c>
      <c r="J412" s="109" t="s">
        <v>260</v>
      </c>
      <c r="K412" s="88" t="s">
        <v>72</v>
      </c>
      <c r="L412" s="88" t="s">
        <v>73</v>
      </c>
      <c r="M412" s="88">
        <v>-369</v>
      </c>
      <c r="N412" s="108">
        <v>1</v>
      </c>
      <c r="O412" s="108">
        <v>200</v>
      </c>
      <c r="P412" s="88">
        <v>348</v>
      </c>
      <c r="Q412" s="88" t="s">
        <v>75</v>
      </c>
      <c r="R412" s="88" t="s">
        <v>348</v>
      </c>
      <c r="S412" s="110">
        <v>10000</v>
      </c>
      <c r="T412" s="110">
        <v>894</v>
      </c>
      <c r="U412" s="88">
        <v>983</v>
      </c>
      <c r="V412" s="90">
        <v>1500</v>
      </c>
      <c r="W412" s="111">
        <v>10</v>
      </c>
      <c r="X412" s="110">
        <v>48949</v>
      </c>
      <c r="Y412" s="110">
        <v>873861</v>
      </c>
      <c r="Z412" s="110">
        <v>6514609</v>
      </c>
      <c r="AA412" s="110">
        <v>2099871</v>
      </c>
      <c r="AB412" s="112">
        <v>4437704</v>
      </c>
      <c r="AC412" s="109">
        <v>160.1</v>
      </c>
      <c r="AD412" s="110">
        <v>-109.8</v>
      </c>
      <c r="AE412" s="110">
        <v>3.95</v>
      </c>
      <c r="AF412" s="110">
        <v>-0.76</v>
      </c>
      <c r="AG412" s="110">
        <v>109.8</v>
      </c>
      <c r="AH412" s="110">
        <v>-110.1</v>
      </c>
      <c r="AI412" s="110">
        <v>3.72</v>
      </c>
      <c r="AJ412" s="109">
        <v>-0.36</v>
      </c>
      <c r="AK412" s="113" t="s">
        <v>59</v>
      </c>
      <c r="AL412" s="107" t="s">
        <v>181</v>
      </c>
      <c r="AN412" s="107">
        <v>0.95799999999999996</v>
      </c>
      <c r="AO412" s="48">
        <f t="shared" si="509"/>
        <v>141320268.36449999</v>
      </c>
      <c r="AP412" s="156">
        <f t="shared" si="510"/>
        <v>98924187.855149984</v>
      </c>
      <c r="AQ412" s="161">
        <f t="shared" si="511"/>
        <v>13623185879.28326</v>
      </c>
      <c r="AR412" s="163">
        <f t="shared" si="512"/>
        <v>6.3554050925368415</v>
      </c>
      <c r="AS412" s="49">
        <f t="shared" si="513"/>
        <v>0.30196428571428569</v>
      </c>
      <c r="AT412" s="165">
        <f t="shared" si="514"/>
        <v>41.534597222222217</v>
      </c>
      <c r="AU412" s="254">
        <f t="shared" si="503"/>
        <v>201167.64180000001</v>
      </c>
      <c r="AV412" s="255">
        <f t="shared" si="504"/>
        <v>452589.85820000002</v>
      </c>
      <c r="AW412" s="256">
        <f t="shared" si="505"/>
        <v>0.44448110834844157</v>
      </c>
    </row>
    <row r="413" spans="1:70">
      <c r="A413" s="108">
        <v>411</v>
      </c>
      <c r="F413" s="45">
        <v>43135.751655092594</v>
      </c>
      <c r="G413" s="45">
        <v>43135.794756944444</v>
      </c>
      <c r="H413" s="53">
        <f>G413-F413-'user time'!P137-'user time'!P138</f>
        <v>4.2430555553927829E-2</v>
      </c>
      <c r="I413" s="86">
        <v>50.78</v>
      </c>
      <c r="J413" s="109" t="s">
        <v>260</v>
      </c>
      <c r="K413" s="88" t="s">
        <v>72</v>
      </c>
      <c r="L413" s="88" t="s">
        <v>73</v>
      </c>
      <c r="M413" s="88">
        <v>-369</v>
      </c>
      <c r="N413" s="108">
        <v>1</v>
      </c>
      <c r="O413" s="108">
        <v>200</v>
      </c>
      <c r="P413" s="88">
        <v>348</v>
      </c>
      <c r="Q413" s="88" t="s">
        <v>75</v>
      </c>
      <c r="R413" s="88" t="s">
        <v>348</v>
      </c>
      <c r="S413" s="110">
        <v>10000</v>
      </c>
      <c r="T413" s="110">
        <v>908</v>
      </c>
      <c r="U413" s="88">
        <v>983</v>
      </c>
      <c r="V413" s="90">
        <v>1500</v>
      </c>
      <c r="W413" s="111">
        <v>10</v>
      </c>
      <c r="X413" s="110">
        <v>48901</v>
      </c>
      <c r="Y413" s="110">
        <v>875813</v>
      </c>
      <c r="Z413" s="110">
        <v>6603269</v>
      </c>
      <c r="AA413" s="110">
        <v>2084439</v>
      </c>
      <c r="AB413" s="112">
        <v>4542774</v>
      </c>
      <c r="AC413" s="109">
        <v>160.1</v>
      </c>
      <c r="AD413" s="110">
        <v>-109.8</v>
      </c>
      <c r="AE413" s="110">
        <v>3.95</v>
      </c>
      <c r="AF413" s="110">
        <v>-0.76</v>
      </c>
      <c r="AG413" s="110">
        <v>109.8</v>
      </c>
      <c r="AH413" s="110">
        <v>-110.1</v>
      </c>
      <c r="AI413" s="110">
        <v>3.72</v>
      </c>
      <c r="AJ413" s="109">
        <v>-0.35</v>
      </c>
      <c r="AK413" s="113" t="s">
        <v>59</v>
      </c>
      <c r="AL413" s="107" t="s">
        <v>593</v>
      </c>
      <c r="AN413" s="107">
        <v>0.95399999999999996</v>
      </c>
      <c r="AO413" s="48">
        <f t="shared" si="509"/>
        <v>140193113.82299998</v>
      </c>
      <c r="AP413" s="156">
        <f t="shared" si="510"/>
        <v>98135179.676099986</v>
      </c>
      <c r="AQ413" s="161">
        <f t="shared" si="511"/>
        <v>13721321058.95936</v>
      </c>
      <c r="AR413" s="163">
        <f t="shared" si="512"/>
        <v>6.3978356480907692</v>
      </c>
      <c r="AS413" s="49">
        <f t="shared" si="513"/>
        <v>0.3072996031746032</v>
      </c>
      <c r="AT413" s="165">
        <f t="shared" si="514"/>
        <v>41.841896825396823</v>
      </c>
      <c r="AU413" s="254">
        <f t="shared" si="503"/>
        <v>198855.48059999998</v>
      </c>
      <c r="AV413" s="255">
        <f t="shared" si="504"/>
        <v>463865.81940000004</v>
      </c>
      <c r="AW413" s="256">
        <f t="shared" si="505"/>
        <v>0.42869181621792063</v>
      </c>
    </row>
    <row r="414" spans="1:70">
      <c r="A414" s="108">
        <v>412</v>
      </c>
      <c r="F414" s="45">
        <v>43135.794791666667</v>
      </c>
      <c r="G414" s="45">
        <v>43135.837546296294</v>
      </c>
      <c r="H414" s="53">
        <f>G414-F414-'user time'!P139-'user time'!P140</f>
        <v>4.2280092589833118E-2</v>
      </c>
      <c r="I414" s="86">
        <v>50.8</v>
      </c>
      <c r="J414" s="109" t="s">
        <v>260</v>
      </c>
      <c r="K414" s="88" t="s">
        <v>72</v>
      </c>
      <c r="L414" s="88" t="s">
        <v>73</v>
      </c>
      <c r="M414" s="88">
        <v>-369</v>
      </c>
      <c r="N414" s="108">
        <v>1</v>
      </c>
      <c r="O414" s="108">
        <v>200</v>
      </c>
      <c r="P414" s="88">
        <v>348</v>
      </c>
      <c r="Q414" s="88" t="s">
        <v>75</v>
      </c>
      <c r="R414" s="88" t="s">
        <v>348</v>
      </c>
      <c r="S414" s="110">
        <v>10000</v>
      </c>
      <c r="T414" s="110">
        <v>906</v>
      </c>
      <c r="U414" s="88">
        <v>983</v>
      </c>
      <c r="V414" s="90">
        <v>1500</v>
      </c>
      <c r="W414" s="111">
        <v>10</v>
      </c>
      <c r="X414" s="110">
        <v>49236</v>
      </c>
      <c r="Y414" s="110">
        <v>875578</v>
      </c>
      <c r="Z414" s="110">
        <v>6618758</v>
      </c>
      <c r="AA414" s="110">
        <v>2090091</v>
      </c>
      <c r="AB414" s="112">
        <v>4551977</v>
      </c>
      <c r="AC414" s="109">
        <v>160.1</v>
      </c>
      <c r="AD414" s="110">
        <v>-109.8</v>
      </c>
      <c r="AE414" s="110">
        <v>3.95</v>
      </c>
      <c r="AF414" s="110">
        <v>-0.76</v>
      </c>
      <c r="AG414" s="110">
        <v>109.8</v>
      </c>
      <c r="AH414" s="110">
        <v>-110.1</v>
      </c>
      <c r="AI414" s="110">
        <v>3.71</v>
      </c>
      <c r="AJ414" s="109">
        <v>-0.35</v>
      </c>
      <c r="AK414" s="113" t="s">
        <v>59</v>
      </c>
      <c r="AL414" s="107" t="s">
        <v>532</v>
      </c>
      <c r="AN414" s="107">
        <v>0.95199999999999996</v>
      </c>
      <c r="AO414" s="48">
        <f t="shared" si="509"/>
        <v>139781105.898</v>
      </c>
      <c r="AP414" s="156">
        <f t="shared" si="510"/>
        <v>97846774.128600001</v>
      </c>
      <c r="AQ414" s="161">
        <f t="shared" si="511"/>
        <v>13819167833.087959</v>
      </c>
      <c r="AR414" s="163">
        <f t="shared" si="512"/>
        <v>6.4401157406806027</v>
      </c>
      <c r="AS414" s="49">
        <f t="shared" si="513"/>
        <v>0.30238095238095236</v>
      </c>
      <c r="AT414" s="165">
        <f t="shared" si="514"/>
        <v>42.144277777777774</v>
      </c>
      <c r="AU414" s="254">
        <f t="shared" si="503"/>
        <v>198976.66320000001</v>
      </c>
      <c r="AV414" s="255">
        <f t="shared" si="504"/>
        <v>465230.13680000004</v>
      </c>
      <c r="AW414" s="256">
        <f t="shared" si="505"/>
        <v>0.42769512862735937</v>
      </c>
    </row>
    <row r="415" spans="1:70">
      <c r="A415" s="108">
        <v>413</v>
      </c>
      <c r="F415" s="45">
        <v>43135.83792824074</v>
      </c>
      <c r="G415" s="45">
        <v>43135.880995370368</v>
      </c>
      <c r="H415" s="53">
        <f>G415-F415-SUM('user time'!P141:P143)</f>
        <v>4.224537036790188E-2</v>
      </c>
      <c r="I415" s="86">
        <v>50.88</v>
      </c>
      <c r="J415" s="109" t="s">
        <v>260</v>
      </c>
      <c r="K415" s="88" t="s">
        <v>72</v>
      </c>
      <c r="L415" s="88" t="s">
        <v>73</v>
      </c>
      <c r="M415" s="88">
        <v>-369</v>
      </c>
      <c r="N415" s="108">
        <v>1</v>
      </c>
      <c r="O415" s="108">
        <v>200</v>
      </c>
      <c r="P415" s="88">
        <v>348</v>
      </c>
      <c r="Q415" s="88" t="s">
        <v>75</v>
      </c>
      <c r="R415" s="88" t="s">
        <v>348</v>
      </c>
      <c r="S415" s="110">
        <v>10000</v>
      </c>
      <c r="T415" s="110">
        <v>914</v>
      </c>
      <c r="U415" s="88">
        <v>983</v>
      </c>
      <c r="V415" s="90">
        <v>1500</v>
      </c>
      <c r="W415" s="111">
        <v>10</v>
      </c>
      <c r="X415" s="110">
        <v>48758</v>
      </c>
      <c r="Y415" s="110">
        <v>876552</v>
      </c>
      <c r="Z415" s="110">
        <v>6602818</v>
      </c>
      <c r="AA415" s="110">
        <v>2109230</v>
      </c>
      <c r="AB415" s="112">
        <v>4516905</v>
      </c>
      <c r="AC415" s="109">
        <v>160.1</v>
      </c>
      <c r="AD415" s="110">
        <v>-109.8</v>
      </c>
      <c r="AE415" s="110">
        <v>3.94</v>
      </c>
      <c r="AF415" s="110">
        <v>-0.76</v>
      </c>
      <c r="AG415" s="110">
        <v>109.8</v>
      </c>
      <c r="AH415" s="110">
        <v>-110.1</v>
      </c>
      <c r="AI415" s="110">
        <v>3.71</v>
      </c>
      <c r="AJ415" s="109">
        <v>-0.35</v>
      </c>
      <c r="AK415" s="113" t="s">
        <v>59</v>
      </c>
      <c r="AL415" s="107" t="s">
        <v>592</v>
      </c>
      <c r="AN415" s="107">
        <v>0.96</v>
      </c>
      <c r="AO415" s="48">
        <f t="shared" si="509"/>
        <v>142129652.30769229</v>
      </c>
      <c r="AP415" s="156">
        <f t="shared" si="510"/>
        <v>99490756.615384594</v>
      </c>
      <c r="AQ415" s="161">
        <f t="shared" si="511"/>
        <v>13918658589.703344</v>
      </c>
      <c r="AR415" s="163">
        <f t="shared" si="512"/>
        <v>6.4823611110485047</v>
      </c>
      <c r="AS415" s="49">
        <f t="shared" si="513"/>
        <v>0.30285714285714288</v>
      </c>
      <c r="AT415" s="165">
        <f t="shared" si="514"/>
        <v>42.447134920634916</v>
      </c>
      <c r="AU415" s="254">
        <f t="shared" si="503"/>
        <v>202486.08</v>
      </c>
      <c r="AV415" s="255">
        <f t="shared" si="504"/>
        <v>460127.42</v>
      </c>
      <c r="AW415" s="256">
        <f t="shared" si="505"/>
        <v>0.44006523236541739</v>
      </c>
    </row>
    <row r="416" spans="1:70">
      <c r="A416" s="108">
        <v>414</v>
      </c>
      <c r="F416" s="45">
        <v>43135.881030092591</v>
      </c>
      <c r="G416" s="45">
        <v>43135.923784722225</v>
      </c>
      <c r="H416" s="53">
        <f>G416-F416-'user time'!P144-'user time'!P145</f>
        <v>4.2164351856368243E-2</v>
      </c>
      <c r="I416" s="86">
        <v>50.83</v>
      </c>
      <c r="J416" s="109" t="s">
        <v>260</v>
      </c>
      <c r="K416" s="88" t="s">
        <v>72</v>
      </c>
      <c r="L416" s="88" t="s">
        <v>73</v>
      </c>
      <c r="M416" s="88">
        <v>-369</v>
      </c>
      <c r="N416" s="108">
        <v>1</v>
      </c>
      <c r="O416" s="108">
        <v>200</v>
      </c>
      <c r="P416" s="88">
        <v>348</v>
      </c>
      <c r="Q416" s="88" t="s">
        <v>75</v>
      </c>
      <c r="R416" s="88" t="s">
        <v>348</v>
      </c>
      <c r="S416" s="110">
        <v>10000</v>
      </c>
      <c r="T416" s="110">
        <v>898</v>
      </c>
      <c r="U416" s="88">
        <v>983</v>
      </c>
      <c r="V416" s="90">
        <v>1500</v>
      </c>
      <c r="W416" s="111">
        <v>10</v>
      </c>
      <c r="X416" s="110">
        <v>49408</v>
      </c>
      <c r="Y416" s="110">
        <v>874078</v>
      </c>
      <c r="Z416" s="110">
        <v>6556411</v>
      </c>
      <c r="AA416" s="110">
        <v>2093958</v>
      </c>
      <c r="AB416" s="112">
        <v>4486400</v>
      </c>
      <c r="AC416" s="109">
        <v>160.1</v>
      </c>
      <c r="AD416" s="110">
        <v>-109.8</v>
      </c>
      <c r="AE416" s="110">
        <v>3.94</v>
      </c>
      <c r="AF416" s="110">
        <v>-0.76</v>
      </c>
      <c r="AG416" s="110">
        <v>109.8</v>
      </c>
      <c r="AH416" s="110">
        <v>-110.1</v>
      </c>
      <c r="AI416" s="110">
        <v>3.71</v>
      </c>
      <c r="AJ416" s="109">
        <v>-0.36</v>
      </c>
      <c r="AK416" s="113" t="s">
        <v>59</v>
      </c>
      <c r="AL416" s="107" t="s">
        <v>537</v>
      </c>
      <c r="AN416" s="107">
        <v>0.96099999999999997</v>
      </c>
      <c r="AO416" s="48">
        <f t="shared" si="509"/>
        <v>140976648.52373078</v>
      </c>
      <c r="AP416" s="156">
        <f t="shared" si="510"/>
        <v>98683653.966611549</v>
      </c>
      <c r="AQ416" s="161">
        <f t="shared" si="511"/>
        <v>14017342243.669956</v>
      </c>
      <c r="AR416" s="163">
        <f t="shared" si="512"/>
        <v>6.5245254629048732</v>
      </c>
      <c r="AS416" s="49">
        <f t="shared" si="513"/>
        <v>0.30255952380952378</v>
      </c>
      <c r="AT416" s="165">
        <f t="shared" si="514"/>
        <v>42.749694444444437</v>
      </c>
      <c r="AU416" s="254">
        <f t="shared" si="503"/>
        <v>201229.36379999999</v>
      </c>
      <c r="AV416" s="255">
        <f t="shared" si="504"/>
        <v>456806.4362</v>
      </c>
      <c r="AW416" s="256">
        <f t="shared" si="505"/>
        <v>0.44051341630374341</v>
      </c>
    </row>
    <row r="417" spans="1:49">
      <c r="A417" s="108">
        <v>415</v>
      </c>
      <c r="F417" s="45">
        <v>43135.923831018517</v>
      </c>
      <c r="G417" s="45">
        <v>43135.96671296296</v>
      </c>
      <c r="H417" s="53">
        <f>G417-F417-'user time'!P146-'user time'!P147</f>
        <v>4.215277777567572E-2</v>
      </c>
      <c r="I417" s="86">
        <v>50.85</v>
      </c>
      <c r="J417" s="109" t="s">
        <v>260</v>
      </c>
      <c r="K417" s="88" t="s">
        <v>72</v>
      </c>
      <c r="L417" s="88" t="s">
        <v>73</v>
      </c>
      <c r="M417" s="88">
        <v>-369</v>
      </c>
      <c r="N417" s="108">
        <v>1</v>
      </c>
      <c r="O417" s="108">
        <v>200</v>
      </c>
      <c r="P417" s="88">
        <v>348</v>
      </c>
      <c r="Q417" s="88" t="s">
        <v>75</v>
      </c>
      <c r="R417" s="88" t="s">
        <v>348</v>
      </c>
      <c r="S417" s="110">
        <v>10000</v>
      </c>
      <c r="T417" s="110">
        <v>899</v>
      </c>
      <c r="U417" s="88">
        <v>983</v>
      </c>
      <c r="V417" s="90">
        <v>1500</v>
      </c>
      <c r="W417" s="111">
        <v>10</v>
      </c>
      <c r="X417" s="110">
        <v>49240</v>
      </c>
      <c r="Y417" s="110">
        <v>874505</v>
      </c>
      <c r="Z417" s="110">
        <v>6610856</v>
      </c>
      <c r="AA417" s="110">
        <v>2105957</v>
      </c>
      <c r="AB417" s="112">
        <v>4528455</v>
      </c>
      <c r="AC417" s="109">
        <v>160.1</v>
      </c>
      <c r="AD417" s="110">
        <v>-109.8</v>
      </c>
      <c r="AE417" s="110">
        <v>3.94</v>
      </c>
      <c r="AF417" s="110">
        <v>-0.76</v>
      </c>
      <c r="AG417" s="110">
        <v>109.8</v>
      </c>
      <c r="AH417" s="110">
        <v>-110.1</v>
      </c>
      <c r="AI417" s="110">
        <v>3.71</v>
      </c>
      <c r="AJ417" s="109">
        <v>-0.36</v>
      </c>
      <c r="AK417" s="113" t="s">
        <v>59</v>
      </c>
      <c r="AL417" s="107" t="s">
        <v>591</v>
      </c>
      <c r="AN417" s="107">
        <v>0.95899999999999996</v>
      </c>
      <c r="AO417" s="48">
        <f t="shared" si="509"/>
        <v>141450570.82396153</v>
      </c>
      <c r="AP417" s="156">
        <f t="shared" si="510"/>
        <v>99015399.576773062</v>
      </c>
      <c r="AQ417" s="161">
        <f t="shared" si="511"/>
        <v>14116357643.246729</v>
      </c>
      <c r="AR417" s="163">
        <f t="shared" si="512"/>
        <v>6.5666782406805488</v>
      </c>
      <c r="AS417" s="49">
        <f t="shared" si="513"/>
        <v>0.30267857142857146</v>
      </c>
      <c r="AT417" s="165">
        <f t="shared" si="514"/>
        <v>43.052373015873009</v>
      </c>
      <c r="AU417" s="254">
        <f t="shared" si="503"/>
        <v>201961.2763</v>
      </c>
      <c r="AV417" s="255">
        <f t="shared" si="504"/>
        <v>461479.92369999998</v>
      </c>
      <c r="AW417" s="256">
        <f t="shared" si="505"/>
        <v>0.43763827184666754</v>
      </c>
    </row>
    <row r="418" spans="1:49">
      <c r="A418" s="108">
        <v>416</v>
      </c>
      <c r="F418" s="45">
        <v>43135.966736111113</v>
      </c>
      <c r="G418" s="45">
        <v>43136.00886574074</v>
      </c>
      <c r="H418" s="53">
        <f>G418-F418-'user time'!P148-'user time'!P152</f>
        <v>4.1111111107769591E-2</v>
      </c>
      <c r="I418" s="86">
        <v>50.72</v>
      </c>
      <c r="J418" s="109" t="s">
        <v>260</v>
      </c>
      <c r="K418" s="88" t="s">
        <v>72</v>
      </c>
      <c r="L418" s="88" t="s">
        <v>73</v>
      </c>
      <c r="M418" s="88">
        <v>-369</v>
      </c>
      <c r="N418" s="108">
        <v>1</v>
      </c>
      <c r="O418" s="108">
        <v>200</v>
      </c>
      <c r="P418" s="88">
        <v>348</v>
      </c>
      <c r="Q418" s="88" t="s">
        <v>75</v>
      </c>
      <c r="R418" s="88" t="s">
        <v>348</v>
      </c>
      <c r="S418" s="110">
        <v>10000</v>
      </c>
      <c r="T418" s="110">
        <v>904</v>
      </c>
      <c r="U418" s="88">
        <v>983</v>
      </c>
      <c r="V418" s="90">
        <v>1500</v>
      </c>
      <c r="W418" s="111">
        <v>10</v>
      </c>
      <c r="X418" s="110">
        <v>49101</v>
      </c>
      <c r="Y418" s="110">
        <v>874703</v>
      </c>
      <c r="Z418" s="110">
        <v>6564901</v>
      </c>
      <c r="AA418" s="110">
        <v>2094273</v>
      </c>
      <c r="AB418" s="112">
        <v>4493845</v>
      </c>
      <c r="AC418" s="109">
        <v>160.1</v>
      </c>
      <c r="AD418" s="110">
        <v>-109.8</v>
      </c>
      <c r="AE418" s="110">
        <v>3.94</v>
      </c>
      <c r="AF418" s="110">
        <v>-0.76</v>
      </c>
      <c r="AG418" s="110">
        <v>109.8</v>
      </c>
      <c r="AH418" s="110">
        <v>-110.1</v>
      </c>
      <c r="AI418" s="110">
        <v>3.71</v>
      </c>
      <c r="AJ418" s="109">
        <v>-0.36</v>
      </c>
      <c r="AK418" s="113" t="s">
        <v>59</v>
      </c>
      <c r="AL418" s="107" t="s">
        <v>537</v>
      </c>
      <c r="AN418" s="107">
        <v>0.95699999999999996</v>
      </c>
      <c r="AO418" s="48">
        <f t="shared" si="509"/>
        <v>136903592.59753844</v>
      </c>
      <c r="AP418" s="156">
        <f t="shared" si="510"/>
        <v>95832514.818276897</v>
      </c>
      <c r="AQ418" s="161">
        <f t="shared" si="511"/>
        <v>14212190158.065006</v>
      </c>
      <c r="AR418" s="163">
        <f t="shared" si="512"/>
        <v>6.6077893517883188</v>
      </c>
      <c r="AS418" s="49">
        <f t="shared" si="513"/>
        <v>0.2968730158730159</v>
      </c>
      <c r="AT418" s="165">
        <f t="shared" si="514"/>
        <v>43.349246031746027</v>
      </c>
      <c r="AU418" s="254">
        <f t="shared" si="503"/>
        <v>200421.92609999998</v>
      </c>
      <c r="AV418" s="255">
        <f t="shared" si="504"/>
        <v>458389.87390000001</v>
      </c>
      <c r="AW418" s="256">
        <f t="shared" si="505"/>
        <v>0.43723026513391744</v>
      </c>
    </row>
    <row r="419" spans="1:49">
      <c r="A419" s="108">
        <v>417</v>
      </c>
      <c r="F419" s="45">
        <v>43136.009293981479</v>
      </c>
      <c r="G419" s="45">
        <v>43136.050694444442</v>
      </c>
      <c r="H419" s="53">
        <f>G419-F419-'user time'!P153</f>
        <v>4.0763888889718887E-2</v>
      </c>
      <c r="I419" s="86">
        <v>50.65</v>
      </c>
      <c r="J419" s="109" t="s">
        <v>260</v>
      </c>
      <c r="K419" s="88" t="s">
        <v>72</v>
      </c>
      <c r="L419" s="88" t="s">
        <v>73</v>
      </c>
      <c r="M419" s="88">
        <v>-369</v>
      </c>
      <c r="N419" s="108">
        <v>1</v>
      </c>
      <c r="O419" s="108">
        <v>200</v>
      </c>
      <c r="P419" s="88">
        <v>348</v>
      </c>
      <c r="Q419" s="88" t="s">
        <v>75</v>
      </c>
      <c r="R419" s="88" t="s">
        <v>348</v>
      </c>
      <c r="S419" s="110">
        <v>10200</v>
      </c>
      <c r="T419" s="110">
        <v>901</v>
      </c>
      <c r="U419" s="88">
        <v>983</v>
      </c>
      <c r="V419" s="90">
        <v>1500</v>
      </c>
      <c r="W419" s="111">
        <v>10</v>
      </c>
      <c r="X419" s="110">
        <v>49401</v>
      </c>
      <c r="Y419" s="110">
        <v>873069</v>
      </c>
      <c r="Z419" s="110">
        <v>6559624</v>
      </c>
      <c r="AA419" s="110">
        <v>2088386</v>
      </c>
      <c r="AB419" s="112">
        <v>4494759</v>
      </c>
      <c r="AC419" s="109">
        <v>160.1</v>
      </c>
      <c r="AD419" s="110">
        <v>-109.8</v>
      </c>
      <c r="AE419" s="110">
        <v>3.95</v>
      </c>
      <c r="AF419" s="110">
        <v>-0.76</v>
      </c>
      <c r="AG419" s="110">
        <v>109.8</v>
      </c>
      <c r="AH419" s="110">
        <v>-110.1</v>
      </c>
      <c r="AI419" s="110">
        <v>3.71</v>
      </c>
      <c r="AJ419" s="109">
        <v>-0.35</v>
      </c>
      <c r="AK419" s="113" t="s">
        <v>59</v>
      </c>
      <c r="AL419" s="107" t="s">
        <v>181</v>
      </c>
      <c r="AN419" s="107">
        <v>0.96</v>
      </c>
      <c r="AO419" s="48">
        <f t="shared" si="509"/>
        <v>135790070.62153843</v>
      </c>
      <c r="AP419" s="156">
        <f t="shared" si="510"/>
        <v>95053049.435076892</v>
      </c>
      <c r="AQ419" s="161">
        <f t="shared" si="511"/>
        <v>14307243207.500084</v>
      </c>
      <c r="AR419" s="163">
        <f t="shared" si="512"/>
        <v>6.6485532406780381</v>
      </c>
      <c r="AS419" s="49">
        <f t="shared" si="513"/>
        <v>0.29143849206349204</v>
      </c>
      <c r="AT419" s="165">
        <f t="shared" si="514"/>
        <v>43.640684523809519</v>
      </c>
      <c r="AU419" s="254">
        <f t="shared" si="503"/>
        <v>200485.05600000001</v>
      </c>
      <c r="AV419" s="255">
        <f t="shared" si="504"/>
        <v>457829.44400000002</v>
      </c>
      <c r="AW419" s="256">
        <f t="shared" si="505"/>
        <v>0.4379033690982968</v>
      </c>
    </row>
    <row r="420" spans="1:49">
      <c r="A420" s="108">
        <v>418</v>
      </c>
      <c r="F420" s="45">
        <v>43136.050729166665</v>
      </c>
      <c r="G420" s="45">
        <v>43136.091990740744</v>
      </c>
      <c r="H420" s="53">
        <f>G420-F420</f>
        <v>4.1261574078816921E-2</v>
      </c>
      <c r="I420" s="86">
        <v>50.77</v>
      </c>
      <c r="J420" s="109" t="s">
        <v>260</v>
      </c>
      <c r="K420" s="88" t="s">
        <v>72</v>
      </c>
      <c r="L420" s="88" t="s">
        <v>73</v>
      </c>
      <c r="M420" s="88">
        <v>-369</v>
      </c>
      <c r="N420" s="108">
        <v>1</v>
      </c>
      <c r="O420" s="108">
        <v>200</v>
      </c>
      <c r="P420" s="88">
        <v>348</v>
      </c>
      <c r="Q420" s="88" t="s">
        <v>75</v>
      </c>
      <c r="R420" s="88" t="s">
        <v>348</v>
      </c>
      <c r="S420" s="110">
        <v>10100</v>
      </c>
      <c r="T420" s="110">
        <v>905</v>
      </c>
      <c r="U420" s="88">
        <v>983</v>
      </c>
      <c r="V420" s="90">
        <v>1500</v>
      </c>
      <c r="W420" s="111">
        <v>10</v>
      </c>
      <c r="X420" s="110">
        <v>49123</v>
      </c>
      <c r="Y420" s="110">
        <v>873894</v>
      </c>
      <c r="Z420" s="110">
        <v>6559526</v>
      </c>
      <c r="AA420" s="110">
        <v>2086222</v>
      </c>
      <c r="AB420" s="112">
        <v>4497419</v>
      </c>
      <c r="AC420" s="109">
        <v>160.1</v>
      </c>
      <c r="AD420" s="110">
        <v>-109.8</v>
      </c>
      <c r="AE420" s="110">
        <v>3.95</v>
      </c>
      <c r="AF420" s="110">
        <v>-0.76</v>
      </c>
      <c r="AG420" s="110">
        <v>109.8</v>
      </c>
      <c r="AH420" s="110">
        <v>-110.1</v>
      </c>
      <c r="AI420" s="110">
        <v>3.71</v>
      </c>
      <c r="AJ420" s="109">
        <v>-0.35</v>
      </c>
      <c r="AK420" s="113" t="s">
        <v>59</v>
      </c>
      <c r="AL420" s="107" t="s">
        <v>181</v>
      </c>
      <c r="AN420" s="107">
        <v>0.98099999999999998</v>
      </c>
      <c r="AO420" s="48">
        <f t="shared" si="509"/>
        <v>140309061.20826924</v>
      </c>
      <c r="AP420" s="156">
        <f t="shared" si="510"/>
        <v>98216342.845788464</v>
      </c>
      <c r="AQ420" s="161">
        <f t="shared" si="511"/>
        <v>14405459550.345873</v>
      </c>
      <c r="AR420" s="163">
        <f t="shared" si="512"/>
        <v>6.689814814756855</v>
      </c>
      <c r="AS420" s="49">
        <f t="shared" si="513"/>
        <v>0.29716567460317467</v>
      </c>
      <c r="AT420" s="165">
        <f t="shared" si="514"/>
        <v>43.93785019841269</v>
      </c>
      <c r="AU420" s="254">
        <f t="shared" si="503"/>
        <v>204658.37820000001</v>
      </c>
      <c r="AV420" s="255">
        <f t="shared" si="504"/>
        <v>453705.7218</v>
      </c>
      <c r="AW420" s="256">
        <f t="shared" si="505"/>
        <v>0.45108176592539506</v>
      </c>
    </row>
    <row r="421" spans="1:49">
      <c r="A421" s="108">
        <v>419</v>
      </c>
      <c r="F421" s="45">
        <v>43136.09202546296</v>
      </c>
      <c r="G421" s="45">
        <v>43136.148414351854</v>
      </c>
      <c r="H421" s="53">
        <f>G421-F421-'user time'!P154</f>
        <v>4.0891203708522006E-2</v>
      </c>
      <c r="I421" s="86">
        <v>50.82</v>
      </c>
      <c r="J421" s="109" t="s">
        <v>260</v>
      </c>
      <c r="K421" s="88" t="s">
        <v>72</v>
      </c>
      <c r="L421" s="88" t="s">
        <v>73</v>
      </c>
      <c r="M421" s="88">
        <v>-369</v>
      </c>
      <c r="N421" s="108">
        <v>1</v>
      </c>
      <c r="O421" s="108">
        <v>200</v>
      </c>
      <c r="P421" s="88">
        <v>348</v>
      </c>
      <c r="Q421" s="88" t="s">
        <v>75</v>
      </c>
      <c r="R421" s="88" t="s">
        <v>348</v>
      </c>
      <c r="S421" s="110">
        <v>10100</v>
      </c>
      <c r="T421" s="110">
        <v>903</v>
      </c>
      <c r="U421" s="88">
        <v>983</v>
      </c>
      <c r="V421" s="90">
        <v>1500</v>
      </c>
      <c r="W421" s="111">
        <v>10</v>
      </c>
      <c r="X421" s="110">
        <v>49015</v>
      </c>
      <c r="Y421" s="110">
        <v>874146</v>
      </c>
      <c r="Z421" s="110">
        <v>6547949</v>
      </c>
      <c r="AA421" s="110">
        <v>2090340</v>
      </c>
      <c r="AB421" s="112">
        <v>4481295</v>
      </c>
      <c r="AC421" s="109">
        <v>160.1</v>
      </c>
      <c r="AD421" s="110">
        <v>-109.8</v>
      </c>
      <c r="AE421" s="110">
        <v>3.94</v>
      </c>
      <c r="AF421" s="110">
        <v>-0.76</v>
      </c>
      <c r="AG421" s="110">
        <v>109.8</v>
      </c>
      <c r="AH421" s="110">
        <v>-110.1</v>
      </c>
      <c r="AI421" s="110">
        <v>3.71</v>
      </c>
      <c r="AJ421" s="109">
        <v>-0.35</v>
      </c>
      <c r="AK421" s="113" t="s">
        <v>59</v>
      </c>
      <c r="AL421" s="107" t="s">
        <v>181</v>
      </c>
      <c r="AN421" s="107">
        <v>0.96199999999999997</v>
      </c>
      <c r="AO421" s="48">
        <f t="shared" si="509"/>
        <v>136625667.56999999</v>
      </c>
      <c r="AP421" s="156">
        <f t="shared" si="510"/>
        <v>95637967.298999995</v>
      </c>
      <c r="AQ421" s="161">
        <f t="shared" si="511"/>
        <v>14501097517.644873</v>
      </c>
      <c r="AR421" s="163">
        <f t="shared" si="512"/>
        <v>6.7307060184653773</v>
      </c>
      <c r="AS421" s="49">
        <f t="shared" si="513"/>
        <v>0.29241666666666666</v>
      </c>
      <c r="AT421" s="165">
        <f t="shared" si="514"/>
        <v>44.230266865079358</v>
      </c>
      <c r="AU421" s="254">
        <f t="shared" si="503"/>
        <v>201090.70799999998</v>
      </c>
      <c r="AV421" s="255">
        <f t="shared" si="504"/>
        <v>456072.79200000002</v>
      </c>
      <c r="AW421" s="256">
        <f t="shared" si="505"/>
        <v>0.44091801029867173</v>
      </c>
    </row>
    <row r="422" spans="1:49">
      <c r="A422" s="108">
        <v>420</v>
      </c>
      <c r="F422" s="45">
        <v>43136.148414351854</v>
      </c>
      <c r="G422" s="45">
        <v>43136.189687500002</v>
      </c>
      <c r="H422" s="53">
        <f>G422-F422</f>
        <v>4.1273148148320615E-2</v>
      </c>
      <c r="I422" s="86">
        <v>50.7</v>
      </c>
      <c r="J422" s="109" t="s">
        <v>260</v>
      </c>
      <c r="K422" s="88" t="s">
        <v>72</v>
      </c>
      <c r="L422" s="88" t="s">
        <v>73</v>
      </c>
      <c r="M422" s="88">
        <v>-369</v>
      </c>
      <c r="N422" s="108">
        <v>1</v>
      </c>
      <c r="O422" s="108">
        <v>200</v>
      </c>
      <c r="P422" s="88">
        <v>348</v>
      </c>
      <c r="Q422" s="88" t="s">
        <v>75</v>
      </c>
      <c r="R422" s="88" t="s">
        <v>348</v>
      </c>
      <c r="S422" s="110">
        <v>10200</v>
      </c>
      <c r="T422" s="110">
        <v>907</v>
      </c>
      <c r="U422" s="88">
        <v>983</v>
      </c>
      <c r="V422" s="90">
        <v>1500</v>
      </c>
      <c r="W422" s="111">
        <v>10</v>
      </c>
      <c r="X422" s="110">
        <v>48881</v>
      </c>
      <c r="Y422" s="110">
        <v>874178</v>
      </c>
      <c r="Z422" s="110">
        <v>6566645</v>
      </c>
      <c r="AA422" s="110">
        <v>2096680</v>
      </c>
      <c r="AB422" s="112">
        <v>4493239</v>
      </c>
      <c r="AC422" s="109">
        <v>160.1</v>
      </c>
      <c r="AD422" s="110">
        <v>-109.8</v>
      </c>
      <c r="AE422" s="110">
        <v>3.94</v>
      </c>
      <c r="AF422" s="110">
        <v>-0.76</v>
      </c>
      <c r="AG422" s="110">
        <v>109.8</v>
      </c>
      <c r="AH422" s="110">
        <v>-110.1</v>
      </c>
      <c r="AI422" s="110">
        <v>3.71</v>
      </c>
      <c r="AJ422" s="109">
        <v>-0.35</v>
      </c>
      <c r="AK422" s="113" t="s">
        <v>59</v>
      </c>
      <c r="AL422" s="107" t="s">
        <v>181</v>
      </c>
      <c r="AN422" s="107">
        <v>0.96099999999999997</v>
      </c>
      <c r="AO422" s="48">
        <f t="shared" si="509"/>
        <v>138176292.41692308</v>
      </c>
      <c r="AP422" s="156">
        <f t="shared" si="510"/>
        <v>96723404.691846147</v>
      </c>
      <c r="AQ422" s="161">
        <f t="shared" si="511"/>
        <v>14597820922.33672</v>
      </c>
      <c r="AR422" s="163">
        <f t="shared" si="512"/>
        <v>6.7719791666136979</v>
      </c>
      <c r="AS422" s="49">
        <f t="shared" si="513"/>
        <v>0.29675595238095243</v>
      </c>
      <c r="AT422" s="165">
        <f t="shared" si="514"/>
        <v>44.527022817460313</v>
      </c>
      <c r="AU422" s="254">
        <f t="shared" si="503"/>
        <v>201490.948</v>
      </c>
      <c r="AV422" s="255">
        <f t="shared" si="504"/>
        <v>457500.95200000005</v>
      </c>
      <c r="AW422" s="256">
        <f t="shared" si="505"/>
        <v>0.4404164562263031</v>
      </c>
    </row>
    <row r="423" spans="1:49">
      <c r="A423" s="108">
        <v>421</v>
      </c>
      <c r="F423" s="45">
        <v>43136.189733796295</v>
      </c>
      <c r="G423" s="45">
        <v>43136.231006944443</v>
      </c>
      <c r="H423" s="53">
        <f>G423-F423-SUM('user time'!P155:P157)</f>
        <v>4.0104166666839136E-2</v>
      </c>
      <c r="I423" s="86">
        <v>50.88</v>
      </c>
      <c r="J423" s="109" t="s">
        <v>260</v>
      </c>
      <c r="K423" s="88" t="s">
        <v>72</v>
      </c>
      <c r="L423" s="88" t="s">
        <v>73</v>
      </c>
      <c r="M423" s="88">
        <v>-369</v>
      </c>
      <c r="N423" s="108">
        <v>1</v>
      </c>
      <c r="O423" s="108">
        <v>200</v>
      </c>
      <c r="P423" s="88">
        <v>348</v>
      </c>
      <c r="Q423" s="88" t="s">
        <v>75</v>
      </c>
      <c r="R423" s="88" t="s">
        <v>348</v>
      </c>
      <c r="S423" s="110">
        <v>10200</v>
      </c>
      <c r="T423" s="110">
        <v>909</v>
      </c>
      <c r="U423" s="88">
        <v>983</v>
      </c>
      <c r="V423" s="90">
        <v>1500</v>
      </c>
      <c r="W423" s="111">
        <v>10</v>
      </c>
      <c r="X423" s="110">
        <v>49074</v>
      </c>
      <c r="Y423" s="110">
        <v>874385</v>
      </c>
      <c r="Z423" s="110">
        <v>6560869</v>
      </c>
      <c r="AA423" s="110">
        <v>2097116</v>
      </c>
      <c r="AB423" s="112">
        <v>4486970</v>
      </c>
      <c r="AC423" s="109">
        <v>160.1</v>
      </c>
      <c r="AD423" s="110">
        <v>-109.8</v>
      </c>
      <c r="AE423" s="110">
        <v>3.95</v>
      </c>
      <c r="AF423" s="110">
        <v>-0.76</v>
      </c>
      <c r="AG423" s="110">
        <v>109.8</v>
      </c>
      <c r="AH423" s="110">
        <v>-110.1</v>
      </c>
      <c r="AI423" s="110">
        <v>3.71</v>
      </c>
      <c r="AJ423" s="109">
        <v>-0.35</v>
      </c>
      <c r="AK423" s="113" t="s">
        <v>59</v>
      </c>
      <c r="AL423" s="107" t="s">
        <v>181</v>
      </c>
      <c r="AN423" s="107">
        <v>0.95799999999999996</v>
      </c>
      <c r="AO423" s="48">
        <f t="shared" si="509"/>
        <v>133871416.31769229</v>
      </c>
      <c r="AP423" s="156">
        <f t="shared" si="510"/>
        <v>93709991.422384605</v>
      </c>
      <c r="AQ423" s="161">
        <f t="shared" si="511"/>
        <v>14691530913.759104</v>
      </c>
      <c r="AR423" s="163">
        <f t="shared" si="512"/>
        <v>6.8120833332805368</v>
      </c>
      <c r="AS423" s="49">
        <f t="shared" si="513"/>
        <v>0.28771428571428576</v>
      </c>
      <c r="AT423" s="165">
        <f t="shared" si="514"/>
        <v>44.8147371031746</v>
      </c>
      <c r="AU423" s="254">
        <f t="shared" si="503"/>
        <v>200903.71280000001</v>
      </c>
      <c r="AV423" s="255">
        <f t="shared" si="504"/>
        <v>457504.8872</v>
      </c>
      <c r="AW423" s="256">
        <f t="shared" si="505"/>
        <v>0.43912910751524759</v>
      </c>
    </row>
    <row r="424" spans="1:49">
      <c r="A424" s="108">
        <v>422</v>
      </c>
      <c r="F424" s="45">
        <v>43136.231030092589</v>
      </c>
      <c r="G424" s="45">
        <v>43136.272210648145</v>
      </c>
      <c r="H424" s="53">
        <f>G424-F424-'user time'!P158</f>
        <v>4.0844907407763115E-2</v>
      </c>
      <c r="I424" s="86">
        <v>50.84</v>
      </c>
      <c r="J424" s="109" t="s">
        <v>260</v>
      </c>
      <c r="K424" s="88" t="s">
        <v>72</v>
      </c>
      <c r="L424" s="88" t="s">
        <v>73</v>
      </c>
      <c r="M424" s="88">
        <v>-369</v>
      </c>
      <c r="N424" s="108">
        <v>1</v>
      </c>
      <c r="O424" s="108">
        <v>200</v>
      </c>
      <c r="P424" s="88">
        <v>348</v>
      </c>
      <c r="Q424" s="88" t="s">
        <v>75</v>
      </c>
      <c r="R424" s="88" t="s">
        <v>348</v>
      </c>
      <c r="S424" s="110">
        <v>10200</v>
      </c>
      <c r="T424" s="110">
        <v>907</v>
      </c>
      <c r="U424" s="88">
        <v>983</v>
      </c>
      <c r="V424" s="90">
        <v>1500</v>
      </c>
      <c r="W424" s="111">
        <v>10</v>
      </c>
      <c r="X424" s="110">
        <v>48707</v>
      </c>
      <c r="Y424" s="110">
        <v>875054</v>
      </c>
      <c r="Z424" s="110">
        <v>6558807</v>
      </c>
      <c r="AA424" s="110">
        <v>2096000</v>
      </c>
      <c r="AB424" s="112">
        <v>4485918</v>
      </c>
      <c r="AC424" s="109">
        <v>160.1</v>
      </c>
      <c r="AD424" s="110">
        <v>-109.8</v>
      </c>
      <c r="AE424" s="110">
        <v>3.95</v>
      </c>
      <c r="AF424" s="110">
        <v>-0.76</v>
      </c>
      <c r="AG424" s="110">
        <v>109.8</v>
      </c>
      <c r="AH424" s="110">
        <v>-110.1</v>
      </c>
      <c r="AI424" s="110">
        <v>3.71</v>
      </c>
      <c r="AJ424" s="109">
        <v>-0.36</v>
      </c>
      <c r="AK424" s="113" t="s">
        <v>59</v>
      </c>
      <c r="AL424" s="107" t="s">
        <v>181</v>
      </c>
      <c r="AN424" s="107">
        <v>0.96</v>
      </c>
      <c r="AO424" s="48">
        <f t="shared" si="509"/>
        <v>136556012.30769229</v>
      </c>
      <c r="AP424" s="156">
        <f t="shared" si="510"/>
        <v>95589208.615384594</v>
      </c>
      <c r="AQ424" s="161">
        <f t="shared" si="511"/>
        <v>14787120122.374489</v>
      </c>
      <c r="AR424" s="163">
        <f t="shared" si="512"/>
        <v>6.8529282406882999</v>
      </c>
      <c r="AS424" s="49">
        <f t="shared" si="513"/>
        <v>0.29253174603174609</v>
      </c>
      <c r="AT424" s="165">
        <f t="shared" si="514"/>
        <v>45.107268849206349</v>
      </c>
      <c r="AU424" s="254">
        <f t="shared" si="503"/>
        <v>201216</v>
      </c>
      <c r="AV424" s="255">
        <f t="shared" si="504"/>
        <v>456975.8</v>
      </c>
      <c r="AW424" s="256">
        <f t="shared" si="505"/>
        <v>0.44032090977246496</v>
      </c>
    </row>
    <row r="425" spans="1:49">
      <c r="A425" s="108">
        <v>423</v>
      </c>
      <c r="F425" s="45">
        <v>43136.272245370368</v>
      </c>
      <c r="G425" s="45">
        <v>43136.313460648147</v>
      </c>
      <c r="H425" s="53">
        <f>G425-F425</f>
        <v>4.1215277778974269E-2</v>
      </c>
      <c r="I425" s="86">
        <v>50.84</v>
      </c>
      <c r="J425" s="109" t="s">
        <v>260</v>
      </c>
      <c r="K425" s="88" t="s">
        <v>72</v>
      </c>
      <c r="L425" s="88" t="s">
        <v>73</v>
      </c>
      <c r="M425" s="88">
        <v>-369</v>
      </c>
      <c r="N425" s="108">
        <v>1</v>
      </c>
      <c r="O425" s="108">
        <v>200</v>
      </c>
      <c r="P425" s="88">
        <v>348</v>
      </c>
      <c r="Q425" s="88" t="s">
        <v>75</v>
      </c>
      <c r="R425" s="88" t="s">
        <v>348</v>
      </c>
      <c r="S425" s="110">
        <v>10100</v>
      </c>
      <c r="T425" s="110">
        <v>891</v>
      </c>
      <c r="U425" s="88">
        <v>983</v>
      </c>
      <c r="V425" s="90">
        <v>1500</v>
      </c>
      <c r="W425" s="111">
        <v>10</v>
      </c>
      <c r="X425" s="110">
        <v>48893</v>
      </c>
      <c r="Y425" s="110">
        <v>874183</v>
      </c>
      <c r="Z425" s="110">
        <v>6558354</v>
      </c>
      <c r="AA425" s="110">
        <v>2095138</v>
      </c>
      <c r="AB425" s="112">
        <v>4486586</v>
      </c>
      <c r="AC425" s="109">
        <v>160.1</v>
      </c>
      <c r="AD425" s="110">
        <v>-109.8</v>
      </c>
      <c r="AE425" s="110">
        <v>3.95</v>
      </c>
      <c r="AF425" s="110">
        <v>-0.77</v>
      </c>
      <c r="AG425" s="110">
        <v>109.8</v>
      </c>
      <c r="AH425" s="110">
        <v>-110.1</v>
      </c>
      <c r="AI425" s="110">
        <v>3.71</v>
      </c>
      <c r="AJ425" s="109">
        <v>-0.35</v>
      </c>
      <c r="AK425" s="113" t="s">
        <v>59</v>
      </c>
      <c r="AL425" s="107" t="s">
        <v>181</v>
      </c>
      <c r="AN425" s="107">
        <v>0.95899999999999996</v>
      </c>
      <c r="AO425" s="48">
        <f t="shared" si="509"/>
        <v>137594118.74734613</v>
      </c>
      <c r="AP425" s="156">
        <f t="shared" si="510"/>
        <v>96315883.123142287</v>
      </c>
      <c r="AQ425" s="161">
        <f t="shared" si="511"/>
        <v>14883436005.497631</v>
      </c>
      <c r="AR425" s="163">
        <f t="shared" si="512"/>
        <v>6.8941435184672741</v>
      </c>
      <c r="AS425" s="49">
        <f t="shared" si="513"/>
        <v>0.29757539682539685</v>
      </c>
      <c r="AT425" s="165">
        <f t="shared" si="514"/>
        <v>45.404844246031743</v>
      </c>
      <c r="AU425" s="254">
        <f t="shared" si="503"/>
        <v>200923.73419999998</v>
      </c>
      <c r="AV425" s="255">
        <f t="shared" si="504"/>
        <v>457248.66579999996</v>
      </c>
      <c r="AW425" s="256">
        <f t="shared" si="505"/>
        <v>0.43941896221493576</v>
      </c>
    </row>
    <row r="426" spans="1:49">
      <c r="A426" s="108">
        <v>424</v>
      </c>
      <c r="F426" s="45">
        <v>43136.31349537037</v>
      </c>
      <c r="G426" s="45">
        <v>43136.354687500003</v>
      </c>
      <c r="H426" s="53">
        <f>G426-F426-'user time'!P159</f>
        <v>4.0972222225283517E-2</v>
      </c>
      <c r="I426" s="86">
        <v>50.87</v>
      </c>
      <c r="J426" s="109" t="s">
        <v>260</v>
      </c>
      <c r="K426" s="88" t="s">
        <v>72</v>
      </c>
      <c r="L426" s="88" t="s">
        <v>73</v>
      </c>
      <c r="M426" s="88">
        <v>-369</v>
      </c>
      <c r="N426" s="108">
        <v>1</v>
      </c>
      <c r="O426" s="108">
        <v>200</v>
      </c>
      <c r="P426" s="88">
        <v>348</v>
      </c>
      <c r="Q426" s="88" t="s">
        <v>75</v>
      </c>
      <c r="R426" s="88" t="s">
        <v>348</v>
      </c>
      <c r="S426" s="110">
        <v>10200</v>
      </c>
      <c r="T426" s="110">
        <v>916</v>
      </c>
      <c r="U426" s="88">
        <v>983</v>
      </c>
      <c r="V426" s="90">
        <v>1500</v>
      </c>
      <c r="W426" s="111">
        <v>10</v>
      </c>
      <c r="X426" s="110">
        <v>48702</v>
      </c>
      <c r="Y426" s="110">
        <v>874168</v>
      </c>
      <c r="Z426" s="110">
        <v>6568801</v>
      </c>
      <c r="AA426" s="110">
        <v>2097981</v>
      </c>
      <c r="AB426" s="112">
        <v>4494379</v>
      </c>
      <c r="AC426" s="109">
        <v>160.1</v>
      </c>
      <c r="AD426" s="110">
        <v>-109.8</v>
      </c>
      <c r="AE426" s="110">
        <v>3.95</v>
      </c>
      <c r="AF426" s="110">
        <v>-0.77</v>
      </c>
      <c r="AG426" s="110">
        <v>109.8</v>
      </c>
      <c r="AH426" s="110">
        <v>-110.1</v>
      </c>
      <c r="AI426" s="110">
        <v>3.71</v>
      </c>
      <c r="AJ426" s="109">
        <v>-0.36</v>
      </c>
      <c r="AK426" s="113" t="s">
        <v>59</v>
      </c>
      <c r="AL426" s="107" t="s">
        <v>181</v>
      </c>
      <c r="AN426" s="107">
        <v>0.96099999999999997</v>
      </c>
      <c r="AO426" s="48">
        <f t="shared" si="509"/>
        <v>137253951.59884614</v>
      </c>
      <c r="AP426" s="156">
        <f t="shared" si="510"/>
        <v>96077766.119192287</v>
      </c>
      <c r="AQ426" s="161">
        <f t="shared" si="511"/>
        <v>14979513771.616823</v>
      </c>
      <c r="AR426" s="163">
        <f t="shared" si="512"/>
        <v>6.9351157406925577</v>
      </c>
      <c r="AS426" s="49">
        <f t="shared" si="513"/>
        <v>0.29775099206349204</v>
      </c>
      <c r="AT426" s="165">
        <f t="shared" si="514"/>
        <v>45.702595238095235</v>
      </c>
      <c r="AU426" s="254">
        <f t="shared" si="503"/>
        <v>201615.97409999999</v>
      </c>
      <c r="AV426" s="255">
        <f t="shared" si="504"/>
        <v>457620.02590000001</v>
      </c>
      <c r="AW426" s="256">
        <f t="shared" si="505"/>
        <v>0.44057506815503195</v>
      </c>
    </row>
    <row r="427" spans="1:49">
      <c r="A427" s="108">
        <v>425</v>
      </c>
      <c r="F427" s="45">
        <v>43136.354745370372</v>
      </c>
      <c r="G427" s="45">
        <v>43136.396354166667</v>
      </c>
      <c r="H427" s="53">
        <f>G427-F427-'user time'!P160-'user time'!P161</f>
        <v>4.1226851850450441E-2</v>
      </c>
      <c r="I427" s="86">
        <v>50.68</v>
      </c>
      <c r="J427" s="109" t="s">
        <v>260</v>
      </c>
      <c r="K427" s="88" t="s">
        <v>72</v>
      </c>
      <c r="L427" s="88" t="s">
        <v>73</v>
      </c>
      <c r="M427" s="88">
        <v>-369</v>
      </c>
      <c r="N427" s="108">
        <v>1</v>
      </c>
      <c r="O427" s="108">
        <v>200</v>
      </c>
      <c r="P427" s="88">
        <v>348</v>
      </c>
      <c r="Q427" s="88" t="s">
        <v>75</v>
      </c>
      <c r="R427" s="88" t="s">
        <v>348</v>
      </c>
      <c r="S427" s="110">
        <v>10100</v>
      </c>
      <c r="T427" s="110">
        <v>915</v>
      </c>
      <c r="U427" s="88">
        <v>983</v>
      </c>
      <c r="V427" s="90">
        <v>1500</v>
      </c>
      <c r="W427" s="111">
        <v>10</v>
      </c>
      <c r="X427" s="110">
        <v>48831</v>
      </c>
      <c r="Y427" s="110">
        <v>874271</v>
      </c>
      <c r="Z427" s="110">
        <v>6566273</v>
      </c>
      <c r="AA427" s="110">
        <v>2096852</v>
      </c>
      <c r="AB427" s="112">
        <v>4492413</v>
      </c>
      <c r="AC427" s="109">
        <v>160.1</v>
      </c>
      <c r="AD427" s="110">
        <v>-109.8</v>
      </c>
      <c r="AE427" s="110">
        <v>3.95</v>
      </c>
      <c r="AF427" s="110">
        <v>-0.77</v>
      </c>
      <c r="AG427" s="110">
        <v>109.8</v>
      </c>
      <c r="AH427" s="110">
        <v>-110.1</v>
      </c>
      <c r="AI427" s="110">
        <v>3.71</v>
      </c>
      <c r="AJ427" s="109">
        <v>-0.35</v>
      </c>
      <c r="AK427" s="113" t="s">
        <v>59</v>
      </c>
      <c r="AL427" s="107" t="s">
        <v>181</v>
      </c>
      <c r="AN427" s="107">
        <v>0.95699999999999996</v>
      </c>
      <c r="AO427" s="48">
        <f t="shared" ref="AO427" si="515">(HOUR(H427)*60*60+MINUTE(H427)*60+SECOND(H427))/5.2*AA427/W427*AN427</f>
        <v>137458084.43399999</v>
      </c>
      <c r="AP427" s="156">
        <f t="shared" ref="AP427" si="516">AO427*0.7</f>
        <v>96220659.103799984</v>
      </c>
      <c r="AQ427" s="161">
        <f t="shared" ref="AQ427" si="517">AP427+AQ426</f>
        <v>15075734430.720623</v>
      </c>
      <c r="AR427" s="163">
        <f t="shared" ref="AR427" si="518">H427+AR426</f>
        <v>6.9763425925430083</v>
      </c>
      <c r="AS427" s="49">
        <f t="shared" ref="AS427" si="519">I427*(HOUR(H427)*60+MINUTE(H427))/60/(7*24)</f>
        <v>0.2966388888888889</v>
      </c>
      <c r="AT427" s="165">
        <f t="shared" ref="AT427" si="520">AS427+AT426</f>
        <v>45.999234126984121</v>
      </c>
      <c r="AU427" s="254">
        <f t="shared" si="503"/>
        <v>200668.73639999999</v>
      </c>
      <c r="AV427" s="255">
        <f t="shared" si="504"/>
        <v>458257.76360000001</v>
      </c>
      <c r="AW427" s="256">
        <f t="shared" si="505"/>
        <v>0.43789489745591731</v>
      </c>
    </row>
    <row r="428" spans="1:49">
      <c r="A428" s="108">
        <v>426</v>
      </c>
      <c r="F428" s="45">
        <v>43136.396377314813</v>
      </c>
      <c r="G428" s="45">
        <v>43136.437824074077</v>
      </c>
      <c r="H428" s="53">
        <f>G428-F428-'user time'!P162</f>
        <v>4.1087962967339298E-2</v>
      </c>
      <c r="I428" s="86">
        <v>50.78</v>
      </c>
      <c r="J428" s="109" t="s">
        <v>260</v>
      </c>
      <c r="K428" s="88" t="s">
        <v>72</v>
      </c>
      <c r="L428" s="88" t="s">
        <v>73</v>
      </c>
      <c r="M428" s="88">
        <v>-369</v>
      </c>
      <c r="N428" s="108">
        <v>1</v>
      </c>
      <c r="O428" s="108">
        <v>200</v>
      </c>
      <c r="P428" s="88">
        <v>348</v>
      </c>
      <c r="Q428" s="88" t="s">
        <v>75</v>
      </c>
      <c r="R428" s="88" t="s">
        <v>348</v>
      </c>
      <c r="S428" s="110">
        <v>10100</v>
      </c>
      <c r="T428" s="110">
        <v>919</v>
      </c>
      <c r="U428" s="88">
        <v>983</v>
      </c>
      <c r="V428" s="90">
        <v>1500</v>
      </c>
      <c r="W428" s="111">
        <v>10</v>
      </c>
      <c r="X428" s="110">
        <v>49378</v>
      </c>
      <c r="Y428" s="110">
        <v>873971</v>
      </c>
      <c r="Z428" s="110">
        <v>6548731</v>
      </c>
      <c r="AA428" s="110">
        <v>2091751</v>
      </c>
      <c r="AB428" s="112">
        <v>4479972</v>
      </c>
      <c r="AC428" s="109">
        <v>160.1</v>
      </c>
      <c r="AD428" s="110">
        <v>-109.8</v>
      </c>
      <c r="AE428" s="110">
        <v>3.95</v>
      </c>
      <c r="AF428" s="110">
        <v>-0.77</v>
      </c>
      <c r="AG428" s="110">
        <v>109.8</v>
      </c>
      <c r="AH428" s="110">
        <v>-110.1</v>
      </c>
      <c r="AI428" s="110">
        <v>3.71</v>
      </c>
      <c r="AJ428" s="109">
        <v>-0.36</v>
      </c>
      <c r="AK428" s="113" t="s">
        <v>59</v>
      </c>
      <c r="AL428" s="107" t="s">
        <v>181</v>
      </c>
      <c r="AN428" s="107">
        <v>0.95799999999999996</v>
      </c>
      <c r="AO428" s="48">
        <f t="shared" ref="AO428:AO429" si="521">(HOUR(H428)*60*60+MINUTE(H428)*60+SECOND(H428))/5.2*AA428/W428*AN428</f>
        <v>136804537.99807692</v>
      </c>
      <c r="AP428" s="156">
        <f t="shared" ref="AP428:AP429" si="522">AO428*0.7</f>
        <v>95763176.598653838</v>
      </c>
      <c r="AQ428" s="161">
        <f t="shared" ref="AQ428:AQ429" si="523">AP428+AQ427</f>
        <v>15171497607.319277</v>
      </c>
      <c r="AR428" s="163">
        <f t="shared" ref="AR428:AR429" si="524">H428+AR427</f>
        <v>7.017430555510348</v>
      </c>
      <c r="AS428" s="49">
        <f t="shared" ref="AS428:AS429" si="525">I428*(HOUR(H428)*60+MINUTE(H428))/60/(7*24)</f>
        <v>0.29722420634920638</v>
      </c>
      <c r="AT428" s="165">
        <f t="shared" ref="AT428:AT429" si="526">AS428+AT427</f>
        <v>46.296458333333327</v>
      </c>
      <c r="AU428" s="254">
        <f t="shared" si="503"/>
        <v>200389.7458</v>
      </c>
      <c r="AV428" s="255">
        <f t="shared" si="504"/>
        <v>456782.55420000001</v>
      </c>
      <c r="AW428" s="256">
        <f t="shared" si="505"/>
        <v>0.43869833459589685</v>
      </c>
    </row>
    <row r="429" spans="1:49">
      <c r="A429" s="108">
        <v>427</v>
      </c>
      <c r="F429" s="45">
        <v>43136.437847222223</v>
      </c>
      <c r="G429" s="45">
        <v>43136.451736111114</v>
      </c>
      <c r="H429" s="53">
        <f>G429-F429</f>
        <v>1.3888888890505768E-2</v>
      </c>
      <c r="I429" s="86">
        <v>50.85</v>
      </c>
      <c r="J429" s="109" t="s">
        <v>260</v>
      </c>
      <c r="K429" s="88" t="s">
        <v>72</v>
      </c>
      <c r="L429" s="88" t="s">
        <v>73</v>
      </c>
      <c r="M429" s="88">
        <v>-369</v>
      </c>
      <c r="N429" s="108">
        <v>1</v>
      </c>
      <c r="O429" s="108">
        <v>200</v>
      </c>
      <c r="P429" s="88">
        <v>348</v>
      </c>
      <c r="Q429" s="88" t="s">
        <v>75</v>
      </c>
      <c r="R429" s="88" t="s">
        <v>348</v>
      </c>
      <c r="S429" s="110">
        <v>10200</v>
      </c>
      <c r="T429" s="110">
        <v>917</v>
      </c>
      <c r="U429" s="88">
        <v>983</v>
      </c>
      <c r="V429" s="90">
        <v>1500</v>
      </c>
      <c r="W429" s="111">
        <v>10</v>
      </c>
      <c r="X429" s="110">
        <v>49103</v>
      </c>
      <c r="Y429" s="110">
        <v>874580</v>
      </c>
      <c r="Z429" s="110">
        <v>6578171</v>
      </c>
      <c r="AA429" s="110">
        <v>2101983</v>
      </c>
      <c r="AB429" s="112">
        <v>4499215</v>
      </c>
      <c r="AC429" s="109">
        <v>160.1</v>
      </c>
      <c r="AD429" s="110">
        <v>-109.8</v>
      </c>
      <c r="AE429" s="110">
        <v>3.95</v>
      </c>
      <c r="AF429" s="110">
        <v>-0.77</v>
      </c>
      <c r="AG429" s="110">
        <v>109.8</v>
      </c>
      <c r="AH429" s="110">
        <v>-110.1</v>
      </c>
      <c r="AI429" s="110">
        <v>3.71</v>
      </c>
      <c r="AJ429" s="109">
        <v>-0.35</v>
      </c>
      <c r="AK429" s="113" t="s">
        <v>59</v>
      </c>
      <c r="AL429" s="107" t="s">
        <v>515</v>
      </c>
      <c r="AN429" s="107">
        <v>0.96</v>
      </c>
      <c r="AO429" s="48">
        <f t="shared" si="521"/>
        <v>46567008</v>
      </c>
      <c r="AP429" s="156">
        <f t="shared" si="522"/>
        <v>32596905.599999998</v>
      </c>
      <c r="AQ429" s="161">
        <f t="shared" si="523"/>
        <v>15204094512.919277</v>
      </c>
      <c r="AR429" s="163">
        <f t="shared" si="524"/>
        <v>7.0313194444008538</v>
      </c>
      <c r="AS429" s="49">
        <f t="shared" si="525"/>
        <v>0.10089285714285715</v>
      </c>
      <c r="AT429" s="165">
        <f t="shared" si="526"/>
        <v>46.397351190476186</v>
      </c>
      <c r="AU429" s="254">
        <f t="shared" si="503"/>
        <v>201790.36799999999</v>
      </c>
      <c r="AV429" s="255">
        <f t="shared" si="504"/>
        <v>458329.43200000003</v>
      </c>
      <c r="AW429" s="256">
        <f t="shared" si="505"/>
        <v>0.44027364142741759</v>
      </c>
    </row>
    <row r="430" spans="1:49">
      <c r="A430" s="108">
        <v>428</v>
      </c>
      <c r="F430" s="45">
        <v>43136.461655092593</v>
      </c>
      <c r="G430" s="45">
        <v>43136.502766203703</v>
      </c>
      <c r="H430" s="53">
        <f>G430-F430</f>
        <v>4.111111110978527E-2</v>
      </c>
      <c r="I430" s="86">
        <v>50.75</v>
      </c>
      <c r="J430" s="109" t="s">
        <v>260</v>
      </c>
      <c r="K430" s="88" t="s">
        <v>72</v>
      </c>
      <c r="L430" s="88" t="s">
        <v>73</v>
      </c>
      <c r="M430" s="88">
        <v>-369</v>
      </c>
      <c r="N430" s="108">
        <v>1</v>
      </c>
      <c r="O430" s="108">
        <v>200</v>
      </c>
      <c r="P430" s="88">
        <v>348</v>
      </c>
      <c r="Q430" s="88" t="s">
        <v>75</v>
      </c>
      <c r="R430" s="88" t="s">
        <v>348</v>
      </c>
      <c r="S430" s="110">
        <v>10100</v>
      </c>
      <c r="T430" s="110">
        <v>904</v>
      </c>
      <c r="U430" s="88">
        <v>983</v>
      </c>
      <c r="V430" s="90">
        <v>1500</v>
      </c>
      <c r="W430" s="111">
        <v>10</v>
      </c>
      <c r="X430" s="110">
        <v>49167</v>
      </c>
      <c r="Y430" s="110">
        <v>874120</v>
      </c>
      <c r="Z430" s="110">
        <v>6553699</v>
      </c>
      <c r="AA430" s="110">
        <v>2093438</v>
      </c>
      <c r="AB430" s="112">
        <v>4483388</v>
      </c>
      <c r="AC430" s="109">
        <v>160.1</v>
      </c>
      <c r="AD430" s="110">
        <v>-109.8</v>
      </c>
      <c r="AE430" s="110">
        <v>3.95</v>
      </c>
      <c r="AF430" s="110">
        <v>-0.77</v>
      </c>
      <c r="AG430" s="110">
        <v>109.8</v>
      </c>
      <c r="AH430" s="110">
        <v>-110.1</v>
      </c>
      <c r="AI430" s="110">
        <v>3.71</v>
      </c>
      <c r="AJ430" s="109">
        <v>-0.35</v>
      </c>
      <c r="AK430" s="113" t="s">
        <v>59</v>
      </c>
      <c r="AL430" s="107" t="s">
        <v>181</v>
      </c>
      <c r="AN430" s="107">
        <v>0.95899999999999996</v>
      </c>
      <c r="AO430" s="48">
        <f t="shared" ref="AO430:AO432" si="527">(HOUR(H430)*60*60+MINUTE(H430)*60+SECOND(H430))/5.2*AA430/W430*AN430</f>
        <v>137135004.09969231</v>
      </c>
      <c r="AP430" s="156">
        <f t="shared" ref="AP430:AP432" si="528">AO430*0.7</f>
        <v>95994502.869784608</v>
      </c>
      <c r="AQ430" s="161">
        <f t="shared" ref="AQ430:AQ432" si="529">AP430+AQ429</f>
        <v>15300089015.789062</v>
      </c>
      <c r="AR430" s="163">
        <f t="shared" ref="AR430:AR432" si="530">H430+AR429</f>
        <v>7.072430555510639</v>
      </c>
      <c r="AS430" s="49">
        <f t="shared" ref="AS430:AS432" si="531">I430*(HOUR(H430)*60+MINUTE(H430))/60/(7*24)</f>
        <v>0.29704861111111114</v>
      </c>
      <c r="AT430" s="165">
        <f t="shared" ref="AT430:AT432" si="532">AS430+AT429</f>
        <v>46.694399801587295</v>
      </c>
      <c r="AU430" s="254">
        <f t="shared" si="503"/>
        <v>200760.70419999998</v>
      </c>
      <c r="AV430" s="255">
        <f t="shared" si="504"/>
        <v>456921.8958</v>
      </c>
      <c r="AW430" s="256">
        <f t="shared" si="505"/>
        <v>0.43937641431802876</v>
      </c>
    </row>
    <row r="431" spans="1:49">
      <c r="A431" s="108">
        <v>429</v>
      </c>
      <c r="F431" s="45">
        <v>43136.502800925926</v>
      </c>
      <c r="G431" s="45">
        <v>43136.545370370368</v>
      </c>
      <c r="H431" s="53">
        <f>G431-F431-'user time'!P164-'user time'!P165</f>
        <v>4.0891203701310719E-2</v>
      </c>
      <c r="I431" s="86">
        <v>50.88</v>
      </c>
      <c r="J431" s="109" t="s">
        <v>260</v>
      </c>
      <c r="K431" s="88" t="s">
        <v>72</v>
      </c>
      <c r="L431" s="88" t="s">
        <v>73</v>
      </c>
      <c r="M431" s="88">
        <v>-369</v>
      </c>
      <c r="N431" s="108">
        <v>1</v>
      </c>
      <c r="O431" s="108">
        <v>200</v>
      </c>
      <c r="P431" s="88">
        <v>348</v>
      </c>
      <c r="Q431" s="88" t="s">
        <v>75</v>
      </c>
      <c r="R431" s="88" t="s">
        <v>348</v>
      </c>
      <c r="S431" s="110">
        <v>10200</v>
      </c>
      <c r="T431" s="110">
        <v>890</v>
      </c>
      <c r="U431" s="88">
        <v>983</v>
      </c>
      <c r="V431" s="90">
        <v>1500</v>
      </c>
      <c r="W431" s="111">
        <v>10</v>
      </c>
      <c r="X431" s="110">
        <v>49127</v>
      </c>
      <c r="Y431" s="110">
        <v>874613</v>
      </c>
      <c r="Z431" s="110">
        <v>6587220</v>
      </c>
      <c r="AA431" s="110">
        <v>2102229</v>
      </c>
      <c r="AB431" s="112">
        <v>4508257</v>
      </c>
      <c r="AC431" s="109">
        <v>160.1</v>
      </c>
      <c r="AD431" s="110">
        <v>-109.8</v>
      </c>
      <c r="AE431" s="110">
        <v>3.95</v>
      </c>
      <c r="AF431" s="110">
        <v>-0.77</v>
      </c>
      <c r="AG431" s="110">
        <v>109.8</v>
      </c>
      <c r="AH431" s="110">
        <v>-110.1</v>
      </c>
      <c r="AI431" s="110">
        <v>3.71</v>
      </c>
      <c r="AJ431" s="109">
        <v>-0.36</v>
      </c>
      <c r="AK431" s="113" t="s">
        <v>59</v>
      </c>
      <c r="AL431" s="107" t="s">
        <v>181</v>
      </c>
      <c r="AN431" s="107">
        <v>0.95799999999999996</v>
      </c>
      <c r="AO431" s="48">
        <f t="shared" si="527"/>
        <v>136831417.39626923</v>
      </c>
      <c r="AP431" s="156">
        <f t="shared" si="528"/>
        <v>95781992.177388459</v>
      </c>
      <c r="AQ431" s="161">
        <f t="shared" si="529"/>
        <v>15395871007.966452</v>
      </c>
      <c r="AR431" s="163">
        <f t="shared" si="530"/>
        <v>7.1133217592119493</v>
      </c>
      <c r="AS431" s="49">
        <f t="shared" si="531"/>
        <v>0.29276190476190472</v>
      </c>
      <c r="AT431" s="165">
        <f t="shared" si="532"/>
        <v>46.987161706349198</v>
      </c>
      <c r="AU431" s="254">
        <f t="shared" si="503"/>
        <v>201393.53819999998</v>
      </c>
      <c r="AV431" s="255">
        <f t="shared" si="504"/>
        <v>459655.06180000002</v>
      </c>
      <c r="AW431" s="256">
        <f t="shared" si="505"/>
        <v>0.43814058614158824</v>
      </c>
    </row>
    <row r="432" spans="1:49">
      <c r="A432" s="108">
        <v>430</v>
      </c>
      <c r="F432" s="45">
        <v>43136.545416666668</v>
      </c>
      <c r="G432" s="45">
        <v>43136.58666666667</v>
      </c>
      <c r="H432" s="53">
        <f t="shared" ref="H432" si="533">G432-F432</f>
        <v>4.1250000002037268E-2</v>
      </c>
      <c r="I432" s="86">
        <v>50.68</v>
      </c>
      <c r="J432" s="109" t="s">
        <v>260</v>
      </c>
      <c r="K432" s="88" t="s">
        <v>72</v>
      </c>
      <c r="L432" s="88" t="s">
        <v>73</v>
      </c>
      <c r="M432" s="88">
        <v>-369</v>
      </c>
      <c r="N432" s="108">
        <v>1</v>
      </c>
      <c r="O432" s="108">
        <v>200</v>
      </c>
      <c r="P432" s="88">
        <v>348</v>
      </c>
      <c r="Q432" s="88" t="s">
        <v>75</v>
      </c>
      <c r="R432" s="88" t="s">
        <v>348</v>
      </c>
      <c r="S432" s="110">
        <v>10300</v>
      </c>
      <c r="T432" s="110">
        <v>909</v>
      </c>
      <c r="U432" s="88">
        <v>983</v>
      </c>
      <c r="V432" s="90">
        <v>1500</v>
      </c>
      <c r="W432" s="111">
        <v>10</v>
      </c>
      <c r="X432" s="110">
        <v>48989</v>
      </c>
      <c r="Y432" s="110">
        <v>873230</v>
      </c>
      <c r="Z432" s="110">
        <v>6556427</v>
      </c>
      <c r="AA432" s="110">
        <v>2094394</v>
      </c>
      <c r="AB432" s="112">
        <v>4485601</v>
      </c>
      <c r="AC432" s="109">
        <v>160.1</v>
      </c>
      <c r="AD432" s="110">
        <v>-109.8</v>
      </c>
      <c r="AE432" s="110">
        <v>3.95</v>
      </c>
      <c r="AF432" s="110">
        <v>-0.76</v>
      </c>
      <c r="AG432" s="110">
        <v>109.8</v>
      </c>
      <c r="AH432" s="110">
        <v>-110.1</v>
      </c>
      <c r="AI432" s="110">
        <v>3.72</v>
      </c>
      <c r="AJ432" s="109">
        <v>-0.36</v>
      </c>
      <c r="AK432" s="113" t="s">
        <v>59</v>
      </c>
      <c r="AL432" s="107" t="s">
        <v>181</v>
      </c>
      <c r="AN432" s="107">
        <v>0.96</v>
      </c>
      <c r="AO432" s="48">
        <f t="shared" si="527"/>
        <v>137804680.91076922</v>
      </c>
      <c r="AP432" s="156">
        <f t="shared" si="528"/>
        <v>96463276.637538448</v>
      </c>
      <c r="AQ432" s="161">
        <f t="shared" si="529"/>
        <v>15492334284.603991</v>
      </c>
      <c r="AR432" s="163">
        <f t="shared" si="530"/>
        <v>7.1545717592139866</v>
      </c>
      <c r="AS432" s="49">
        <f t="shared" si="531"/>
        <v>0.2966388888888889</v>
      </c>
      <c r="AT432" s="165">
        <f t="shared" si="532"/>
        <v>47.283800595238084</v>
      </c>
      <c r="AU432" s="254">
        <f t="shared" si="503"/>
        <v>201061.82399999999</v>
      </c>
      <c r="AV432" s="255">
        <f t="shared" si="504"/>
        <v>456937.67599999998</v>
      </c>
      <c r="AW432" s="256">
        <f t="shared" si="505"/>
        <v>0.4400202359325695</v>
      </c>
    </row>
    <row r="433" spans="1:70">
      <c r="A433" s="108">
        <v>431</v>
      </c>
      <c r="F433" s="45">
        <v>43136.586689814816</v>
      </c>
      <c r="G433" s="45">
        <v>43136.618414351855</v>
      </c>
      <c r="H433" s="53">
        <f>G433-F433-'user time'!P166</f>
        <v>3.1377314816604107E-2</v>
      </c>
      <c r="I433" s="86">
        <v>50.75</v>
      </c>
      <c r="J433" s="109" t="s">
        <v>260</v>
      </c>
      <c r="K433" s="88" t="s">
        <v>72</v>
      </c>
      <c r="L433" s="88" t="s">
        <v>73</v>
      </c>
      <c r="M433" s="88">
        <v>-369</v>
      </c>
      <c r="N433" s="108">
        <v>1</v>
      </c>
      <c r="O433" s="108">
        <v>200</v>
      </c>
      <c r="P433" s="88">
        <v>348</v>
      </c>
      <c r="Q433" s="88" t="s">
        <v>75</v>
      </c>
      <c r="R433" s="88" t="s">
        <v>348</v>
      </c>
      <c r="S433" s="110">
        <v>10100</v>
      </c>
      <c r="T433" s="110">
        <v>897</v>
      </c>
      <c r="U433" s="88">
        <v>983</v>
      </c>
      <c r="V433" s="90">
        <v>1500</v>
      </c>
      <c r="W433" s="111">
        <v>10</v>
      </c>
      <c r="X433" s="110">
        <v>48923</v>
      </c>
      <c r="Y433" s="110">
        <v>872061</v>
      </c>
      <c r="Z433" s="110">
        <v>6581196</v>
      </c>
      <c r="AA433" s="110">
        <v>2097742</v>
      </c>
      <c r="AB433" s="112">
        <v>4506578</v>
      </c>
      <c r="AC433" s="109">
        <v>160.1</v>
      </c>
      <c r="AD433" s="110">
        <v>-109.8</v>
      </c>
      <c r="AE433" s="110">
        <v>3.95</v>
      </c>
      <c r="AF433" s="110">
        <v>-0.76</v>
      </c>
      <c r="AG433" s="110">
        <v>109.8</v>
      </c>
      <c r="AH433" s="110">
        <v>-110.1</v>
      </c>
      <c r="AI433" s="110">
        <v>3.72</v>
      </c>
      <c r="AJ433" s="109">
        <v>-0.35</v>
      </c>
      <c r="AK433" s="113" t="s">
        <v>59</v>
      </c>
      <c r="AL433" s="107" t="s">
        <v>549</v>
      </c>
      <c r="AN433" s="107">
        <v>0.95899999999999996</v>
      </c>
      <c r="AO433" s="48">
        <f t="shared" ref="AO433" si="534">(HOUR(H433)*60*60+MINUTE(H433)*60+SECOND(H433))/5.2*AA433/W433*AN433</f>
        <v>104881008.47996151</v>
      </c>
      <c r="AP433" s="156">
        <f t="shared" ref="AP433" si="535">AO433*0.7</f>
        <v>73416705.935973048</v>
      </c>
      <c r="AQ433" s="161">
        <f t="shared" ref="AQ433" si="536">AP433+AQ432</f>
        <v>15565750990.539963</v>
      </c>
      <c r="AR433" s="163">
        <f t="shared" ref="AR433" si="537">H433+AR432</f>
        <v>7.1859490740305905</v>
      </c>
      <c r="AS433" s="49">
        <f t="shared" ref="AS433" si="538">I433*(HOUR(H433)*60+MINUTE(H433))/60/(7*24)</f>
        <v>0.2265625</v>
      </c>
      <c r="AT433" s="165">
        <f t="shared" ref="AT433" si="539">AS433+AT432</f>
        <v>47.510363095238084</v>
      </c>
      <c r="AU433" s="254">
        <f t="shared" si="503"/>
        <v>201173.4578</v>
      </c>
      <c r="AV433" s="255">
        <f t="shared" si="504"/>
        <v>459258.54220000003</v>
      </c>
      <c r="AW433" s="256">
        <f t="shared" si="505"/>
        <v>0.43803966462183314</v>
      </c>
    </row>
    <row r="434" spans="1:70">
      <c r="A434" s="108">
        <v>432</v>
      </c>
      <c r="F434" s="45">
        <v>43136.636655092596</v>
      </c>
      <c r="G434" s="45">
        <v>43136.684479166666</v>
      </c>
      <c r="H434" s="53">
        <f>G434-F434-SUM('user time'!P168:P173)</f>
        <v>4.218749999630278E-2</v>
      </c>
      <c r="I434" s="86">
        <v>50.79</v>
      </c>
      <c r="J434" s="109" t="s">
        <v>260</v>
      </c>
      <c r="K434" s="88" t="s">
        <v>72</v>
      </c>
      <c r="L434" s="88" t="s">
        <v>73</v>
      </c>
      <c r="M434" s="88">
        <v>-369</v>
      </c>
      <c r="N434" s="108">
        <v>1</v>
      </c>
      <c r="O434" s="108">
        <v>200</v>
      </c>
      <c r="P434" s="88">
        <v>348</v>
      </c>
      <c r="Q434" s="88" t="s">
        <v>75</v>
      </c>
      <c r="R434" s="88" t="s">
        <v>348</v>
      </c>
      <c r="S434" s="110">
        <v>10100</v>
      </c>
      <c r="T434" s="110">
        <v>903</v>
      </c>
      <c r="U434" s="88">
        <v>983</v>
      </c>
      <c r="V434" s="90">
        <v>1500</v>
      </c>
      <c r="W434" s="111">
        <v>10</v>
      </c>
      <c r="X434" s="110">
        <v>48948</v>
      </c>
      <c r="Y434" s="110">
        <v>875215</v>
      </c>
      <c r="Z434" s="110">
        <v>6573445</v>
      </c>
      <c r="AA434" s="110">
        <v>2095409</v>
      </c>
      <c r="AB434" s="112">
        <v>4501441</v>
      </c>
      <c r="AC434" s="109">
        <v>160.1</v>
      </c>
      <c r="AD434" s="110">
        <v>-109.8</v>
      </c>
      <c r="AE434" s="110">
        <v>3.95</v>
      </c>
      <c r="AF434" s="110">
        <v>-0.76</v>
      </c>
      <c r="AG434" s="110">
        <v>109.8</v>
      </c>
      <c r="AH434" s="110">
        <v>-110.1</v>
      </c>
      <c r="AI434" s="110">
        <v>3.72</v>
      </c>
      <c r="AJ434" s="109">
        <v>-0.36</v>
      </c>
      <c r="AK434" s="113" t="s">
        <v>59</v>
      </c>
      <c r="AL434" s="107" t="s">
        <v>181</v>
      </c>
      <c r="AN434" s="107">
        <v>0.95799999999999996</v>
      </c>
      <c r="AO434" s="48">
        <f t="shared" ref="AO434" si="540">(HOUR(H434)*60*60+MINUTE(H434)*60+SECOND(H434))/5.2*AA434/W434*AN434</f>
        <v>140711146.94596151</v>
      </c>
      <c r="AP434" s="156">
        <f t="shared" ref="AP434" si="541">AO434*0.7</f>
        <v>98497802.862173051</v>
      </c>
      <c r="AQ434" s="161">
        <f t="shared" ref="AQ434" si="542">AP434+AQ433</f>
        <v>15664248793.402136</v>
      </c>
      <c r="AR434" s="163">
        <f t="shared" ref="AR434" si="543">H434+AR433</f>
        <v>7.2281365740268928</v>
      </c>
      <c r="AS434" s="49">
        <f t="shared" ref="AS434" si="544">I434*(HOUR(H434)*60+MINUTE(H434))/60/(7*24)</f>
        <v>0.30232142857142857</v>
      </c>
      <c r="AT434" s="165">
        <f t="shared" ref="AT434" si="545">AS434+AT433</f>
        <v>47.812684523809516</v>
      </c>
      <c r="AU434" s="254">
        <f t="shared" si="503"/>
        <v>200740.18219999998</v>
      </c>
      <c r="AV434" s="255">
        <f t="shared" si="504"/>
        <v>458944.81779999996</v>
      </c>
      <c r="AW434" s="256">
        <f t="shared" si="505"/>
        <v>0.43739502967321664</v>
      </c>
    </row>
    <row r="435" spans="1:70">
      <c r="A435" s="108">
        <v>433</v>
      </c>
      <c r="F435" s="45">
        <v>43136.684513888889</v>
      </c>
      <c r="G435" s="45">
        <v>43136.727673611109</v>
      </c>
      <c r="H435" s="53">
        <f>G435-F435-SUM('user time'!P174:P176)</f>
        <v>4.2175925923274238E-2</v>
      </c>
      <c r="I435" s="86">
        <v>50.75</v>
      </c>
      <c r="J435" s="109" t="s">
        <v>260</v>
      </c>
      <c r="K435" s="88" t="s">
        <v>72</v>
      </c>
      <c r="L435" s="88" t="s">
        <v>73</v>
      </c>
      <c r="M435" s="88">
        <v>-369</v>
      </c>
      <c r="N435" s="108">
        <v>1</v>
      </c>
      <c r="O435" s="108">
        <v>200</v>
      </c>
      <c r="P435" s="88">
        <v>348</v>
      </c>
      <c r="Q435" s="88" t="s">
        <v>75</v>
      </c>
      <c r="R435" s="88" t="s">
        <v>348</v>
      </c>
      <c r="S435" s="110">
        <v>10000</v>
      </c>
      <c r="T435" s="110">
        <v>902</v>
      </c>
      <c r="U435" s="88">
        <v>983</v>
      </c>
      <c r="V435" s="90">
        <v>1500</v>
      </c>
      <c r="W435" s="111">
        <v>10</v>
      </c>
      <c r="X435" s="110">
        <v>48918</v>
      </c>
      <c r="Y435" s="110">
        <v>872785</v>
      </c>
      <c r="Z435" s="110">
        <v>6587941</v>
      </c>
      <c r="AA435" s="110">
        <v>2100784</v>
      </c>
      <c r="AB435" s="112">
        <v>4510529</v>
      </c>
      <c r="AC435" s="109">
        <v>160.1</v>
      </c>
      <c r="AD435" s="110">
        <v>-109.8</v>
      </c>
      <c r="AE435" s="110">
        <v>3.95</v>
      </c>
      <c r="AF435" s="110">
        <v>-0.76</v>
      </c>
      <c r="AG435" s="110">
        <v>109.8</v>
      </c>
      <c r="AH435" s="110">
        <v>-110.1</v>
      </c>
      <c r="AI435" s="110">
        <v>3.72</v>
      </c>
      <c r="AJ435" s="109">
        <v>-0.36</v>
      </c>
      <c r="AK435" s="113" t="s">
        <v>59</v>
      </c>
      <c r="AL435" s="107" t="s">
        <v>181</v>
      </c>
      <c r="AN435" s="107">
        <v>0.95699999999999996</v>
      </c>
      <c r="AO435" s="48">
        <f t="shared" ref="AO435" si="546">(HOUR(H435)*60*60+MINUTE(H435)*60+SECOND(H435))/5.2*AA435/W435*AN435</f>
        <v>140886170.18215382</v>
      </c>
      <c r="AP435" s="156">
        <f t="shared" ref="AP435" si="547">AO435*0.7</f>
        <v>98620319.127507672</v>
      </c>
      <c r="AQ435" s="161">
        <f t="shared" ref="AQ435" si="548">AP435+AQ434</f>
        <v>15762869112.529644</v>
      </c>
      <c r="AR435" s="163">
        <f t="shared" ref="AR435" si="549">H435+AR434</f>
        <v>7.2703124999501672</v>
      </c>
      <c r="AS435" s="49">
        <f t="shared" ref="AS435" si="550">I435*(HOUR(H435)*60+MINUTE(H435))/60/(7*24)</f>
        <v>0.30208333333333331</v>
      </c>
      <c r="AT435" s="165">
        <f t="shared" ref="AT435" si="551">AS435+AT434</f>
        <v>48.114767857142851</v>
      </c>
      <c r="AU435" s="254">
        <f t="shared" si="503"/>
        <v>201045.0288</v>
      </c>
      <c r="AV435" s="255">
        <f t="shared" si="504"/>
        <v>460086.27120000002</v>
      </c>
      <c r="AW435" s="256">
        <f t="shared" si="505"/>
        <v>0.43697245796018441</v>
      </c>
    </row>
    <row r="436" spans="1:70" s="190" customFormat="1">
      <c r="A436" s="176">
        <v>434</v>
      </c>
      <c r="F436" s="171">
        <v>43136.727708333332</v>
      </c>
      <c r="G436" s="171">
        <v>43136.730868055558</v>
      </c>
      <c r="H436" s="247">
        <f>G436-F436</f>
        <v>3.1597222259733826E-3</v>
      </c>
      <c r="I436" s="173">
        <v>50.75</v>
      </c>
      <c r="J436" s="174" t="s">
        <v>260</v>
      </c>
      <c r="K436" s="175" t="s">
        <v>72</v>
      </c>
      <c r="L436" s="175" t="s">
        <v>73</v>
      </c>
      <c r="M436" s="175">
        <v>-369</v>
      </c>
      <c r="N436" s="176">
        <v>1</v>
      </c>
      <c r="O436" s="176">
        <v>200</v>
      </c>
      <c r="P436" s="175">
        <v>348</v>
      </c>
      <c r="Q436" s="175" t="s">
        <v>75</v>
      </c>
      <c r="R436" s="175" t="s">
        <v>421</v>
      </c>
      <c r="S436" s="177"/>
      <c r="T436" s="177"/>
      <c r="U436" s="175">
        <v>983</v>
      </c>
      <c r="V436" s="178">
        <v>1500</v>
      </c>
      <c r="W436" s="179"/>
      <c r="X436" s="177"/>
      <c r="Y436" s="177"/>
      <c r="Z436" s="177"/>
      <c r="AA436" s="177"/>
      <c r="AB436" s="180"/>
      <c r="AC436" s="174">
        <v>160.1</v>
      </c>
      <c r="AD436" s="177">
        <v>-109.8</v>
      </c>
      <c r="AE436" s="177">
        <v>3.95</v>
      </c>
      <c r="AF436" s="177">
        <v>-0.76</v>
      </c>
      <c r="AG436" s="177">
        <v>109.8</v>
      </c>
      <c r="AH436" s="177">
        <v>-110.1</v>
      </c>
      <c r="AI436" s="177">
        <v>3.72</v>
      </c>
      <c r="AJ436" s="174">
        <v>-0.36</v>
      </c>
      <c r="AK436" s="181"/>
      <c r="AL436" s="182" t="s">
        <v>206</v>
      </c>
      <c r="AM436" s="183"/>
      <c r="AN436" s="182"/>
      <c r="AO436" s="173"/>
      <c r="AP436" s="184"/>
      <c r="AQ436" s="185"/>
      <c r="AR436" s="186"/>
      <c r="AS436" s="187"/>
      <c r="AT436" s="188"/>
      <c r="AU436" s="187"/>
      <c r="AV436" s="187"/>
      <c r="AW436" s="177"/>
      <c r="AX436" s="177"/>
      <c r="AY436" s="177"/>
      <c r="AZ436" s="177"/>
      <c r="BA436" s="187"/>
      <c r="BB436" s="180"/>
      <c r="BC436" s="189"/>
      <c r="BD436" s="189"/>
      <c r="BE436" s="189"/>
      <c r="BF436" s="189"/>
      <c r="BG436" s="189"/>
      <c r="BH436" s="189"/>
      <c r="BI436" s="189"/>
      <c r="BJ436" s="189"/>
      <c r="BK436" s="189"/>
      <c r="BL436" s="189"/>
      <c r="BM436" s="189"/>
      <c r="BN436" s="189"/>
      <c r="BO436" s="189"/>
      <c r="BP436" s="189"/>
      <c r="BQ436" s="189"/>
      <c r="BR436" s="189"/>
    </row>
    <row r="437" spans="1:70" s="149" customFormat="1">
      <c r="A437" s="138">
        <v>435</v>
      </c>
      <c r="F437" s="133">
        <v>43136.731122685182</v>
      </c>
      <c r="G437" s="133">
        <v>43136.73228009259</v>
      </c>
      <c r="H437" s="245">
        <f>G437-F437</f>
        <v>1.157407408754807E-3</v>
      </c>
      <c r="I437" s="135">
        <v>50.75</v>
      </c>
      <c r="J437" s="136" t="s">
        <v>260</v>
      </c>
      <c r="K437" s="137" t="s">
        <v>72</v>
      </c>
      <c r="L437" s="137" t="s">
        <v>73</v>
      </c>
      <c r="M437" s="137">
        <v>-369</v>
      </c>
      <c r="N437" s="138">
        <v>1</v>
      </c>
      <c r="O437" s="138">
        <v>200</v>
      </c>
      <c r="P437" s="137">
        <v>348</v>
      </c>
      <c r="Q437" s="137" t="s">
        <v>75</v>
      </c>
      <c r="R437" s="137" t="s">
        <v>421</v>
      </c>
      <c r="S437" s="139"/>
      <c r="T437" s="139"/>
      <c r="U437" s="137">
        <v>983</v>
      </c>
      <c r="V437" s="140">
        <v>1500</v>
      </c>
      <c r="W437" s="141"/>
      <c r="X437" s="139"/>
      <c r="Y437" s="139"/>
      <c r="Z437" s="139"/>
      <c r="AA437" s="139"/>
      <c r="AB437" s="142"/>
      <c r="AC437" s="136">
        <v>160.1</v>
      </c>
      <c r="AD437" s="139">
        <v>-109.8</v>
      </c>
      <c r="AE437" s="139">
        <v>3.95</v>
      </c>
      <c r="AF437" s="139">
        <v>-0.76</v>
      </c>
      <c r="AG437" s="139">
        <v>109.8</v>
      </c>
      <c r="AH437" s="139">
        <v>-110.1</v>
      </c>
      <c r="AI437" s="139">
        <v>3.72</v>
      </c>
      <c r="AJ437" s="136">
        <v>-0.36</v>
      </c>
      <c r="AK437" s="143"/>
      <c r="AL437" s="144" t="s">
        <v>571</v>
      </c>
      <c r="AM437" s="145"/>
      <c r="AN437" s="144"/>
      <c r="AO437" s="135"/>
      <c r="AP437" s="146"/>
      <c r="AQ437" s="158"/>
      <c r="AR437" s="162"/>
      <c r="AS437" s="147"/>
      <c r="AT437" s="164"/>
      <c r="AU437" s="147"/>
      <c r="AV437" s="147"/>
      <c r="AW437" s="139"/>
      <c r="AX437" s="139"/>
      <c r="AY437" s="139"/>
      <c r="AZ437" s="139"/>
      <c r="BA437" s="147"/>
      <c r="BB437" s="142"/>
      <c r="BC437" s="148"/>
      <c r="BD437" s="148"/>
      <c r="BE437" s="148"/>
      <c r="BF437" s="148"/>
      <c r="BG437" s="148"/>
      <c r="BH437" s="148"/>
      <c r="BI437" s="148"/>
      <c r="BJ437" s="148"/>
      <c r="BK437" s="148"/>
      <c r="BL437" s="148"/>
      <c r="BM437" s="148"/>
      <c r="BN437" s="148"/>
      <c r="BO437" s="148"/>
      <c r="BP437" s="148"/>
      <c r="BQ437" s="148"/>
      <c r="BR437" s="148"/>
    </row>
    <row r="438" spans="1:70" s="190" customFormat="1">
      <c r="A438" s="176">
        <v>436</v>
      </c>
      <c r="F438" s="171">
        <v>43136.732766203706</v>
      </c>
      <c r="G438" s="171">
        <v>43136.735208333332</v>
      </c>
      <c r="H438" s="247">
        <f>G438-F438</f>
        <v>2.4421296257060021E-3</v>
      </c>
      <c r="I438" s="173">
        <v>50.75</v>
      </c>
      <c r="J438" s="174" t="s">
        <v>260</v>
      </c>
      <c r="K438" s="175" t="s">
        <v>72</v>
      </c>
      <c r="L438" s="175" t="s">
        <v>73</v>
      </c>
      <c r="M438" s="175">
        <v>-369</v>
      </c>
      <c r="N438" s="176">
        <v>1</v>
      </c>
      <c r="O438" s="176">
        <v>200</v>
      </c>
      <c r="P438" s="175">
        <v>348</v>
      </c>
      <c r="Q438" s="175" t="s">
        <v>75</v>
      </c>
      <c r="R438" s="175" t="s">
        <v>421</v>
      </c>
      <c r="S438" s="177"/>
      <c r="T438" s="177"/>
      <c r="U438" s="175">
        <v>983</v>
      </c>
      <c r="V438" s="178">
        <v>1500</v>
      </c>
      <c r="W438" s="179"/>
      <c r="X438" s="177"/>
      <c r="Y438" s="177"/>
      <c r="Z438" s="177"/>
      <c r="AA438" s="177"/>
      <c r="AB438" s="180"/>
      <c r="AC438" s="174">
        <v>160.1</v>
      </c>
      <c r="AD438" s="177">
        <v>-109.8</v>
      </c>
      <c r="AE438" s="177">
        <v>3.95</v>
      </c>
      <c r="AF438" s="177">
        <v>-0.76</v>
      </c>
      <c r="AG438" s="177">
        <v>109.8</v>
      </c>
      <c r="AH438" s="177">
        <v>-110.1</v>
      </c>
      <c r="AI438" s="177">
        <v>3.72</v>
      </c>
      <c r="AJ438" s="174">
        <v>-0.36</v>
      </c>
      <c r="AK438" s="181"/>
      <c r="AL438" s="182" t="s">
        <v>207</v>
      </c>
      <c r="AM438" s="183"/>
      <c r="AN438" s="182"/>
      <c r="AO438" s="173"/>
      <c r="AP438" s="184"/>
      <c r="AQ438" s="185"/>
      <c r="AR438" s="186"/>
      <c r="AS438" s="187"/>
      <c r="AT438" s="188"/>
      <c r="AU438" s="187"/>
      <c r="AV438" s="187"/>
      <c r="AW438" s="177"/>
      <c r="AX438" s="177"/>
      <c r="AY438" s="177"/>
      <c r="AZ438" s="177"/>
      <c r="BA438" s="187"/>
      <c r="BB438" s="180"/>
      <c r="BC438" s="189"/>
      <c r="BD438" s="189"/>
      <c r="BE438" s="189"/>
      <c r="BF438" s="189"/>
      <c r="BG438" s="189"/>
      <c r="BH438" s="189"/>
      <c r="BI438" s="189"/>
      <c r="BJ438" s="189"/>
      <c r="BK438" s="189"/>
      <c r="BL438" s="189"/>
      <c r="BM438" s="189"/>
      <c r="BN438" s="189"/>
      <c r="BO438" s="189"/>
      <c r="BP438" s="189"/>
      <c r="BQ438" s="189"/>
      <c r="BR438" s="189"/>
    </row>
    <row r="439" spans="1:70" s="149" customFormat="1">
      <c r="A439" s="138">
        <v>437</v>
      </c>
      <c r="F439" s="133"/>
      <c r="G439" s="133"/>
      <c r="H439" s="245"/>
      <c r="I439" s="135"/>
      <c r="J439" s="136"/>
      <c r="K439" s="137"/>
      <c r="L439" s="137"/>
      <c r="M439" s="137"/>
      <c r="N439" s="138"/>
      <c r="O439" s="138"/>
      <c r="P439" s="137"/>
      <c r="Q439" s="137"/>
      <c r="R439" s="137"/>
      <c r="S439" s="139"/>
      <c r="T439" s="139"/>
      <c r="U439" s="137"/>
      <c r="V439" s="140"/>
      <c r="W439" s="141"/>
      <c r="X439" s="139"/>
      <c r="Y439" s="139"/>
      <c r="Z439" s="139"/>
      <c r="AA439" s="139"/>
      <c r="AB439" s="142"/>
      <c r="AC439" s="136"/>
      <c r="AD439" s="139"/>
      <c r="AE439" s="139"/>
      <c r="AF439" s="139"/>
      <c r="AG439" s="139"/>
      <c r="AH439" s="139"/>
      <c r="AI439" s="139"/>
      <c r="AJ439" s="136"/>
      <c r="AK439" s="143"/>
      <c r="AL439" s="144" t="s">
        <v>566</v>
      </c>
      <c r="AM439" s="145"/>
      <c r="AN439" s="144"/>
      <c r="AO439" s="151"/>
      <c r="AP439" s="146"/>
      <c r="AQ439" s="160"/>
      <c r="AR439" s="162"/>
      <c r="AS439" s="147"/>
      <c r="AT439" s="164"/>
      <c r="AU439" s="147"/>
      <c r="AV439" s="147"/>
      <c r="AW439" s="139"/>
      <c r="AX439" s="139"/>
      <c r="AY439" s="139"/>
      <c r="AZ439" s="139"/>
      <c r="BA439" s="147"/>
      <c r="BB439" s="142"/>
      <c r="BC439" s="148"/>
      <c r="BD439" s="148"/>
      <c r="BE439" s="148"/>
      <c r="BF439" s="148"/>
      <c r="BG439" s="148"/>
      <c r="BH439" s="148"/>
      <c r="BI439" s="148"/>
      <c r="BJ439" s="148"/>
      <c r="BK439" s="148"/>
      <c r="BL439" s="148"/>
      <c r="BM439" s="148"/>
      <c r="BN439" s="148"/>
      <c r="BO439" s="148"/>
      <c r="BP439" s="148"/>
      <c r="BQ439" s="148"/>
      <c r="BR439" s="148"/>
    </row>
    <row r="440" spans="1:70" s="190" customFormat="1">
      <c r="A440" s="176">
        <v>438</v>
      </c>
      <c r="F440" s="171"/>
      <c r="G440" s="171"/>
      <c r="H440" s="247"/>
      <c r="I440" s="173">
        <v>50.75</v>
      </c>
      <c r="J440" s="174" t="s">
        <v>260</v>
      </c>
      <c r="K440" s="175" t="s">
        <v>72</v>
      </c>
      <c r="L440" s="175" t="s">
        <v>73</v>
      </c>
      <c r="M440" s="175">
        <v>-369</v>
      </c>
      <c r="N440" s="176">
        <v>1</v>
      </c>
      <c r="O440" s="176">
        <v>200</v>
      </c>
      <c r="P440" s="175">
        <v>348</v>
      </c>
      <c r="Q440" s="175" t="s">
        <v>75</v>
      </c>
      <c r="R440" s="175" t="s">
        <v>567</v>
      </c>
      <c r="S440" s="177"/>
      <c r="T440" s="177"/>
      <c r="U440" s="175">
        <v>983</v>
      </c>
      <c r="V440" s="178">
        <v>-1900</v>
      </c>
      <c r="W440" s="179"/>
      <c r="X440" s="177"/>
      <c r="Y440" s="177"/>
      <c r="Z440" s="177"/>
      <c r="AA440" s="177"/>
      <c r="AB440" s="180"/>
      <c r="AC440" s="174">
        <v>160.1</v>
      </c>
      <c r="AD440" s="177">
        <v>-109.8</v>
      </c>
      <c r="AE440" s="177">
        <v>3.95</v>
      </c>
      <c r="AF440" s="177">
        <v>-0.76</v>
      </c>
      <c r="AG440" s="177">
        <v>109.8</v>
      </c>
      <c r="AH440" s="177">
        <v>-110.1</v>
      </c>
      <c r="AI440" s="177">
        <v>3.72</v>
      </c>
      <c r="AJ440" s="174">
        <v>-0.36</v>
      </c>
      <c r="AK440" s="181"/>
      <c r="AL440" s="182" t="s">
        <v>335</v>
      </c>
      <c r="AM440" s="183"/>
      <c r="AN440" s="182"/>
      <c r="AO440" s="191"/>
      <c r="AP440" s="184"/>
      <c r="AQ440" s="193"/>
      <c r="AR440" s="186"/>
      <c r="AS440" s="187"/>
      <c r="AT440" s="188"/>
      <c r="AU440" s="187"/>
      <c r="AV440" s="187"/>
      <c r="AW440" s="177"/>
      <c r="AX440" s="177"/>
      <c r="AY440" s="177"/>
      <c r="AZ440" s="177"/>
      <c r="BA440" s="187"/>
      <c r="BB440" s="180"/>
      <c r="BC440" s="189"/>
      <c r="BD440" s="189"/>
      <c r="BE440" s="189"/>
      <c r="BF440" s="189"/>
      <c r="BG440" s="189"/>
      <c r="BH440" s="189"/>
      <c r="BI440" s="189"/>
      <c r="BJ440" s="189"/>
      <c r="BK440" s="189"/>
      <c r="BL440" s="189"/>
      <c r="BM440" s="189"/>
      <c r="BN440" s="189"/>
      <c r="BO440" s="189"/>
      <c r="BP440" s="189"/>
      <c r="BQ440" s="189"/>
      <c r="BR440" s="189"/>
    </row>
    <row r="441" spans="1:70" s="190" customFormat="1">
      <c r="A441" s="176">
        <v>439</v>
      </c>
      <c r="F441" s="171"/>
      <c r="G441" s="171"/>
      <c r="H441" s="247"/>
      <c r="I441" s="173">
        <v>50.75</v>
      </c>
      <c r="J441" s="174" t="s">
        <v>260</v>
      </c>
      <c r="K441" s="175" t="s">
        <v>72</v>
      </c>
      <c r="L441" s="175" t="s">
        <v>73</v>
      </c>
      <c r="M441" s="175">
        <v>-369</v>
      </c>
      <c r="N441" s="176">
        <v>1</v>
      </c>
      <c r="O441" s="176">
        <v>200</v>
      </c>
      <c r="P441" s="175">
        <v>348</v>
      </c>
      <c r="Q441" s="175" t="s">
        <v>75</v>
      </c>
      <c r="R441" s="175" t="s">
        <v>567</v>
      </c>
      <c r="S441" s="177"/>
      <c r="T441" s="177"/>
      <c r="U441" s="175">
        <v>983</v>
      </c>
      <c r="V441" s="178">
        <v>-1550</v>
      </c>
      <c r="W441" s="179"/>
      <c r="X441" s="177"/>
      <c r="Y441" s="177"/>
      <c r="Z441" s="177"/>
      <c r="AA441" s="177"/>
      <c r="AB441" s="180"/>
      <c r="AC441" s="174">
        <v>160.1</v>
      </c>
      <c r="AD441" s="177">
        <v>-109.8</v>
      </c>
      <c r="AE441" s="177">
        <v>3.95</v>
      </c>
      <c r="AF441" s="177">
        <v>-0.76</v>
      </c>
      <c r="AG441" s="177">
        <v>109.8</v>
      </c>
      <c r="AH441" s="177">
        <v>-110.1</v>
      </c>
      <c r="AI441" s="177">
        <v>3.72</v>
      </c>
      <c r="AJ441" s="174">
        <v>-0.36</v>
      </c>
      <c r="AK441" s="181"/>
      <c r="AL441" s="182" t="s">
        <v>336</v>
      </c>
      <c r="AM441" s="183"/>
      <c r="AN441" s="182"/>
      <c r="AO441" s="191"/>
      <c r="AP441" s="184"/>
      <c r="AQ441" s="193"/>
      <c r="AR441" s="186"/>
      <c r="AS441" s="187"/>
      <c r="AT441" s="188"/>
      <c r="AU441" s="187"/>
      <c r="AV441" s="187"/>
      <c r="AW441" s="177"/>
      <c r="AX441" s="177"/>
      <c r="AY441" s="177"/>
      <c r="AZ441" s="177"/>
      <c r="BA441" s="187"/>
      <c r="BB441" s="180"/>
      <c r="BC441" s="189"/>
      <c r="BD441" s="189"/>
      <c r="BE441" s="189"/>
      <c r="BF441" s="189"/>
      <c r="BG441" s="189"/>
      <c r="BH441" s="189"/>
      <c r="BI441" s="189"/>
      <c r="BJ441" s="189"/>
      <c r="BK441" s="189"/>
      <c r="BL441" s="189"/>
      <c r="BM441" s="189"/>
      <c r="BN441" s="189"/>
      <c r="BO441" s="189"/>
      <c r="BP441" s="189"/>
      <c r="BQ441" s="189"/>
      <c r="BR441" s="189"/>
    </row>
    <row r="442" spans="1:70" s="190" customFormat="1">
      <c r="A442" s="176">
        <v>440</v>
      </c>
      <c r="F442" s="171"/>
      <c r="G442" s="171"/>
      <c r="H442" s="247"/>
      <c r="I442" s="173">
        <v>50.75</v>
      </c>
      <c r="J442" s="174" t="s">
        <v>260</v>
      </c>
      <c r="K442" s="175" t="s">
        <v>72</v>
      </c>
      <c r="L442" s="175" t="s">
        <v>73</v>
      </c>
      <c r="M442" s="175">
        <v>-369</v>
      </c>
      <c r="N442" s="176">
        <v>1</v>
      </c>
      <c r="O442" s="176">
        <v>200</v>
      </c>
      <c r="P442" s="175">
        <v>348</v>
      </c>
      <c r="Q442" s="175" t="s">
        <v>75</v>
      </c>
      <c r="R442" s="175" t="s">
        <v>567</v>
      </c>
      <c r="S442" s="177"/>
      <c r="T442" s="177"/>
      <c r="U442" s="175">
        <v>983</v>
      </c>
      <c r="V442" s="178">
        <v>-1200</v>
      </c>
      <c r="W442" s="179"/>
      <c r="X442" s="177"/>
      <c r="Y442" s="177"/>
      <c r="Z442" s="177"/>
      <c r="AA442" s="177"/>
      <c r="AB442" s="180"/>
      <c r="AC442" s="174">
        <v>160.1</v>
      </c>
      <c r="AD442" s="177">
        <v>-109.8</v>
      </c>
      <c r="AE442" s="177">
        <v>3.95</v>
      </c>
      <c r="AF442" s="177">
        <v>-0.76</v>
      </c>
      <c r="AG442" s="177">
        <v>109.8</v>
      </c>
      <c r="AH442" s="177">
        <v>-110.1</v>
      </c>
      <c r="AI442" s="177">
        <v>3.72</v>
      </c>
      <c r="AJ442" s="174">
        <v>-0.36</v>
      </c>
      <c r="AK442" s="181"/>
      <c r="AL442" s="182" t="s">
        <v>337</v>
      </c>
      <c r="AM442" s="183"/>
      <c r="AN442" s="182"/>
      <c r="AO442" s="191"/>
      <c r="AP442" s="184"/>
      <c r="AQ442" s="193"/>
      <c r="AR442" s="186"/>
      <c r="AS442" s="187"/>
      <c r="AT442" s="188"/>
      <c r="AU442" s="187"/>
      <c r="AV442" s="187"/>
      <c r="AW442" s="177"/>
      <c r="AX442" s="177"/>
      <c r="AY442" s="177"/>
      <c r="AZ442" s="177"/>
      <c r="BA442" s="187"/>
      <c r="BB442" s="180"/>
      <c r="BC442" s="189"/>
      <c r="BD442" s="189"/>
      <c r="BE442" s="189"/>
      <c r="BF442" s="189"/>
      <c r="BG442" s="189"/>
      <c r="BH442" s="189"/>
      <c r="BI442" s="189"/>
      <c r="BJ442" s="189"/>
      <c r="BK442" s="189"/>
      <c r="BL442" s="189"/>
      <c r="BM442" s="189"/>
      <c r="BN442" s="189"/>
      <c r="BO442" s="189"/>
      <c r="BP442" s="189"/>
      <c r="BQ442" s="189"/>
      <c r="BR442" s="189"/>
    </row>
    <row r="443" spans="1:70" s="190" customFormat="1">
      <c r="A443" s="176">
        <v>441</v>
      </c>
      <c r="F443" s="171"/>
      <c r="G443" s="171"/>
      <c r="H443" s="247"/>
      <c r="I443" s="173">
        <v>50.75</v>
      </c>
      <c r="J443" s="174" t="s">
        <v>260</v>
      </c>
      <c r="K443" s="175" t="s">
        <v>72</v>
      </c>
      <c r="L443" s="175" t="s">
        <v>73</v>
      </c>
      <c r="M443" s="175">
        <v>-369</v>
      </c>
      <c r="N443" s="176">
        <v>1</v>
      </c>
      <c r="O443" s="176">
        <v>200</v>
      </c>
      <c r="P443" s="175">
        <v>348</v>
      </c>
      <c r="Q443" s="175" t="s">
        <v>75</v>
      </c>
      <c r="R443" s="175" t="s">
        <v>567</v>
      </c>
      <c r="S443" s="177"/>
      <c r="T443" s="177"/>
      <c r="U443" s="175">
        <v>983</v>
      </c>
      <c r="V443" s="178">
        <v>-900</v>
      </c>
      <c r="W443" s="179"/>
      <c r="X443" s="177"/>
      <c r="Y443" s="177"/>
      <c r="Z443" s="177"/>
      <c r="AA443" s="177"/>
      <c r="AB443" s="180"/>
      <c r="AC443" s="174">
        <v>160.1</v>
      </c>
      <c r="AD443" s="177">
        <v>-109.8</v>
      </c>
      <c r="AE443" s="177">
        <v>3.95</v>
      </c>
      <c r="AF443" s="177">
        <v>-0.76</v>
      </c>
      <c r="AG443" s="177">
        <v>109.8</v>
      </c>
      <c r="AH443" s="177">
        <v>-110.1</v>
      </c>
      <c r="AI443" s="177">
        <v>3.72</v>
      </c>
      <c r="AJ443" s="174">
        <v>-0.36</v>
      </c>
      <c r="AK443" s="181"/>
      <c r="AL443" s="182" t="s">
        <v>338</v>
      </c>
      <c r="AM443" s="183"/>
      <c r="AN443" s="182"/>
      <c r="AO443" s="191"/>
      <c r="AP443" s="184"/>
      <c r="AQ443" s="193"/>
      <c r="AR443" s="186"/>
      <c r="AS443" s="187"/>
      <c r="AT443" s="188"/>
      <c r="AU443" s="187"/>
      <c r="AV443" s="187"/>
      <c r="AW443" s="177"/>
      <c r="AX443" s="177"/>
      <c r="AY443" s="177"/>
      <c r="AZ443" s="177"/>
      <c r="BA443" s="187"/>
      <c r="BB443" s="180"/>
      <c r="BC443" s="189"/>
      <c r="BD443" s="189"/>
      <c r="BE443" s="189"/>
      <c r="BF443" s="189"/>
      <c r="BG443" s="189"/>
      <c r="BH443" s="189"/>
      <c r="BI443" s="189"/>
      <c r="BJ443" s="189"/>
      <c r="BK443" s="189"/>
      <c r="BL443" s="189"/>
      <c r="BM443" s="189"/>
      <c r="BN443" s="189"/>
      <c r="BO443" s="189"/>
      <c r="BP443" s="189"/>
      <c r="BQ443" s="189"/>
      <c r="BR443" s="189"/>
    </row>
    <row r="444" spans="1:70" s="149" customFormat="1">
      <c r="A444" s="138">
        <v>442</v>
      </c>
      <c r="F444" s="133"/>
      <c r="G444" s="133"/>
      <c r="H444" s="245"/>
      <c r="I444" s="135">
        <v>50.75</v>
      </c>
      <c r="J444" s="136" t="s">
        <v>260</v>
      </c>
      <c r="K444" s="137" t="s">
        <v>72</v>
      </c>
      <c r="L444" s="137" t="s">
        <v>73</v>
      </c>
      <c r="M444" s="137">
        <v>-369</v>
      </c>
      <c r="N444" s="138">
        <v>1</v>
      </c>
      <c r="O444" s="138">
        <v>200</v>
      </c>
      <c r="P444" s="137">
        <v>348</v>
      </c>
      <c r="Q444" s="137" t="s">
        <v>75</v>
      </c>
      <c r="R444" s="137" t="s">
        <v>567</v>
      </c>
      <c r="S444" s="139"/>
      <c r="T444" s="139"/>
      <c r="U444" s="137">
        <v>983</v>
      </c>
      <c r="V444" s="140">
        <v>-600</v>
      </c>
      <c r="W444" s="141"/>
      <c r="X444" s="139"/>
      <c r="Y444" s="139"/>
      <c r="Z444" s="139"/>
      <c r="AA444" s="139"/>
      <c r="AB444" s="142"/>
      <c r="AC444" s="136">
        <v>160.1</v>
      </c>
      <c r="AD444" s="139">
        <v>-109.8</v>
      </c>
      <c r="AE444" s="139">
        <v>3.95</v>
      </c>
      <c r="AF444" s="139">
        <v>-0.76</v>
      </c>
      <c r="AG444" s="139">
        <v>109.8</v>
      </c>
      <c r="AH444" s="139">
        <v>-110.1</v>
      </c>
      <c r="AI444" s="139">
        <v>3.72</v>
      </c>
      <c r="AJ444" s="136">
        <v>-0.36</v>
      </c>
      <c r="AK444" s="143"/>
      <c r="AL444" s="144" t="s">
        <v>572</v>
      </c>
      <c r="AM444" s="145"/>
      <c r="AN444" s="144"/>
      <c r="AO444" s="151"/>
      <c r="AP444" s="146"/>
      <c r="AQ444" s="160"/>
      <c r="AR444" s="162"/>
      <c r="AS444" s="147"/>
      <c r="AT444" s="164"/>
      <c r="AU444" s="147"/>
      <c r="AV444" s="147"/>
      <c r="AW444" s="139"/>
      <c r="AX444" s="139"/>
      <c r="AY444" s="139"/>
      <c r="AZ444" s="139"/>
      <c r="BA444" s="147"/>
      <c r="BB444" s="142"/>
      <c r="BC444" s="148"/>
      <c r="BD444" s="148"/>
      <c r="BE444" s="148"/>
      <c r="BF444" s="148"/>
      <c r="BG444" s="148"/>
      <c r="BH444" s="148"/>
      <c r="BI444" s="148"/>
      <c r="BJ444" s="148"/>
      <c r="BK444" s="148"/>
      <c r="BL444" s="148"/>
      <c r="BM444" s="148"/>
      <c r="BN444" s="148"/>
      <c r="BO444" s="148"/>
      <c r="BP444" s="148"/>
      <c r="BQ444" s="148"/>
      <c r="BR444" s="148"/>
    </row>
    <row r="445" spans="1:70" s="190" customFormat="1">
      <c r="A445" s="176">
        <v>443</v>
      </c>
      <c r="F445" s="171"/>
      <c r="G445" s="171"/>
      <c r="H445" s="247"/>
      <c r="I445" s="173">
        <v>50.75</v>
      </c>
      <c r="J445" s="174" t="s">
        <v>260</v>
      </c>
      <c r="K445" s="175" t="s">
        <v>72</v>
      </c>
      <c r="L445" s="175" t="s">
        <v>73</v>
      </c>
      <c r="M445" s="175">
        <v>-369</v>
      </c>
      <c r="N445" s="176">
        <v>1</v>
      </c>
      <c r="O445" s="176">
        <v>200</v>
      </c>
      <c r="P445" s="175">
        <v>348</v>
      </c>
      <c r="Q445" s="175" t="s">
        <v>75</v>
      </c>
      <c r="R445" s="175" t="s">
        <v>567</v>
      </c>
      <c r="S445" s="177"/>
      <c r="T445" s="177"/>
      <c r="U445" s="175">
        <v>983</v>
      </c>
      <c r="V445" s="178">
        <v>-600</v>
      </c>
      <c r="W445" s="179"/>
      <c r="X445" s="177"/>
      <c r="Y445" s="177"/>
      <c r="Z445" s="177"/>
      <c r="AA445" s="177"/>
      <c r="AB445" s="180"/>
      <c r="AC445" s="174">
        <v>160.1</v>
      </c>
      <c r="AD445" s="177">
        <v>-109.8</v>
      </c>
      <c r="AE445" s="177">
        <v>3.95</v>
      </c>
      <c r="AF445" s="177">
        <v>-0.76</v>
      </c>
      <c r="AG445" s="177">
        <v>109.8</v>
      </c>
      <c r="AH445" s="177">
        <v>-110.1</v>
      </c>
      <c r="AI445" s="177">
        <v>3.72</v>
      </c>
      <c r="AJ445" s="174">
        <v>-0.36</v>
      </c>
      <c r="AK445" s="181"/>
      <c r="AL445" s="182" t="s">
        <v>339</v>
      </c>
      <c r="AM445" s="183"/>
      <c r="AN445" s="182"/>
      <c r="AO445" s="191"/>
      <c r="AP445" s="184"/>
      <c r="AQ445" s="193"/>
      <c r="AR445" s="186"/>
      <c r="AS445" s="187"/>
      <c r="AT445" s="188"/>
      <c r="AU445" s="187"/>
      <c r="AV445" s="187"/>
      <c r="AW445" s="177"/>
      <c r="AX445" s="177"/>
      <c r="AY445" s="177"/>
      <c r="AZ445" s="177"/>
      <c r="BA445" s="187"/>
      <c r="BB445" s="180"/>
      <c r="BC445" s="189"/>
      <c r="BD445" s="189"/>
      <c r="BE445" s="189"/>
      <c r="BF445" s="189"/>
      <c r="BG445" s="189"/>
      <c r="BH445" s="189"/>
      <c r="BI445" s="189"/>
      <c r="BJ445" s="189"/>
      <c r="BK445" s="189"/>
      <c r="BL445" s="189"/>
      <c r="BM445" s="189"/>
      <c r="BN445" s="189"/>
      <c r="BO445" s="189"/>
      <c r="BP445" s="189"/>
      <c r="BQ445" s="189"/>
      <c r="BR445" s="189"/>
    </row>
    <row r="446" spans="1:70" s="149" customFormat="1">
      <c r="A446" s="138">
        <v>444</v>
      </c>
      <c r="F446" s="133"/>
      <c r="G446" s="133"/>
      <c r="H446" s="245"/>
      <c r="I446" s="135">
        <v>50.75</v>
      </c>
      <c r="J446" s="136" t="s">
        <v>260</v>
      </c>
      <c r="K446" s="137" t="s">
        <v>72</v>
      </c>
      <c r="L446" s="137" t="s">
        <v>73</v>
      </c>
      <c r="M446" s="137">
        <v>-369</v>
      </c>
      <c r="N446" s="138">
        <v>1</v>
      </c>
      <c r="O446" s="138">
        <v>200</v>
      </c>
      <c r="P446" s="137">
        <v>348</v>
      </c>
      <c r="Q446" s="137" t="s">
        <v>75</v>
      </c>
      <c r="R446" s="137" t="s">
        <v>568</v>
      </c>
      <c r="S446" s="139"/>
      <c r="T446" s="139"/>
      <c r="U446" s="137">
        <v>983</v>
      </c>
      <c r="V446" s="140">
        <v>-300</v>
      </c>
      <c r="W446" s="141"/>
      <c r="X446" s="139"/>
      <c r="Y446" s="139"/>
      <c r="Z446" s="139"/>
      <c r="AA446" s="139"/>
      <c r="AB446" s="142"/>
      <c r="AC446" s="136">
        <v>160.1</v>
      </c>
      <c r="AD446" s="139">
        <v>-109.8</v>
      </c>
      <c r="AE446" s="139">
        <v>3.95</v>
      </c>
      <c r="AF446" s="139">
        <v>-0.76</v>
      </c>
      <c r="AG446" s="139">
        <v>109.8</v>
      </c>
      <c r="AH446" s="139">
        <v>-110.1</v>
      </c>
      <c r="AI446" s="139">
        <v>3.72</v>
      </c>
      <c r="AJ446" s="136">
        <v>-0.36</v>
      </c>
      <c r="AK446" s="143"/>
      <c r="AL446" s="144" t="s">
        <v>573</v>
      </c>
      <c r="AM446" s="145"/>
      <c r="AN446" s="144"/>
      <c r="AO446" s="151"/>
      <c r="AP446" s="146"/>
      <c r="AQ446" s="160"/>
      <c r="AR446" s="162"/>
      <c r="AS446" s="147"/>
      <c r="AT446" s="164"/>
      <c r="AU446" s="147"/>
      <c r="AV446" s="147"/>
      <c r="AW446" s="139"/>
      <c r="AX446" s="139"/>
      <c r="AY446" s="139"/>
      <c r="AZ446" s="139"/>
      <c r="BA446" s="147"/>
      <c r="BB446" s="142"/>
      <c r="BC446" s="148"/>
      <c r="BD446" s="148"/>
      <c r="BE446" s="148"/>
      <c r="BF446" s="148"/>
      <c r="BG446" s="148"/>
      <c r="BH446" s="148"/>
      <c r="BI446" s="148"/>
      <c r="BJ446" s="148"/>
      <c r="BK446" s="148"/>
      <c r="BL446" s="148"/>
      <c r="BM446" s="148"/>
      <c r="BN446" s="148"/>
      <c r="BO446" s="148"/>
      <c r="BP446" s="148"/>
      <c r="BQ446" s="148"/>
      <c r="BR446" s="148"/>
    </row>
    <row r="447" spans="1:70" s="149" customFormat="1">
      <c r="A447" s="138">
        <v>445</v>
      </c>
      <c r="F447" s="133"/>
      <c r="G447" s="133"/>
      <c r="H447" s="245"/>
      <c r="I447" s="135">
        <v>50.75</v>
      </c>
      <c r="J447" s="136" t="s">
        <v>260</v>
      </c>
      <c r="K447" s="137" t="s">
        <v>72</v>
      </c>
      <c r="L447" s="137" t="s">
        <v>73</v>
      </c>
      <c r="M447" s="137">
        <v>-369</v>
      </c>
      <c r="N447" s="138">
        <v>1</v>
      </c>
      <c r="O447" s="138">
        <v>200</v>
      </c>
      <c r="P447" s="137">
        <v>348</v>
      </c>
      <c r="Q447" s="137" t="s">
        <v>75</v>
      </c>
      <c r="R447" s="137" t="s">
        <v>568</v>
      </c>
      <c r="S447" s="139"/>
      <c r="T447" s="139"/>
      <c r="U447" s="137">
        <v>983</v>
      </c>
      <c r="V447" s="140">
        <v>-300</v>
      </c>
      <c r="W447" s="141"/>
      <c r="X447" s="139"/>
      <c r="Y447" s="139"/>
      <c r="Z447" s="139"/>
      <c r="AA447" s="139"/>
      <c r="AB447" s="142"/>
      <c r="AC447" s="136">
        <v>160.1</v>
      </c>
      <c r="AD447" s="139">
        <v>-109.8</v>
      </c>
      <c r="AE447" s="139">
        <v>3.95</v>
      </c>
      <c r="AF447" s="139">
        <v>-0.76</v>
      </c>
      <c r="AG447" s="139">
        <v>109.8</v>
      </c>
      <c r="AH447" s="139">
        <v>-110.1</v>
      </c>
      <c r="AI447" s="139">
        <v>3.72</v>
      </c>
      <c r="AJ447" s="136">
        <v>-0.36</v>
      </c>
      <c r="AK447" s="143"/>
      <c r="AL447" s="144" t="s">
        <v>573</v>
      </c>
      <c r="AM447" s="145"/>
      <c r="AN447" s="144"/>
      <c r="AO447" s="151"/>
      <c r="AP447" s="146"/>
      <c r="AQ447" s="160"/>
      <c r="AR447" s="162"/>
      <c r="AS447" s="147"/>
      <c r="AT447" s="164"/>
      <c r="AU447" s="147"/>
      <c r="AV447" s="147"/>
      <c r="AW447" s="139"/>
      <c r="AX447" s="139"/>
      <c r="AY447" s="139"/>
      <c r="AZ447" s="139"/>
      <c r="BA447" s="147"/>
      <c r="BB447" s="142"/>
      <c r="BC447" s="148"/>
      <c r="BD447" s="148"/>
      <c r="BE447" s="148"/>
      <c r="BF447" s="148"/>
      <c r="BG447" s="148"/>
      <c r="BH447" s="148"/>
      <c r="BI447" s="148"/>
      <c r="BJ447" s="148"/>
      <c r="BK447" s="148"/>
      <c r="BL447" s="148"/>
      <c r="BM447" s="148"/>
      <c r="BN447" s="148"/>
      <c r="BO447" s="148"/>
      <c r="BP447" s="148"/>
      <c r="BQ447" s="148"/>
      <c r="BR447" s="148"/>
    </row>
    <row r="448" spans="1:70" s="190" customFormat="1">
      <c r="A448" s="176">
        <v>446</v>
      </c>
      <c r="F448" s="171"/>
      <c r="G448" s="171"/>
      <c r="H448" s="247"/>
      <c r="I448" s="173">
        <v>50.75</v>
      </c>
      <c r="J448" s="174" t="s">
        <v>260</v>
      </c>
      <c r="K448" s="175" t="s">
        <v>72</v>
      </c>
      <c r="L448" s="175" t="s">
        <v>73</v>
      </c>
      <c r="M448" s="175">
        <v>-369</v>
      </c>
      <c r="N448" s="176">
        <v>1</v>
      </c>
      <c r="O448" s="176">
        <v>200</v>
      </c>
      <c r="P448" s="175">
        <v>348</v>
      </c>
      <c r="Q448" s="175" t="s">
        <v>75</v>
      </c>
      <c r="R448" s="175" t="s">
        <v>568</v>
      </c>
      <c r="S448" s="177"/>
      <c r="T448" s="177"/>
      <c r="U448" s="175">
        <v>983</v>
      </c>
      <c r="V448" s="178">
        <v>-300</v>
      </c>
      <c r="W448" s="179"/>
      <c r="X448" s="177"/>
      <c r="Y448" s="177"/>
      <c r="Z448" s="177"/>
      <c r="AA448" s="177"/>
      <c r="AB448" s="180"/>
      <c r="AC448" s="174">
        <v>160.1</v>
      </c>
      <c r="AD448" s="177">
        <v>-109.8</v>
      </c>
      <c r="AE448" s="177">
        <v>3.95</v>
      </c>
      <c r="AF448" s="177">
        <v>-0.76</v>
      </c>
      <c r="AG448" s="177">
        <v>109.8</v>
      </c>
      <c r="AH448" s="177">
        <v>-110.1</v>
      </c>
      <c r="AI448" s="177">
        <v>3.72</v>
      </c>
      <c r="AJ448" s="174">
        <v>-0.36</v>
      </c>
      <c r="AK448" s="181"/>
      <c r="AL448" s="182" t="s">
        <v>340</v>
      </c>
      <c r="AM448" s="183"/>
      <c r="AN448" s="182"/>
      <c r="AO448" s="173"/>
      <c r="AP448" s="184"/>
      <c r="AQ448" s="185"/>
      <c r="AR448" s="186"/>
      <c r="AS448" s="187"/>
      <c r="AT448" s="188"/>
      <c r="AU448" s="187"/>
      <c r="AV448" s="187"/>
      <c r="AW448" s="177"/>
      <c r="AX448" s="177"/>
      <c r="AY448" s="177"/>
      <c r="AZ448" s="177"/>
      <c r="BA448" s="187"/>
      <c r="BB448" s="180"/>
      <c r="BC448" s="189"/>
      <c r="BD448" s="189"/>
      <c r="BE448" s="189"/>
      <c r="BF448" s="189"/>
      <c r="BG448" s="189"/>
      <c r="BH448" s="189"/>
      <c r="BI448" s="189"/>
      <c r="BJ448" s="189"/>
      <c r="BK448" s="189"/>
      <c r="BL448" s="189"/>
      <c r="BM448" s="189"/>
      <c r="BN448" s="189"/>
      <c r="BO448" s="189"/>
      <c r="BP448" s="189"/>
      <c r="BQ448" s="189"/>
      <c r="BR448" s="189"/>
    </row>
    <row r="449" spans="1:70" s="149" customFormat="1">
      <c r="A449" s="138">
        <v>447</v>
      </c>
      <c r="F449" s="133"/>
      <c r="G449" s="133"/>
      <c r="H449" s="245"/>
      <c r="I449" s="135">
        <v>50.75</v>
      </c>
      <c r="J449" s="136" t="s">
        <v>260</v>
      </c>
      <c r="K449" s="137" t="s">
        <v>72</v>
      </c>
      <c r="L449" s="137" t="s">
        <v>73</v>
      </c>
      <c r="M449" s="137">
        <v>-369</v>
      </c>
      <c r="N449" s="138">
        <v>1</v>
      </c>
      <c r="O449" s="138">
        <v>200</v>
      </c>
      <c r="P449" s="137">
        <v>348</v>
      </c>
      <c r="Q449" s="137" t="s">
        <v>75</v>
      </c>
      <c r="R449" s="137" t="s">
        <v>568</v>
      </c>
      <c r="S449" s="139"/>
      <c r="T449" s="139"/>
      <c r="U449" s="137">
        <v>983</v>
      </c>
      <c r="V449" s="140">
        <v>0</v>
      </c>
      <c r="W449" s="141"/>
      <c r="X449" s="139"/>
      <c r="Y449" s="139"/>
      <c r="Z449" s="139"/>
      <c r="AA449" s="139"/>
      <c r="AB449" s="142"/>
      <c r="AC449" s="136">
        <v>160.1</v>
      </c>
      <c r="AD449" s="139">
        <v>-109.8</v>
      </c>
      <c r="AE449" s="139">
        <v>3.95</v>
      </c>
      <c r="AF449" s="139">
        <v>-0.76</v>
      </c>
      <c r="AG449" s="139">
        <v>109.8</v>
      </c>
      <c r="AH449" s="139">
        <v>-110.1</v>
      </c>
      <c r="AI449" s="139">
        <v>3.72</v>
      </c>
      <c r="AJ449" s="136">
        <v>-0.36</v>
      </c>
      <c r="AK449" s="143"/>
      <c r="AL449" s="144" t="s">
        <v>574</v>
      </c>
      <c r="AM449" s="145"/>
      <c r="AN449" s="144"/>
      <c r="AO449" s="151"/>
      <c r="AP449" s="146"/>
      <c r="AQ449" s="160"/>
      <c r="AR449" s="162"/>
      <c r="AS449" s="147"/>
      <c r="AT449" s="164"/>
      <c r="AU449" s="147"/>
      <c r="AV449" s="147"/>
      <c r="AW449" s="139"/>
      <c r="AX449" s="139"/>
      <c r="AY449" s="139"/>
      <c r="AZ449" s="139"/>
      <c r="BA449" s="147"/>
      <c r="BB449" s="142"/>
      <c r="BC449" s="148"/>
      <c r="BD449" s="148"/>
      <c r="BE449" s="148"/>
      <c r="BF449" s="148"/>
      <c r="BG449" s="148"/>
      <c r="BH449" s="148"/>
      <c r="BI449" s="148"/>
      <c r="BJ449" s="148"/>
      <c r="BK449" s="148"/>
      <c r="BL449" s="148"/>
      <c r="BM449" s="148"/>
      <c r="BN449" s="148"/>
      <c r="BO449" s="148"/>
      <c r="BP449" s="148"/>
      <c r="BQ449" s="148"/>
      <c r="BR449" s="148"/>
    </row>
    <row r="450" spans="1:70" s="190" customFormat="1">
      <c r="A450" s="176">
        <v>448</v>
      </c>
      <c r="F450" s="171"/>
      <c r="G450" s="171"/>
      <c r="H450" s="247"/>
      <c r="I450" s="173">
        <v>50.75</v>
      </c>
      <c r="J450" s="174" t="s">
        <v>260</v>
      </c>
      <c r="K450" s="175" t="s">
        <v>72</v>
      </c>
      <c r="L450" s="175" t="s">
        <v>73</v>
      </c>
      <c r="M450" s="175">
        <v>-369</v>
      </c>
      <c r="N450" s="176">
        <v>1</v>
      </c>
      <c r="O450" s="176">
        <v>200</v>
      </c>
      <c r="P450" s="175">
        <v>348</v>
      </c>
      <c r="Q450" s="175" t="s">
        <v>75</v>
      </c>
      <c r="R450" s="175" t="s">
        <v>568</v>
      </c>
      <c r="S450" s="177"/>
      <c r="T450" s="177"/>
      <c r="U450" s="175">
        <v>983</v>
      </c>
      <c r="V450" s="178">
        <v>0</v>
      </c>
      <c r="W450" s="179"/>
      <c r="X450" s="177"/>
      <c r="Y450" s="177"/>
      <c r="Z450" s="177"/>
      <c r="AA450" s="177"/>
      <c r="AB450" s="180"/>
      <c r="AC450" s="174">
        <v>160.1</v>
      </c>
      <c r="AD450" s="177">
        <v>-109.8</v>
      </c>
      <c r="AE450" s="177">
        <v>3.95</v>
      </c>
      <c r="AF450" s="177">
        <v>-0.76</v>
      </c>
      <c r="AG450" s="177">
        <v>109.8</v>
      </c>
      <c r="AH450" s="177">
        <v>-110.1</v>
      </c>
      <c r="AI450" s="177">
        <v>3.72</v>
      </c>
      <c r="AJ450" s="174">
        <v>-0.36</v>
      </c>
      <c r="AK450" s="181"/>
      <c r="AL450" s="182" t="s">
        <v>246</v>
      </c>
      <c r="AM450" s="183"/>
      <c r="AN450" s="182"/>
      <c r="AO450" s="209"/>
      <c r="AP450" s="248"/>
      <c r="AQ450" s="210"/>
      <c r="AR450" s="211"/>
      <c r="AS450" s="212"/>
      <c r="AT450" s="213"/>
      <c r="AU450" s="187"/>
      <c r="AV450" s="187"/>
      <c r="AW450" s="177"/>
      <c r="AX450" s="177"/>
      <c r="AY450" s="177"/>
      <c r="AZ450" s="177"/>
      <c r="BA450" s="187"/>
      <c r="BB450" s="180"/>
      <c r="BC450" s="189"/>
      <c r="BD450" s="189"/>
      <c r="BE450" s="189"/>
      <c r="BF450" s="189"/>
      <c r="BG450" s="189"/>
      <c r="BH450" s="189"/>
      <c r="BI450" s="189"/>
      <c r="BJ450" s="189"/>
      <c r="BK450" s="189"/>
      <c r="BL450" s="189"/>
      <c r="BM450" s="189"/>
      <c r="BN450" s="189"/>
      <c r="BO450" s="189"/>
      <c r="BP450" s="189"/>
      <c r="BQ450" s="189"/>
      <c r="BR450" s="189"/>
    </row>
    <row r="451" spans="1:70" s="149" customFormat="1">
      <c r="A451" s="138">
        <v>449</v>
      </c>
      <c r="F451" s="133"/>
      <c r="G451" s="133"/>
      <c r="H451" s="245"/>
      <c r="I451" s="135">
        <v>50.75</v>
      </c>
      <c r="J451" s="136" t="s">
        <v>260</v>
      </c>
      <c r="K451" s="137" t="s">
        <v>72</v>
      </c>
      <c r="L451" s="137" t="s">
        <v>73</v>
      </c>
      <c r="M451" s="137">
        <v>-369</v>
      </c>
      <c r="N451" s="138">
        <v>1</v>
      </c>
      <c r="O451" s="138">
        <v>200</v>
      </c>
      <c r="P451" s="137">
        <v>348</v>
      </c>
      <c r="Q451" s="137" t="s">
        <v>75</v>
      </c>
      <c r="R451" s="137" t="s">
        <v>568</v>
      </c>
      <c r="S451" s="139"/>
      <c r="T451" s="139"/>
      <c r="U451" s="137">
        <v>983</v>
      </c>
      <c r="V451" s="140">
        <v>350</v>
      </c>
      <c r="W451" s="141"/>
      <c r="X451" s="139"/>
      <c r="Y451" s="139"/>
      <c r="Z451" s="139"/>
      <c r="AA451" s="139"/>
      <c r="AB451" s="142"/>
      <c r="AC451" s="136">
        <v>160.1</v>
      </c>
      <c r="AD451" s="139">
        <v>-109.8</v>
      </c>
      <c r="AE451" s="139">
        <v>3.95</v>
      </c>
      <c r="AF451" s="139">
        <v>-0.76</v>
      </c>
      <c r="AG451" s="139">
        <v>109.8</v>
      </c>
      <c r="AH451" s="139">
        <v>-110.1</v>
      </c>
      <c r="AI451" s="139">
        <v>3.72</v>
      </c>
      <c r="AJ451" s="136">
        <v>-0.36</v>
      </c>
      <c r="AK451" s="143"/>
      <c r="AL451" s="144" t="s">
        <v>575</v>
      </c>
      <c r="AM451" s="145"/>
      <c r="AN451" s="144"/>
      <c r="AO451" s="151"/>
      <c r="AP451" s="146"/>
      <c r="AQ451" s="160"/>
      <c r="AR451" s="162"/>
      <c r="AS451" s="147"/>
      <c r="AT451" s="164"/>
      <c r="AU451" s="147"/>
      <c r="AV451" s="147"/>
      <c r="AW451" s="139"/>
      <c r="AX451" s="139"/>
      <c r="AY451" s="139"/>
      <c r="AZ451" s="139"/>
      <c r="BA451" s="147"/>
      <c r="BB451" s="142"/>
      <c r="BC451" s="148"/>
      <c r="BD451" s="148"/>
      <c r="BE451" s="148"/>
      <c r="BF451" s="148"/>
      <c r="BG451" s="148"/>
      <c r="BH451" s="148"/>
      <c r="BI451" s="148"/>
      <c r="BJ451" s="148"/>
      <c r="BK451" s="148"/>
      <c r="BL451" s="148"/>
      <c r="BM451" s="148"/>
      <c r="BN451" s="148"/>
      <c r="BO451" s="148"/>
      <c r="BP451" s="148"/>
      <c r="BQ451" s="148"/>
      <c r="BR451" s="148"/>
    </row>
    <row r="452" spans="1:70" s="190" customFormat="1">
      <c r="A452" s="176">
        <v>450</v>
      </c>
      <c r="F452" s="171"/>
      <c r="G452" s="171"/>
      <c r="H452" s="247"/>
      <c r="I452" s="173">
        <v>50.75</v>
      </c>
      <c r="J452" s="174" t="s">
        <v>260</v>
      </c>
      <c r="K452" s="175" t="s">
        <v>72</v>
      </c>
      <c r="L452" s="175" t="s">
        <v>73</v>
      </c>
      <c r="M452" s="175">
        <v>-369</v>
      </c>
      <c r="N452" s="176">
        <v>1</v>
      </c>
      <c r="O452" s="176">
        <v>200</v>
      </c>
      <c r="P452" s="175">
        <v>348</v>
      </c>
      <c r="Q452" s="175" t="s">
        <v>75</v>
      </c>
      <c r="R452" s="175" t="s">
        <v>569</v>
      </c>
      <c r="S452" s="177"/>
      <c r="T452" s="177"/>
      <c r="U452" s="175">
        <v>983</v>
      </c>
      <c r="V452" s="178">
        <v>350</v>
      </c>
      <c r="W452" s="179"/>
      <c r="X452" s="177"/>
      <c r="Y452" s="177"/>
      <c r="Z452" s="177"/>
      <c r="AA452" s="177"/>
      <c r="AB452" s="180"/>
      <c r="AC452" s="174">
        <v>160.1</v>
      </c>
      <c r="AD452" s="177">
        <v>-109.8</v>
      </c>
      <c r="AE452" s="177">
        <v>3.95</v>
      </c>
      <c r="AF452" s="177">
        <v>-0.76</v>
      </c>
      <c r="AG452" s="177">
        <v>109.8</v>
      </c>
      <c r="AH452" s="177">
        <v>-110.1</v>
      </c>
      <c r="AI452" s="177">
        <v>3.72</v>
      </c>
      <c r="AJ452" s="174">
        <v>-0.36</v>
      </c>
      <c r="AK452" s="181"/>
      <c r="AL452" s="182" t="s">
        <v>247</v>
      </c>
      <c r="AM452" s="183"/>
      <c r="AN452" s="182"/>
      <c r="AO452" s="191"/>
      <c r="AP452" s="184"/>
      <c r="AQ452" s="193"/>
      <c r="AR452" s="186"/>
      <c r="AS452" s="187"/>
      <c r="AT452" s="188"/>
      <c r="AU452" s="187"/>
      <c r="AV452" s="187"/>
      <c r="AW452" s="177"/>
      <c r="AX452" s="177"/>
      <c r="AY452" s="177"/>
      <c r="AZ452" s="177"/>
      <c r="BA452" s="187"/>
      <c r="BB452" s="180"/>
      <c r="BC452" s="189"/>
      <c r="BD452" s="189"/>
      <c r="BE452" s="189"/>
      <c r="BF452" s="189"/>
      <c r="BG452" s="189"/>
      <c r="BH452" s="189"/>
      <c r="BI452" s="189"/>
      <c r="BJ452" s="189"/>
      <c r="BK452" s="189"/>
      <c r="BL452" s="189"/>
      <c r="BM452" s="189"/>
      <c r="BN452" s="189"/>
      <c r="BO452" s="189"/>
      <c r="BP452" s="189"/>
      <c r="BQ452" s="189"/>
      <c r="BR452" s="189"/>
    </row>
    <row r="453" spans="1:70" s="190" customFormat="1">
      <c r="A453" s="176">
        <v>451</v>
      </c>
      <c r="F453" s="171"/>
      <c r="G453" s="171"/>
      <c r="H453" s="247"/>
      <c r="I453" s="173">
        <v>50.75</v>
      </c>
      <c r="J453" s="174" t="s">
        <v>260</v>
      </c>
      <c r="K453" s="175" t="s">
        <v>72</v>
      </c>
      <c r="L453" s="175" t="s">
        <v>73</v>
      </c>
      <c r="M453" s="175">
        <v>-369</v>
      </c>
      <c r="N453" s="176">
        <v>1</v>
      </c>
      <c r="O453" s="176">
        <v>200</v>
      </c>
      <c r="P453" s="175">
        <v>348</v>
      </c>
      <c r="Q453" s="175" t="s">
        <v>75</v>
      </c>
      <c r="R453" s="175" t="s">
        <v>569</v>
      </c>
      <c r="S453" s="177"/>
      <c r="T453" s="177"/>
      <c r="U453" s="175">
        <v>983</v>
      </c>
      <c r="V453" s="178">
        <v>700</v>
      </c>
      <c r="W453" s="179"/>
      <c r="X453" s="177"/>
      <c r="Y453" s="177"/>
      <c r="Z453" s="177"/>
      <c r="AA453" s="177"/>
      <c r="AB453" s="180"/>
      <c r="AC453" s="174">
        <v>160.1</v>
      </c>
      <c r="AD453" s="177">
        <v>-109.8</v>
      </c>
      <c r="AE453" s="177">
        <v>3.95</v>
      </c>
      <c r="AF453" s="177">
        <v>-0.76</v>
      </c>
      <c r="AG453" s="177">
        <v>109.8</v>
      </c>
      <c r="AH453" s="177">
        <v>-110.1</v>
      </c>
      <c r="AI453" s="177">
        <v>3.72</v>
      </c>
      <c r="AJ453" s="174">
        <v>-0.36</v>
      </c>
      <c r="AK453" s="181"/>
      <c r="AL453" s="182" t="s">
        <v>248</v>
      </c>
      <c r="AM453" s="183"/>
      <c r="AN453" s="182"/>
      <c r="AO453" s="191"/>
      <c r="AP453" s="184"/>
      <c r="AQ453" s="193"/>
      <c r="AR453" s="186"/>
      <c r="AS453" s="187"/>
      <c r="AT453" s="188"/>
      <c r="AU453" s="187"/>
      <c r="AV453" s="187"/>
      <c r="AW453" s="177"/>
      <c r="AX453" s="177"/>
      <c r="AY453" s="177"/>
      <c r="AZ453" s="177"/>
      <c r="BA453" s="187"/>
      <c r="BB453" s="180"/>
      <c r="BC453" s="189"/>
      <c r="BD453" s="189"/>
      <c r="BE453" s="189"/>
      <c r="BF453" s="189"/>
      <c r="BG453" s="189"/>
      <c r="BH453" s="189"/>
      <c r="BI453" s="189"/>
      <c r="BJ453" s="189"/>
      <c r="BK453" s="189"/>
      <c r="BL453" s="189"/>
      <c r="BM453" s="189"/>
      <c r="BN453" s="189"/>
      <c r="BO453" s="189"/>
      <c r="BP453" s="189"/>
      <c r="BQ453" s="189"/>
      <c r="BR453" s="189"/>
    </row>
    <row r="454" spans="1:70" s="190" customFormat="1">
      <c r="A454" s="176">
        <v>452</v>
      </c>
      <c r="F454" s="171"/>
      <c r="G454" s="171"/>
      <c r="H454" s="247"/>
      <c r="I454" s="173">
        <v>50.75</v>
      </c>
      <c r="J454" s="174" t="s">
        <v>260</v>
      </c>
      <c r="K454" s="175" t="s">
        <v>72</v>
      </c>
      <c r="L454" s="175" t="s">
        <v>73</v>
      </c>
      <c r="M454" s="175">
        <v>-369</v>
      </c>
      <c r="N454" s="176">
        <v>1</v>
      </c>
      <c r="O454" s="176">
        <v>200</v>
      </c>
      <c r="P454" s="175">
        <v>348</v>
      </c>
      <c r="Q454" s="175" t="s">
        <v>75</v>
      </c>
      <c r="R454" s="175" t="s">
        <v>570</v>
      </c>
      <c r="S454" s="177"/>
      <c r="T454" s="177"/>
      <c r="U454" s="175">
        <v>983</v>
      </c>
      <c r="V454" s="178">
        <v>1800</v>
      </c>
      <c r="W454" s="179"/>
      <c r="X454" s="177"/>
      <c r="Y454" s="177"/>
      <c r="Z454" s="177"/>
      <c r="AA454" s="177"/>
      <c r="AB454" s="180"/>
      <c r="AC454" s="174">
        <v>160.1</v>
      </c>
      <c r="AD454" s="177">
        <v>-109.8</v>
      </c>
      <c r="AE454" s="177">
        <v>3.95</v>
      </c>
      <c r="AF454" s="177">
        <v>-0.76</v>
      </c>
      <c r="AG454" s="177">
        <v>109.8</v>
      </c>
      <c r="AH454" s="177">
        <v>-110.1</v>
      </c>
      <c r="AI454" s="177">
        <v>3.72</v>
      </c>
      <c r="AJ454" s="174">
        <v>-0.36</v>
      </c>
      <c r="AK454" s="181"/>
      <c r="AL454" s="182" t="s">
        <v>249</v>
      </c>
      <c r="AM454" s="183"/>
      <c r="AN454" s="182"/>
      <c r="AO454" s="191"/>
      <c r="AP454" s="184"/>
      <c r="AQ454" s="193"/>
      <c r="AR454" s="186"/>
      <c r="AS454" s="187"/>
      <c r="AT454" s="188"/>
      <c r="AU454" s="187"/>
      <c r="AV454" s="187"/>
      <c r="AW454" s="177"/>
      <c r="AX454" s="177"/>
      <c r="AY454" s="177"/>
      <c r="AZ454" s="177"/>
      <c r="BA454" s="187"/>
      <c r="BB454" s="180"/>
      <c r="BC454" s="189"/>
      <c r="BD454" s="189"/>
      <c r="BE454" s="189"/>
      <c r="BF454" s="189"/>
      <c r="BG454" s="189"/>
      <c r="BH454" s="189"/>
      <c r="BI454" s="189"/>
      <c r="BJ454" s="189"/>
      <c r="BK454" s="189"/>
      <c r="BL454" s="189"/>
      <c r="BM454" s="189"/>
      <c r="BN454" s="189"/>
      <c r="BO454" s="189"/>
      <c r="BP454" s="189"/>
      <c r="BQ454" s="189"/>
      <c r="BR454" s="189"/>
    </row>
    <row r="455" spans="1:70" s="190" customFormat="1">
      <c r="A455" s="176">
        <v>453</v>
      </c>
      <c r="F455" s="171"/>
      <c r="G455" s="171"/>
      <c r="H455" s="247"/>
      <c r="I455" s="173">
        <v>50.75</v>
      </c>
      <c r="J455" s="174" t="s">
        <v>260</v>
      </c>
      <c r="K455" s="175" t="s">
        <v>72</v>
      </c>
      <c r="L455" s="175" t="s">
        <v>73</v>
      </c>
      <c r="M455" s="175">
        <v>-369</v>
      </c>
      <c r="N455" s="176">
        <v>1</v>
      </c>
      <c r="O455" s="176">
        <v>200</v>
      </c>
      <c r="P455" s="175">
        <v>348</v>
      </c>
      <c r="Q455" s="175" t="s">
        <v>75</v>
      </c>
      <c r="R455" s="175" t="s">
        <v>569</v>
      </c>
      <c r="S455" s="177"/>
      <c r="T455" s="177"/>
      <c r="U455" s="175">
        <v>983</v>
      </c>
      <c r="V455" s="178">
        <v>2150</v>
      </c>
      <c r="W455" s="179"/>
      <c r="X455" s="177"/>
      <c r="Y455" s="177"/>
      <c r="Z455" s="177"/>
      <c r="AA455" s="177"/>
      <c r="AB455" s="180"/>
      <c r="AC455" s="174">
        <v>160.1</v>
      </c>
      <c r="AD455" s="177">
        <v>-109.8</v>
      </c>
      <c r="AE455" s="177">
        <v>3.95</v>
      </c>
      <c r="AF455" s="177">
        <v>-0.76</v>
      </c>
      <c r="AG455" s="177">
        <v>109.8</v>
      </c>
      <c r="AH455" s="177">
        <v>-110.1</v>
      </c>
      <c r="AI455" s="177">
        <v>3.72</v>
      </c>
      <c r="AJ455" s="174">
        <v>-0.36</v>
      </c>
      <c r="AK455" s="181"/>
      <c r="AL455" s="182" t="s">
        <v>342</v>
      </c>
      <c r="AM455" s="183"/>
      <c r="AN455" s="182"/>
      <c r="AO455" s="191"/>
      <c r="AP455" s="184"/>
      <c r="AQ455" s="193"/>
      <c r="AR455" s="186"/>
      <c r="AS455" s="187"/>
      <c r="AT455" s="188"/>
      <c r="AU455" s="187"/>
      <c r="AV455" s="187"/>
      <c r="AW455" s="177"/>
      <c r="AX455" s="177"/>
      <c r="AY455" s="177"/>
      <c r="AZ455" s="177"/>
      <c r="BA455" s="187"/>
      <c r="BB455" s="180"/>
      <c r="BC455" s="189"/>
      <c r="BD455" s="189"/>
      <c r="BE455" s="189"/>
      <c r="BF455" s="189"/>
      <c r="BG455" s="189"/>
      <c r="BH455" s="189"/>
      <c r="BI455" s="189"/>
      <c r="BJ455" s="189"/>
      <c r="BK455" s="189"/>
      <c r="BL455" s="189"/>
      <c r="BM455" s="189"/>
      <c r="BN455" s="189"/>
      <c r="BO455" s="189"/>
      <c r="BP455" s="189"/>
      <c r="BQ455" s="189"/>
      <c r="BR455" s="189"/>
    </row>
    <row r="456" spans="1:70">
      <c r="A456" s="108">
        <v>454</v>
      </c>
      <c r="F456" s="45">
        <v>43136.759664351855</v>
      </c>
      <c r="G456" s="45">
        <v>43136.803182870368</v>
      </c>
      <c r="H456" s="53">
        <f>G456-F456-SUM('user time'!P177:P180)</f>
        <v>4.2407407401317321E-2</v>
      </c>
      <c r="I456" s="86">
        <v>50.84</v>
      </c>
      <c r="J456" s="109" t="s">
        <v>260</v>
      </c>
      <c r="K456" s="88" t="s">
        <v>72</v>
      </c>
      <c r="L456" s="88" t="s">
        <v>73</v>
      </c>
      <c r="M456" s="88">
        <v>-369</v>
      </c>
      <c r="N456" s="108">
        <v>1</v>
      </c>
      <c r="O456" s="108">
        <v>200</v>
      </c>
      <c r="P456" s="88">
        <v>348</v>
      </c>
      <c r="Q456" s="88" t="s">
        <v>75</v>
      </c>
      <c r="R456" s="88" t="s">
        <v>348</v>
      </c>
      <c r="S456" s="110">
        <v>10000</v>
      </c>
      <c r="T456" s="110">
        <v>895</v>
      </c>
      <c r="U456" s="88">
        <v>983</v>
      </c>
      <c r="V456" s="90">
        <v>1500</v>
      </c>
      <c r="W456" s="111">
        <v>10</v>
      </c>
      <c r="X456" s="110">
        <v>49186</v>
      </c>
      <c r="Y456" s="110">
        <v>873713</v>
      </c>
      <c r="Z456" s="110">
        <v>6594101</v>
      </c>
      <c r="AA456" s="110">
        <v>2098168</v>
      </c>
      <c r="AB456" s="112">
        <v>4519350</v>
      </c>
      <c r="AC456" s="109">
        <v>160.1</v>
      </c>
      <c r="AD456" s="110">
        <v>-109.8</v>
      </c>
      <c r="AE456" s="110">
        <v>3.95</v>
      </c>
      <c r="AF456" s="110">
        <v>-0.76</v>
      </c>
      <c r="AG456" s="110">
        <v>109.8</v>
      </c>
      <c r="AH456" s="110">
        <v>-110.1</v>
      </c>
      <c r="AI456" s="110">
        <v>3.72</v>
      </c>
      <c r="AJ456" s="109">
        <v>-0.35</v>
      </c>
      <c r="AK456" s="113" t="s">
        <v>59</v>
      </c>
      <c r="AL456" s="107" t="s">
        <v>181</v>
      </c>
      <c r="AN456" s="107">
        <v>0.96</v>
      </c>
      <c r="AO456" s="48">
        <f t="shared" ref="AO456:AO457" si="552">(HOUR(H456)*60*60+MINUTE(H456)*60+SECOND(H456))/5.2*AA456/W456*AN456</f>
        <v>141926539.42153844</v>
      </c>
      <c r="AP456" s="156">
        <f t="shared" ref="AP456:AP457" si="553">AO456*0.7</f>
        <v>99348577.595076904</v>
      </c>
      <c r="AQ456" s="161">
        <f>AP456+AQ435</f>
        <v>15862217690.124722</v>
      </c>
      <c r="AR456" s="163">
        <f>H456+AR435</f>
        <v>7.3127199073514841</v>
      </c>
      <c r="AS456" s="49">
        <f t="shared" ref="AS456:AS457" si="554">I456*(HOUR(H456)*60+MINUTE(H456))/60/(7*24)</f>
        <v>0.30766269841269844</v>
      </c>
      <c r="AT456" s="165">
        <f>AS456+AT435</f>
        <v>48.42243055555555</v>
      </c>
      <c r="AU456" s="254">
        <f t="shared" ref="AU456:AU490" si="555">AA456/W456*AN456</f>
        <v>201424.12799999997</v>
      </c>
      <c r="AV456" s="255">
        <f t="shared" ref="AV456:AV490" si="556">AB456/W456+AA456/W456*(1-AN456)</f>
        <v>460327.67200000002</v>
      </c>
      <c r="AW456" s="256">
        <f t="shared" ref="AW456:AW490" si="557">AU456/AV456</f>
        <v>0.43756684694810172</v>
      </c>
    </row>
    <row r="457" spans="1:70">
      <c r="A457" s="108">
        <v>455</v>
      </c>
      <c r="F457" s="45">
        <v>43136.803182870368</v>
      </c>
      <c r="G457" s="45">
        <v>43136.846724537034</v>
      </c>
      <c r="H457" s="53">
        <f>G457-F457-SUM('user time'!P181:P184)</f>
        <v>4.2129629628950394E-2</v>
      </c>
      <c r="I457" s="86">
        <v>50.73</v>
      </c>
      <c r="J457" s="109" t="s">
        <v>260</v>
      </c>
      <c r="K457" s="88" t="s">
        <v>72</v>
      </c>
      <c r="L457" s="88" t="s">
        <v>73</v>
      </c>
      <c r="M457" s="88">
        <v>-369</v>
      </c>
      <c r="N457" s="108">
        <v>1</v>
      </c>
      <c r="O457" s="108">
        <v>200</v>
      </c>
      <c r="P457" s="88">
        <v>348</v>
      </c>
      <c r="Q457" s="88" t="s">
        <v>75</v>
      </c>
      <c r="R457" s="88" t="s">
        <v>348</v>
      </c>
      <c r="S457" s="110">
        <v>10000</v>
      </c>
      <c r="T457" s="110">
        <v>880</v>
      </c>
      <c r="U457" s="88">
        <v>983</v>
      </c>
      <c r="V457" s="90">
        <v>1500</v>
      </c>
      <c r="W457" s="111">
        <v>10</v>
      </c>
      <c r="X457" s="110">
        <v>48981</v>
      </c>
      <c r="Y457" s="110">
        <v>871942</v>
      </c>
      <c r="Z457" s="110">
        <v>6564075</v>
      </c>
      <c r="AA457" s="110">
        <v>2086385</v>
      </c>
      <c r="AB457" s="112">
        <v>4501744</v>
      </c>
      <c r="AC457" s="109">
        <v>160.1</v>
      </c>
      <c r="AD457" s="110">
        <v>-109.8</v>
      </c>
      <c r="AE457" s="110">
        <v>3.94</v>
      </c>
      <c r="AF457" s="110">
        <v>-0.76</v>
      </c>
      <c r="AG457" s="110">
        <v>109.8</v>
      </c>
      <c r="AH457" s="110">
        <v>-110.1</v>
      </c>
      <c r="AI457" s="110">
        <v>3.72</v>
      </c>
      <c r="AJ457" s="109">
        <v>-0.35</v>
      </c>
      <c r="AK457" s="113" t="s">
        <v>59</v>
      </c>
      <c r="AL457" s="107" t="s">
        <v>181</v>
      </c>
      <c r="AN457" s="107">
        <v>0.95799999999999996</v>
      </c>
      <c r="AO457" s="48">
        <f t="shared" si="552"/>
        <v>139912978.09999999</v>
      </c>
      <c r="AP457" s="156">
        <f t="shared" si="553"/>
        <v>97939084.669999987</v>
      </c>
      <c r="AQ457" s="161">
        <f t="shared" ref="AQ457" si="558">AP457+AQ456</f>
        <v>15960156774.794722</v>
      </c>
      <c r="AR457" s="163">
        <f t="shared" ref="AR457" si="559">H457+AR456</f>
        <v>7.354849536980435</v>
      </c>
      <c r="AS457" s="49">
        <f t="shared" si="554"/>
        <v>0.30196428571428569</v>
      </c>
      <c r="AT457" s="165">
        <f t="shared" ref="AT457" si="560">AS457+AT456</f>
        <v>48.724394841269834</v>
      </c>
      <c r="AU457" s="254">
        <f t="shared" si="555"/>
        <v>199875.68299999999</v>
      </c>
      <c r="AV457" s="255">
        <f t="shared" si="556"/>
        <v>458937.217</v>
      </c>
      <c r="AW457" s="256">
        <f t="shared" si="557"/>
        <v>0.43551857551792317</v>
      </c>
    </row>
    <row r="458" spans="1:70">
      <c r="A458" s="108">
        <v>456</v>
      </c>
      <c r="F458" s="45">
        <v>43136.846759259257</v>
      </c>
      <c r="G458" s="45">
        <v>43136.890185185184</v>
      </c>
      <c r="H458" s="53">
        <f>G458-F458</f>
        <v>4.3425925927294884E-2</v>
      </c>
      <c r="I458" s="86">
        <v>50.79</v>
      </c>
      <c r="J458" s="109" t="s">
        <v>260</v>
      </c>
      <c r="K458" s="88" t="s">
        <v>72</v>
      </c>
      <c r="L458" s="88" t="s">
        <v>73</v>
      </c>
      <c r="M458" s="88">
        <v>-369</v>
      </c>
      <c r="N458" s="108">
        <v>1</v>
      </c>
      <c r="O458" s="108">
        <v>200</v>
      </c>
      <c r="P458" s="88">
        <v>348</v>
      </c>
      <c r="Q458" s="88" t="s">
        <v>75</v>
      </c>
      <c r="R458" s="88" t="s">
        <v>348</v>
      </c>
      <c r="S458" s="110">
        <v>10000</v>
      </c>
      <c r="T458" s="110">
        <v>895</v>
      </c>
      <c r="U458" s="88">
        <v>983</v>
      </c>
      <c r="V458" s="90">
        <v>1500</v>
      </c>
      <c r="W458" s="111">
        <v>10</v>
      </c>
      <c r="X458" s="110">
        <v>49092</v>
      </c>
      <c r="Y458" s="110">
        <v>871951</v>
      </c>
      <c r="Z458" s="110">
        <v>6566064</v>
      </c>
      <c r="AA458" s="110">
        <v>2091629</v>
      </c>
      <c r="AB458" s="112">
        <v>4498690</v>
      </c>
      <c r="AC458" s="109">
        <v>160.19999999999999</v>
      </c>
      <c r="AD458" s="110">
        <v>-109.8</v>
      </c>
      <c r="AE458" s="110">
        <v>3.94</v>
      </c>
      <c r="AF458" s="110">
        <v>-0.76</v>
      </c>
      <c r="AG458" s="110">
        <v>109.8</v>
      </c>
      <c r="AH458" s="110">
        <v>-110.1</v>
      </c>
      <c r="AI458" s="110">
        <v>3.72</v>
      </c>
      <c r="AJ458" s="109">
        <v>-0.35</v>
      </c>
      <c r="AK458" s="113" t="s">
        <v>59</v>
      </c>
      <c r="AL458" s="107" t="s">
        <v>181</v>
      </c>
      <c r="AN458" s="107">
        <v>0.95499999999999996</v>
      </c>
      <c r="AO458" s="48">
        <f t="shared" ref="AO458:AO468" si="561">(HOUR(H458)*60*60+MINUTE(H458)*60+SECOND(H458))/5.2*AA458/W458*AN458</f>
        <v>144127718.60846153</v>
      </c>
      <c r="AP458" s="156">
        <f t="shared" ref="AP458:AP468" si="562">AO458*0.7</f>
        <v>100889403.02592306</v>
      </c>
      <c r="AQ458" s="161">
        <f t="shared" ref="AQ458:AQ468" si="563">AP458+AQ457</f>
        <v>16061046177.820644</v>
      </c>
      <c r="AR458" s="163">
        <f t="shared" ref="AR458:AR468" si="564">H458+AR457</f>
        <v>7.3982754629077299</v>
      </c>
      <c r="AS458" s="49">
        <f t="shared" ref="AS458:AS468" si="565">I458*(HOUR(H458)*60+MINUTE(H458))/60/(7*24)</f>
        <v>0.3123988095238095</v>
      </c>
      <c r="AT458" s="165">
        <f t="shared" ref="AT458:AT468" si="566">AS458+AT457</f>
        <v>49.036793650793641</v>
      </c>
      <c r="AU458" s="254">
        <f t="shared" si="555"/>
        <v>199750.56949999998</v>
      </c>
      <c r="AV458" s="255">
        <f t="shared" si="556"/>
        <v>459281.33049999998</v>
      </c>
      <c r="AW458" s="256">
        <f t="shared" si="557"/>
        <v>0.43491985464016153</v>
      </c>
    </row>
    <row r="459" spans="1:70">
      <c r="A459" s="108">
        <v>457</v>
      </c>
      <c r="F459" s="45">
        <v>43136.890219907407</v>
      </c>
      <c r="G459" s="45">
        <v>43136.932916666665</v>
      </c>
      <c r="H459" s="53">
        <f>G459-F459-'user time'!P185-'user time'!P186</f>
        <v>4.2187499998264433E-2</v>
      </c>
      <c r="I459" s="86">
        <v>50.85</v>
      </c>
      <c r="J459" s="109" t="s">
        <v>260</v>
      </c>
      <c r="K459" s="88" t="s">
        <v>72</v>
      </c>
      <c r="L459" s="88" t="s">
        <v>73</v>
      </c>
      <c r="M459" s="88">
        <v>-369</v>
      </c>
      <c r="N459" s="108">
        <v>1</v>
      </c>
      <c r="O459" s="108">
        <v>200</v>
      </c>
      <c r="P459" s="88">
        <v>348</v>
      </c>
      <c r="Q459" s="88" t="s">
        <v>75</v>
      </c>
      <c r="R459" s="88" t="s">
        <v>348</v>
      </c>
      <c r="S459" s="110">
        <v>10000</v>
      </c>
      <c r="T459" s="110">
        <v>892</v>
      </c>
      <c r="U459" s="88">
        <v>983</v>
      </c>
      <c r="V459" s="90">
        <v>1500</v>
      </c>
      <c r="W459" s="111">
        <v>10</v>
      </c>
      <c r="X459" s="110">
        <v>49092</v>
      </c>
      <c r="Y459" s="110">
        <v>872383</v>
      </c>
      <c r="Z459" s="110">
        <v>6546753</v>
      </c>
      <c r="AA459" s="110">
        <v>2083717</v>
      </c>
      <c r="AB459" s="112">
        <v>4488002</v>
      </c>
      <c r="AC459" s="109">
        <v>160.19999999999999</v>
      </c>
      <c r="AD459" s="110">
        <v>-109.8</v>
      </c>
      <c r="AE459" s="110">
        <v>3.94</v>
      </c>
      <c r="AF459" s="110">
        <v>-0.76</v>
      </c>
      <c r="AG459" s="110">
        <v>109.8</v>
      </c>
      <c r="AH459" s="110">
        <v>-110.1</v>
      </c>
      <c r="AI459" s="110">
        <v>3.72</v>
      </c>
      <c r="AJ459" s="109">
        <v>-0.35</v>
      </c>
      <c r="AK459" s="113" t="s">
        <v>59</v>
      </c>
      <c r="AL459" s="107" t="s">
        <v>181</v>
      </c>
      <c r="AN459" s="107">
        <v>0.96</v>
      </c>
      <c r="AO459" s="48">
        <f t="shared" si="561"/>
        <v>140218125.50769231</v>
      </c>
      <c r="AP459" s="156">
        <f t="shared" si="562"/>
        <v>98152687.855384603</v>
      </c>
      <c r="AQ459" s="161">
        <f t="shared" si="563"/>
        <v>16159198865.676029</v>
      </c>
      <c r="AR459" s="163">
        <f t="shared" si="564"/>
        <v>7.4404629629059942</v>
      </c>
      <c r="AS459" s="49">
        <f t="shared" si="565"/>
        <v>0.30267857142857146</v>
      </c>
      <c r="AT459" s="165">
        <f t="shared" si="566"/>
        <v>49.339472222222213</v>
      </c>
      <c r="AU459" s="254">
        <f t="shared" si="555"/>
        <v>200036.83199999999</v>
      </c>
      <c r="AV459" s="255">
        <f t="shared" si="556"/>
        <v>457135.06800000003</v>
      </c>
      <c r="AW459" s="256">
        <f t="shared" si="557"/>
        <v>0.43758802595297719</v>
      </c>
    </row>
    <row r="460" spans="1:70">
      <c r="A460" s="108">
        <v>458</v>
      </c>
      <c r="F460" s="45">
        <v>43136.932951388888</v>
      </c>
      <c r="G460" s="45">
        <v>43136.976620370369</v>
      </c>
      <c r="H460" s="53">
        <f>G460-F460-'user time'!P187</f>
        <v>4.3148148148126619E-2</v>
      </c>
      <c r="I460" s="86">
        <v>50.83</v>
      </c>
      <c r="J460" s="109" t="s">
        <v>260</v>
      </c>
      <c r="K460" s="88" t="s">
        <v>72</v>
      </c>
      <c r="L460" s="88" t="s">
        <v>73</v>
      </c>
      <c r="M460" s="88">
        <v>-369</v>
      </c>
      <c r="N460" s="108">
        <v>1</v>
      </c>
      <c r="O460" s="108">
        <v>200</v>
      </c>
      <c r="P460" s="88">
        <v>348</v>
      </c>
      <c r="Q460" s="88" t="s">
        <v>75</v>
      </c>
      <c r="R460" s="88" t="s">
        <v>348</v>
      </c>
      <c r="S460" s="110">
        <v>10000</v>
      </c>
      <c r="T460" s="110">
        <v>892</v>
      </c>
      <c r="U460" s="88">
        <v>983</v>
      </c>
      <c r="V460" s="90">
        <v>1500</v>
      </c>
      <c r="W460" s="111">
        <v>10</v>
      </c>
      <c r="X460" s="110">
        <v>48911</v>
      </c>
      <c r="Y460" s="110">
        <v>873028</v>
      </c>
      <c r="Z460" s="110">
        <v>6580418</v>
      </c>
      <c r="AA460" s="110">
        <v>2096697</v>
      </c>
      <c r="AB460" s="112">
        <v>4507218</v>
      </c>
      <c r="AC460" s="109">
        <v>160.19999999999999</v>
      </c>
      <c r="AD460" s="110">
        <v>-109.8</v>
      </c>
      <c r="AE460" s="110">
        <v>3.94</v>
      </c>
      <c r="AF460" s="110">
        <v>-0.76</v>
      </c>
      <c r="AG460" s="110">
        <v>109.8</v>
      </c>
      <c r="AH460" s="110">
        <v>-110.1</v>
      </c>
      <c r="AI460" s="110">
        <v>3.72</v>
      </c>
      <c r="AJ460" s="109">
        <v>-0.35</v>
      </c>
      <c r="AK460" s="113" t="s">
        <v>59</v>
      </c>
      <c r="AL460" s="107" t="s">
        <v>589</v>
      </c>
      <c r="AN460" s="107">
        <v>0.95899999999999996</v>
      </c>
      <c r="AO460" s="48">
        <f t="shared" si="561"/>
        <v>144154047.55661538</v>
      </c>
      <c r="AP460" s="156">
        <f t="shared" si="562"/>
        <v>100907833.28963076</v>
      </c>
      <c r="AQ460" s="161">
        <f t="shared" si="563"/>
        <v>16260106698.96566</v>
      </c>
      <c r="AR460" s="163">
        <f t="shared" si="564"/>
        <v>7.4836111110541204</v>
      </c>
      <c r="AS460" s="49">
        <f t="shared" si="565"/>
        <v>0.31264484126984127</v>
      </c>
      <c r="AT460" s="165">
        <f t="shared" si="566"/>
        <v>49.652117063492057</v>
      </c>
      <c r="AU460" s="254">
        <f t="shared" si="555"/>
        <v>201073.24230000001</v>
      </c>
      <c r="AV460" s="255">
        <f t="shared" si="556"/>
        <v>459318.25770000002</v>
      </c>
      <c r="AW460" s="256">
        <f t="shared" si="557"/>
        <v>0.43776453238949925</v>
      </c>
    </row>
    <row r="461" spans="1:70">
      <c r="A461" s="108">
        <v>459</v>
      </c>
      <c r="F461" s="45">
        <v>43136.977141203701</v>
      </c>
      <c r="G461" s="45">
        <v>43137.019270833334</v>
      </c>
      <c r="H461" s="53">
        <f>G461-F461-'user time'!U76</f>
        <v>4.1643518522452926E-2</v>
      </c>
      <c r="I461" s="86">
        <v>50.83</v>
      </c>
      <c r="J461" s="109" t="s">
        <v>260</v>
      </c>
      <c r="K461" s="88" t="s">
        <v>72</v>
      </c>
      <c r="L461" s="88" t="s">
        <v>73</v>
      </c>
      <c r="M461" s="88">
        <v>-369</v>
      </c>
      <c r="N461" s="108">
        <v>1</v>
      </c>
      <c r="O461" s="108">
        <v>200</v>
      </c>
      <c r="P461" s="88">
        <v>348</v>
      </c>
      <c r="Q461" s="88" t="s">
        <v>75</v>
      </c>
      <c r="R461" s="88" t="s">
        <v>348</v>
      </c>
      <c r="S461" s="110">
        <v>10000</v>
      </c>
      <c r="T461" s="110">
        <v>899</v>
      </c>
      <c r="U461" s="88">
        <v>983</v>
      </c>
      <c r="V461" s="90">
        <v>1500</v>
      </c>
      <c r="W461" s="111">
        <v>10</v>
      </c>
      <c r="X461" s="110">
        <v>49003</v>
      </c>
      <c r="Y461" s="110">
        <v>874933</v>
      </c>
      <c r="Z461" s="110">
        <v>6570529</v>
      </c>
      <c r="AA461" s="110">
        <v>2094032</v>
      </c>
      <c r="AB461" s="112">
        <v>4500305</v>
      </c>
      <c r="AC461" s="109">
        <v>160.19999999999999</v>
      </c>
      <c r="AD461" s="110">
        <v>-109.8</v>
      </c>
      <c r="AE461" s="110">
        <v>3.94</v>
      </c>
      <c r="AF461" s="110">
        <v>-0.76</v>
      </c>
      <c r="AG461" s="110">
        <v>109.8</v>
      </c>
      <c r="AH461" s="110">
        <v>-110.1</v>
      </c>
      <c r="AI461" s="110">
        <v>3.71</v>
      </c>
      <c r="AJ461" s="109">
        <v>-0.35</v>
      </c>
      <c r="AK461" s="113" t="s">
        <v>59</v>
      </c>
      <c r="AL461" s="107" t="s">
        <v>181</v>
      </c>
      <c r="AN461" s="107">
        <v>0.95799999999999996</v>
      </c>
      <c r="AO461" s="48">
        <f t="shared" si="561"/>
        <v>138805488.39015386</v>
      </c>
      <c r="AP461" s="156">
        <f t="shared" si="562"/>
        <v>97163841.873107687</v>
      </c>
      <c r="AQ461" s="161">
        <f t="shared" si="563"/>
        <v>16357270540.838768</v>
      </c>
      <c r="AR461" s="163">
        <f t="shared" si="564"/>
        <v>7.5252546295765734</v>
      </c>
      <c r="AS461" s="49">
        <f t="shared" si="565"/>
        <v>0.29751686507936509</v>
      </c>
      <c r="AT461" s="165">
        <f t="shared" si="566"/>
        <v>49.949633928571423</v>
      </c>
      <c r="AU461" s="254">
        <f t="shared" si="555"/>
        <v>200608.26560000001</v>
      </c>
      <c r="AV461" s="255">
        <f t="shared" si="556"/>
        <v>458825.43440000003</v>
      </c>
      <c r="AW461" s="256">
        <f t="shared" si="557"/>
        <v>0.43722132767624966</v>
      </c>
    </row>
    <row r="462" spans="1:70">
      <c r="A462" s="108">
        <v>460</v>
      </c>
      <c r="F462" s="45">
        <v>43137.019699074073</v>
      </c>
      <c r="G462" s="45">
        <v>43137.039201388892</v>
      </c>
      <c r="H462" s="53">
        <f>G462-F462</f>
        <v>1.9502314818964805E-2</v>
      </c>
      <c r="I462" s="86">
        <v>50.79</v>
      </c>
      <c r="J462" s="109" t="s">
        <v>260</v>
      </c>
      <c r="K462" s="88" t="s">
        <v>72</v>
      </c>
      <c r="L462" s="88" t="s">
        <v>73</v>
      </c>
      <c r="M462" s="88">
        <v>-369</v>
      </c>
      <c r="N462" s="108">
        <v>1</v>
      </c>
      <c r="O462" s="108">
        <v>200</v>
      </c>
      <c r="P462" s="88">
        <v>348</v>
      </c>
      <c r="Q462" s="88" t="s">
        <v>75</v>
      </c>
      <c r="R462" s="88" t="s">
        <v>348</v>
      </c>
      <c r="S462" s="110">
        <v>10200</v>
      </c>
      <c r="T462" s="110">
        <v>911</v>
      </c>
      <c r="U462" s="88">
        <v>983</v>
      </c>
      <c r="V462" s="90">
        <v>1500</v>
      </c>
      <c r="W462" s="111">
        <v>10</v>
      </c>
      <c r="X462" s="110">
        <v>49106</v>
      </c>
      <c r="Y462" s="110">
        <v>874650</v>
      </c>
      <c r="Z462" s="110">
        <v>6553316</v>
      </c>
      <c r="AA462" s="110">
        <v>2089392</v>
      </c>
      <c r="AB462" s="112">
        <v>4488229</v>
      </c>
      <c r="AC462" s="109">
        <v>160.1</v>
      </c>
      <c r="AD462" s="110">
        <v>-109.8</v>
      </c>
      <c r="AE462" s="110">
        <v>3.94</v>
      </c>
      <c r="AF462" s="110">
        <v>-0.76</v>
      </c>
      <c r="AG462" s="110">
        <v>109.8</v>
      </c>
      <c r="AH462" s="110">
        <v>-110.1</v>
      </c>
      <c r="AI462" s="110">
        <v>3.71</v>
      </c>
      <c r="AJ462" s="109">
        <v>-0.36</v>
      </c>
      <c r="AK462" s="113" t="s">
        <v>59</v>
      </c>
      <c r="AL462" s="107" t="s">
        <v>559</v>
      </c>
      <c r="AN462" s="107">
        <v>0.95599999999999996</v>
      </c>
      <c r="AO462" s="48">
        <f t="shared" si="561"/>
        <v>64725346.098461539</v>
      </c>
      <c r="AP462" s="156">
        <f t="shared" si="562"/>
        <v>45307742.268923074</v>
      </c>
      <c r="AQ462" s="161">
        <f t="shared" si="563"/>
        <v>16402578283.107691</v>
      </c>
      <c r="AR462" s="163">
        <f t="shared" si="564"/>
        <v>7.5447569443955382</v>
      </c>
      <c r="AS462" s="49">
        <f t="shared" si="565"/>
        <v>0.14108333333333331</v>
      </c>
      <c r="AT462" s="165">
        <f t="shared" si="566"/>
        <v>50.090717261904757</v>
      </c>
      <c r="AU462" s="254">
        <f t="shared" si="555"/>
        <v>199745.87520000001</v>
      </c>
      <c r="AV462" s="255">
        <f t="shared" si="556"/>
        <v>458016.22480000003</v>
      </c>
      <c r="AW462" s="256">
        <f t="shared" si="557"/>
        <v>0.43611091569348265</v>
      </c>
    </row>
    <row r="463" spans="1:70">
      <c r="A463" s="108">
        <v>461</v>
      </c>
      <c r="F463" s="45">
        <v>43137.039756944447</v>
      </c>
      <c r="G463" s="45">
        <v>43137.081562500003</v>
      </c>
      <c r="H463" s="53">
        <f>G463-F463</f>
        <v>4.1805555556493346E-2</v>
      </c>
      <c r="I463" s="86">
        <v>50.87</v>
      </c>
      <c r="J463" s="109" t="s">
        <v>260</v>
      </c>
      <c r="K463" s="88" t="s">
        <v>72</v>
      </c>
      <c r="L463" s="88" t="s">
        <v>73</v>
      </c>
      <c r="M463" s="88">
        <v>-369</v>
      </c>
      <c r="N463" s="108">
        <v>1</v>
      </c>
      <c r="O463" s="108">
        <v>200</v>
      </c>
      <c r="P463" s="88">
        <v>348</v>
      </c>
      <c r="Q463" s="88" t="s">
        <v>75</v>
      </c>
      <c r="R463" s="88" t="s">
        <v>348</v>
      </c>
      <c r="S463" s="110">
        <v>10100</v>
      </c>
      <c r="T463" s="110">
        <v>900</v>
      </c>
      <c r="U463" s="88">
        <v>983</v>
      </c>
      <c r="V463" s="90">
        <v>1500</v>
      </c>
      <c r="W463" s="111">
        <v>10</v>
      </c>
      <c r="X463" s="110">
        <v>49316</v>
      </c>
      <c r="Y463" s="110">
        <v>871722</v>
      </c>
      <c r="Z463" s="110">
        <v>6540598</v>
      </c>
      <c r="AA463" s="110">
        <v>2084831</v>
      </c>
      <c r="AB463" s="112">
        <v>4479710</v>
      </c>
      <c r="AC463" s="109">
        <v>160.1</v>
      </c>
      <c r="AD463" s="110">
        <v>-109.8</v>
      </c>
      <c r="AE463" s="110">
        <v>3.94</v>
      </c>
      <c r="AF463" s="110">
        <v>-0.76</v>
      </c>
      <c r="AG463" s="110">
        <v>109.8</v>
      </c>
      <c r="AH463" s="110">
        <v>-110.1</v>
      </c>
      <c r="AI463" s="110">
        <v>3.71</v>
      </c>
      <c r="AJ463" s="109">
        <v>-0.35</v>
      </c>
      <c r="AK463" s="113" t="s">
        <v>59</v>
      </c>
      <c r="AL463" s="107" t="s">
        <v>181</v>
      </c>
      <c r="AN463" s="107">
        <v>0.96</v>
      </c>
      <c r="AO463" s="48">
        <f t="shared" si="561"/>
        <v>139022945.94461536</v>
      </c>
      <c r="AP463" s="156">
        <f t="shared" si="562"/>
        <v>97316062.161230743</v>
      </c>
      <c r="AQ463" s="161">
        <f t="shared" si="563"/>
        <v>16499894345.268921</v>
      </c>
      <c r="AR463" s="163">
        <f t="shared" si="564"/>
        <v>7.5865624999520316</v>
      </c>
      <c r="AS463" s="49">
        <f t="shared" si="565"/>
        <v>0.30279761904761904</v>
      </c>
      <c r="AT463" s="165">
        <f t="shared" si="566"/>
        <v>50.393514880952374</v>
      </c>
      <c r="AU463" s="254">
        <f t="shared" si="555"/>
        <v>200143.77600000001</v>
      </c>
      <c r="AV463" s="255">
        <f t="shared" si="556"/>
        <v>456310.32400000002</v>
      </c>
      <c r="AW463" s="256">
        <f t="shared" si="557"/>
        <v>0.43861329773463553</v>
      </c>
    </row>
    <row r="464" spans="1:70">
      <c r="A464" s="108">
        <v>462</v>
      </c>
      <c r="F464" s="45">
        <v>43137.081620370373</v>
      </c>
      <c r="G464" s="45">
        <v>43137.218738425923</v>
      </c>
      <c r="H464" s="53">
        <f>G464-F464-SUM('user time'!U77:U79)</f>
        <v>3.9004629624746656E-2</v>
      </c>
      <c r="I464" s="86">
        <v>50.81</v>
      </c>
      <c r="J464" s="109" t="s">
        <v>260</v>
      </c>
      <c r="K464" s="88" t="s">
        <v>72</v>
      </c>
      <c r="L464" s="88" t="s">
        <v>73</v>
      </c>
      <c r="M464" s="88">
        <v>-369</v>
      </c>
      <c r="N464" s="108">
        <v>1</v>
      </c>
      <c r="O464" s="108">
        <v>200</v>
      </c>
      <c r="P464" s="88">
        <v>348</v>
      </c>
      <c r="Q464" s="88" t="s">
        <v>75</v>
      </c>
      <c r="R464" s="88" t="s">
        <v>348</v>
      </c>
      <c r="S464" s="110">
        <v>10200</v>
      </c>
      <c r="T464" s="110">
        <v>903</v>
      </c>
      <c r="U464" s="88">
        <v>983</v>
      </c>
      <c r="V464" s="90">
        <v>1500</v>
      </c>
      <c r="W464" s="111">
        <v>10</v>
      </c>
      <c r="X464" s="110">
        <v>49022</v>
      </c>
      <c r="Y464" s="110">
        <v>871634</v>
      </c>
      <c r="Z464" s="110">
        <v>6558664</v>
      </c>
      <c r="AA464" s="110">
        <v>2085472</v>
      </c>
      <c r="AB464" s="112">
        <v>4497792</v>
      </c>
      <c r="AC464" s="109">
        <v>160.1</v>
      </c>
      <c r="AD464" s="110">
        <v>-109.8</v>
      </c>
      <c r="AE464" s="110">
        <v>3.95</v>
      </c>
      <c r="AF464" s="110">
        <v>-0.76</v>
      </c>
      <c r="AG464" s="110">
        <v>109.8</v>
      </c>
      <c r="AH464" s="110">
        <v>-110.1</v>
      </c>
      <c r="AI464" s="110">
        <v>3.71</v>
      </c>
      <c r="AJ464" s="109">
        <v>-0.35</v>
      </c>
      <c r="AK464" s="113" t="s">
        <v>59</v>
      </c>
      <c r="AL464" s="107" t="s">
        <v>561</v>
      </c>
      <c r="AN464" s="107">
        <v>0.96099999999999997</v>
      </c>
      <c r="AO464" s="48">
        <f t="shared" si="561"/>
        <v>129883597.21230768</v>
      </c>
      <c r="AP464" s="156">
        <f t="shared" si="562"/>
        <v>90918518.048615366</v>
      </c>
      <c r="AQ464" s="161">
        <f t="shared" si="563"/>
        <v>16590812863.317535</v>
      </c>
      <c r="AR464" s="163">
        <f t="shared" si="564"/>
        <v>7.625567129576778</v>
      </c>
      <c r="AS464" s="49">
        <f t="shared" si="565"/>
        <v>0.28227777777777779</v>
      </c>
      <c r="AT464" s="165">
        <f t="shared" si="566"/>
        <v>50.675792658730153</v>
      </c>
      <c r="AU464" s="254">
        <f t="shared" si="555"/>
        <v>200413.85920000001</v>
      </c>
      <c r="AV464" s="255">
        <f t="shared" si="556"/>
        <v>457912.54080000002</v>
      </c>
      <c r="AW464" s="256">
        <f t="shared" si="557"/>
        <v>0.43766842211804302</v>
      </c>
    </row>
    <row r="465" spans="1:49">
      <c r="A465" s="108">
        <v>463</v>
      </c>
      <c r="F465" s="45">
        <v>43137.218819444446</v>
      </c>
      <c r="G465" s="45">
        <v>43137.259942129633</v>
      </c>
      <c r="H465" s="53">
        <f>G465-F465-'user time'!U80-'user time'!U81</f>
        <v>4.062500000137978E-2</v>
      </c>
      <c r="I465" s="86">
        <v>50.78</v>
      </c>
      <c r="J465" s="109" t="s">
        <v>260</v>
      </c>
      <c r="K465" s="88" t="s">
        <v>72</v>
      </c>
      <c r="L465" s="88" t="s">
        <v>73</v>
      </c>
      <c r="M465" s="88">
        <v>-369</v>
      </c>
      <c r="N465" s="108">
        <v>1</v>
      </c>
      <c r="O465" s="108">
        <v>200</v>
      </c>
      <c r="P465" s="88">
        <v>348</v>
      </c>
      <c r="Q465" s="88" t="s">
        <v>75</v>
      </c>
      <c r="R465" s="88" t="s">
        <v>348</v>
      </c>
      <c r="S465" s="110">
        <v>10200</v>
      </c>
      <c r="T465" s="110">
        <v>910</v>
      </c>
      <c r="U465" s="88">
        <v>983</v>
      </c>
      <c r="V465" s="90">
        <v>1500</v>
      </c>
      <c r="W465" s="111">
        <v>10</v>
      </c>
      <c r="X465" s="110">
        <v>49360</v>
      </c>
      <c r="Y465" s="110">
        <v>871291</v>
      </c>
      <c r="Z465" s="110">
        <v>6566047</v>
      </c>
      <c r="AA465" s="110">
        <v>2085123</v>
      </c>
      <c r="AB465" s="112">
        <v>4505968</v>
      </c>
      <c r="AC465" s="109">
        <v>160.1</v>
      </c>
      <c r="AD465" s="110">
        <v>-109.8</v>
      </c>
      <c r="AE465" s="110">
        <v>3.95</v>
      </c>
      <c r="AF465" s="110">
        <v>-0.76</v>
      </c>
      <c r="AG465" s="110">
        <v>109.8</v>
      </c>
      <c r="AH465" s="110">
        <v>-110.1</v>
      </c>
      <c r="AI465" s="110">
        <v>3.71</v>
      </c>
      <c r="AJ465" s="109">
        <v>-0.36</v>
      </c>
      <c r="AK465" s="113" t="s">
        <v>59</v>
      </c>
      <c r="AL465" s="107" t="s">
        <v>181</v>
      </c>
      <c r="AN465" s="107">
        <v>0.95799999999999996</v>
      </c>
      <c r="AO465" s="48">
        <f t="shared" si="561"/>
        <v>134834478.79499999</v>
      </c>
      <c r="AP465" s="156">
        <f t="shared" si="562"/>
        <v>94384135.156499982</v>
      </c>
      <c r="AQ465" s="161">
        <f t="shared" si="563"/>
        <v>16685196998.474035</v>
      </c>
      <c r="AR465" s="163">
        <f t="shared" si="564"/>
        <v>7.6661921295781577</v>
      </c>
      <c r="AS465" s="49">
        <f t="shared" si="565"/>
        <v>0.29218650793650797</v>
      </c>
      <c r="AT465" s="165">
        <f t="shared" si="566"/>
        <v>50.967979166666659</v>
      </c>
      <c r="AU465" s="254">
        <f t="shared" si="555"/>
        <v>199754.78339999999</v>
      </c>
      <c r="AV465" s="255">
        <f t="shared" si="556"/>
        <v>459354.31660000002</v>
      </c>
      <c r="AW465" s="256">
        <f t="shared" si="557"/>
        <v>0.43485992442288063</v>
      </c>
    </row>
    <row r="466" spans="1:49">
      <c r="A466" s="108">
        <v>464</v>
      </c>
      <c r="F466" s="45">
        <v>43137.260011574072</v>
      </c>
      <c r="G466" s="45">
        <v>43137.303090277775</v>
      </c>
      <c r="H466" s="53">
        <f>G466-F466-'user time'!U82</f>
        <v>4.0879629629866743E-2</v>
      </c>
      <c r="I466" s="86">
        <v>50.91</v>
      </c>
      <c r="J466" s="109" t="s">
        <v>260</v>
      </c>
      <c r="K466" s="88" t="s">
        <v>72</v>
      </c>
      <c r="L466" s="88" t="s">
        <v>73</v>
      </c>
      <c r="M466" s="88">
        <v>-369</v>
      </c>
      <c r="N466" s="108">
        <v>1</v>
      </c>
      <c r="O466" s="108">
        <v>200</v>
      </c>
      <c r="P466" s="88">
        <v>348</v>
      </c>
      <c r="Q466" s="88" t="s">
        <v>75</v>
      </c>
      <c r="R466" s="88" t="s">
        <v>348</v>
      </c>
      <c r="S466" s="110">
        <v>10200</v>
      </c>
      <c r="T466" s="110">
        <v>912</v>
      </c>
      <c r="U466" s="88">
        <v>983</v>
      </c>
      <c r="V466" s="90">
        <v>1500</v>
      </c>
      <c r="W466" s="111">
        <v>10</v>
      </c>
      <c r="X466" s="110">
        <v>48666</v>
      </c>
      <c r="Y466" s="110">
        <v>874499</v>
      </c>
      <c r="Z466" s="110">
        <v>6585017</v>
      </c>
      <c r="AA466" s="110">
        <v>2089548</v>
      </c>
      <c r="AB466" s="112">
        <v>4519707</v>
      </c>
      <c r="AC466" s="109">
        <v>160.1</v>
      </c>
      <c r="AD466" s="110">
        <v>-109.8</v>
      </c>
      <c r="AE466" s="110">
        <v>3.95</v>
      </c>
      <c r="AF466" s="110">
        <v>-0.77</v>
      </c>
      <c r="AG466" s="110">
        <v>109.8</v>
      </c>
      <c r="AH466" s="110">
        <v>-110.1</v>
      </c>
      <c r="AI466" s="110">
        <v>3.71</v>
      </c>
      <c r="AJ466" s="109">
        <v>-0.35</v>
      </c>
      <c r="AK466" s="113" t="s">
        <v>59</v>
      </c>
      <c r="AL466" s="107" t="s">
        <v>181</v>
      </c>
      <c r="AN466" s="107">
        <v>0.95199999999999996</v>
      </c>
      <c r="AO466" s="48">
        <f t="shared" si="561"/>
        <v>135115960.12061533</v>
      </c>
      <c r="AP466" s="156">
        <f t="shared" si="562"/>
        <v>94581172.084430724</v>
      </c>
      <c r="AQ466" s="161">
        <f t="shared" si="563"/>
        <v>16779778170.558466</v>
      </c>
      <c r="AR466" s="163">
        <f t="shared" si="564"/>
        <v>7.7070717592080245</v>
      </c>
      <c r="AS466" s="49">
        <f t="shared" si="565"/>
        <v>0.29293452380952378</v>
      </c>
      <c r="AT466" s="165">
        <f t="shared" si="566"/>
        <v>51.26091369047618</v>
      </c>
      <c r="AU466" s="254">
        <f t="shared" si="555"/>
        <v>198924.96959999998</v>
      </c>
      <c r="AV466" s="255">
        <f t="shared" si="556"/>
        <v>462000.53040000005</v>
      </c>
      <c r="AW466" s="256">
        <f t="shared" si="557"/>
        <v>0.43057303295251792</v>
      </c>
    </row>
    <row r="467" spans="1:49">
      <c r="A467" s="108">
        <v>465</v>
      </c>
      <c r="F467" s="45">
        <v>43137.303020833337</v>
      </c>
      <c r="G467" s="45">
        <v>43137.348067129627</v>
      </c>
      <c r="H467" s="53">
        <f>G467-F467-'user time'!U83-'user time'!U84</f>
        <v>4.1122685179709406E-2</v>
      </c>
      <c r="I467" s="86">
        <v>50.82</v>
      </c>
      <c r="J467" s="109" t="s">
        <v>260</v>
      </c>
      <c r="K467" s="88" t="s">
        <v>72</v>
      </c>
      <c r="L467" s="88" t="s">
        <v>73</v>
      </c>
      <c r="M467" s="88">
        <v>-369</v>
      </c>
      <c r="N467" s="108">
        <v>1</v>
      </c>
      <c r="O467" s="108">
        <v>200</v>
      </c>
      <c r="P467" s="88">
        <v>348</v>
      </c>
      <c r="Q467" s="88" t="s">
        <v>75</v>
      </c>
      <c r="R467" s="88" t="s">
        <v>348</v>
      </c>
      <c r="S467" s="110">
        <v>10200</v>
      </c>
      <c r="T467" s="110">
        <v>915</v>
      </c>
      <c r="U467" s="88">
        <v>983</v>
      </c>
      <c r="V467" s="90">
        <v>1500</v>
      </c>
      <c r="W467" s="111">
        <v>10</v>
      </c>
      <c r="X467" s="110">
        <v>49021</v>
      </c>
      <c r="Y467" s="110">
        <v>874087</v>
      </c>
      <c r="Z467" s="110">
        <v>6595855</v>
      </c>
      <c r="AA467" s="110">
        <v>2098690</v>
      </c>
      <c r="AB467" s="112">
        <v>4520480</v>
      </c>
      <c r="AC467" s="109">
        <v>160.1</v>
      </c>
      <c r="AD467" s="110">
        <v>-109.8</v>
      </c>
      <c r="AE467" s="110">
        <v>3.95</v>
      </c>
      <c r="AF467" s="110">
        <v>-0.77</v>
      </c>
      <c r="AG467" s="110">
        <v>109.8</v>
      </c>
      <c r="AH467" s="110">
        <v>-110.1</v>
      </c>
      <c r="AI467" s="110">
        <v>3.71</v>
      </c>
      <c r="AJ467" s="109">
        <v>-0.36</v>
      </c>
      <c r="AK467" s="113" t="s">
        <v>59</v>
      </c>
      <c r="AL467" s="107" t="s">
        <v>181</v>
      </c>
      <c r="AN467" s="107">
        <v>0.96099999999999997</v>
      </c>
      <c r="AO467" s="48">
        <f t="shared" si="561"/>
        <v>137804546.01480767</v>
      </c>
      <c r="AP467" s="156">
        <f t="shared" si="562"/>
        <v>96463182.21036537</v>
      </c>
      <c r="AQ467" s="161">
        <f t="shared" si="563"/>
        <v>16876241352.768831</v>
      </c>
      <c r="AR467" s="163">
        <f t="shared" si="564"/>
        <v>7.7481944443877335</v>
      </c>
      <c r="AS467" s="49">
        <f t="shared" si="565"/>
        <v>0.29745833333333332</v>
      </c>
      <c r="AT467" s="165">
        <f t="shared" si="566"/>
        <v>51.558372023809511</v>
      </c>
      <c r="AU467" s="254">
        <f t="shared" si="555"/>
        <v>201684.109</v>
      </c>
      <c r="AV467" s="255">
        <f t="shared" si="556"/>
        <v>460232.891</v>
      </c>
      <c r="AW467" s="256">
        <f t="shared" si="557"/>
        <v>0.438221850163247</v>
      </c>
    </row>
    <row r="468" spans="1:49">
      <c r="A468" s="108">
        <v>466</v>
      </c>
      <c r="F468" s="45">
        <v>43137.348101851851</v>
      </c>
      <c r="G468" s="45">
        <v>43137.389710648145</v>
      </c>
      <c r="H468" s="53">
        <f>G468-F468-'user time'!U85</f>
        <v>4.1273148146746819E-2</v>
      </c>
      <c r="I468" s="86">
        <v>50.84</v>
      </c>
      <c r="J468" s="109" t="s">
        <v>260</v>
      </c>
      <c r="K468" s="88" t="s">
        <v>72</v>
      </c>
      <c r="L468" s="88" t="s">
        <v>73</v>
      </c>
      <c r="M468" s="88">
        <v>-369</v>
      </c>
      <c r="N468" s="108">
        <v>1</v>
      </c>
      <c r="O468" s="108">
        <v>200</v>
      </c>
      <c r="P468" s="88">
        <v>348</v>
      </c>
      <c r="Q468" s="88" t="s">
        <v>75</v>
      </c>
      <c r="R468" s="88" t="s">
        <v>348</v>
      </c>
      <c r="S468" s="110">
        <v>10200</v>
      </c>
      <c r="T468" s="110">
        <v>915</v>
      </c>
      <c r="U468" s="88">
        <v>983</v>
      </c>
      <c r="V468" s="90">
        <v>1500</v>
      </c>
      <c r="W468" s="111">
        <v>10</v>
      </c>
      <c r="X468" s="110">
        <v>49245</v>
      </c>
      <c r="Y468" s="110">
        <v>874445</v>
      </c>
      <c r="Z468" s="110">
        <v>6577813</v>
      </c>
      <c r="AA468" s="110">
        <v>2091014</v>
      </c>
      <c r="AB468" s="112">
        <v>4510767</v>
      </c>
      <c r="AC468" s="109">
        <v>160.1</v>
      </c>
      <c r="AD468" s="110">
        <v>-109.8</v>
      </c>
      <c r="AE468" s="110">
        <v>3.95</v>
      </c>
      <c r="AF468" s="110">
        <v>-0.76</v>
      </c>
      <c r="AG468" s="110">
        <v>109.8</v>
      </c>
      <c r="AH468" s="110">
        <v>-110.1</v>
      </c>
      <c r="AI468" s="110">
        <v>3.71</v>
      </c>
      <c r="AJ468" s="109">
        <v>-0.36</v>
      </c>
      <c r="AK468" s="113" t="s">
        <v>59</v>
      </c>
      <c r="AL468" s="107" t="s">
        <v>181</v>
      </c>
      <c r="AN468" s="107">
        <v>0.95899999999999996</v>
      </c>
      <c r="AO468" s="48">
        <f t="shared" si="561"/>
        <v>137516098.67530766</v>
      </c>
      <c r="AP468" s="156">
        <f t="shared" si="562"/>
        <v>96261269.072715357</v>
      </c>
      <c r="AQ468" s="161">
        <f t="shared" si="563"/>
        <v>16972502621.841547</v>
      </c>
      <c r="AR468" s="163">
        <f t="shared" si="564"/>
        <v>7.7894675925344803</v>
      </c>
      <c r="AS468" s="49">
        <f t="shared" si="565"/>
        <v>0.29757539682539685</v>
      </c>
      <c r="AT468" s="165">
        <f t="shared" si="566"/>
        <v>51.855947420634905</v>
      </c>
      <c r="AU468" s="254">
        <f t="shared" si="555"/>
        <v>200528.2426</v>
      </c>
      <c r="AV468" s="255">
        <f t="shared" si="556"/>
        <v>459649.85740000004</v>
      </c>
      <c r="AW468" s="256">
        <f t="shared" si="557"/>
        <v>0.43626303668249539</v>
      </c>
    </row>
    <row r="469" spans="1:49">
      <c r="A469" s="108">
        <v>467</v>
      </c>
      <c r="F469" s="45">
        <v>43137.389756944445</v>
      </c>
      <c r="G469" s="45">
        <v>43137.431180555555</v>
      </c>
      <c r="H469" s="53">
        <f>G469-F469</f>
        <v>4.1423611110076308E-2</v>
      </c>
      <c r="I469" s="86">
        <v>50.69</v>
      </c>
      <c r="J469" s="109" t="s">
        <v>260</v>
      </c>
      <c r="K469" s="88" t="s">
        <v>72</v>
      </c>
      <c r="L469" s="88" t="s">
        <v>73</v>
      </c>
      <c r="M469" s="88">
        <v>-369</v>
      </c>
      <c r="N469" s="108">
        <v>1</v>
      </c>
      <c r="O469" s="108">
        <v>200</v>
      </c>
      <c r="P469" s="88">
        <v>348</v>
      </c>
      <c r="Q469" s="88" t="s">
        <v>75</v>
      </c>
      <c r="R469" s="88" t="s">
        <v>348</v>
      </c>
      <c r="S469" s="110">
        <v>10100</v>
      </c>
      <c r="T469" s="110">
        <v>911</v>
      </c>
      <c r="U469" s="88">
        <v>983</v>
      </c>
      <c r="V469" s="90">
        <v>1500</v>
      </c>
      <c r="W469" s="111">
        <v>10</v>
      </c>
      <c r="X469" s="110">
        <v>48946</v>
      </c>
      <c r="Y469" s="110">
        <v>873011</v>
      </c>
      <c r="Z469" s="110">
        <v>6563048</v>
      </c>
      <c r="AA469" s="110">
        <v>2087823</v>
      </c>
      <c r="AB469" s="112">
        <v>4499358</v>
      </c>
      <c r="AC469" s="109">
        <v>160.1</v>
      </c>
      <c r="AD469" s="110">
        <v>-109.8</v>
      </c>
      <c r="AE469" s="110">
        <v>3.95</v>
      </c>
      <c r="AF469" s="110">
        <v>-0.76</v>
      </c>
      <c r="AG469" s="110">
        <v>109.8</v>
      </c>
      <c r="AH469" s="110">
        <v>-110.1</v>
      </c>
      <c r="AI469" s="110">
        <v>3.71</v>
      </c>
      <c r="AJ469" s="109">
        <v>-0.36</v>
      </c>
      <c r="AK469" s="113" t="s">
        <v>59</v>
      </c>
      <c r="AL469" s="107" t="s">
        <v>181</v>
      </c>
      <c r="AN469" s="107">
        <v>0.95899999999999996</v>
      </c>
      <c r="AO469" s="48">
        <f t="shared" ref="AO469" si="567">(HOUR(H469)*60*60+MINUTE(H469)*60+SECOND(H469))/5.2*AA469/W469*AN469</f>
        <v>137806797.26544228</v>
      </c>
      <c r="AP469" s="156">
        <f t="shared" ref="AP469" si="568">AO469*0.7</f>
        <v>96464758.085809588</v>
      </c>
      <c r="AQ469" s="161">
        <f t="shared" ref="AQ469" si="569">AP469+AQ468</f>
        <v>17068967379.927357</v>
      </c>
      <c r="AR469" s="163">
        <f t="shared" ref="AR469" si="570">H469+AR468</f>
        <v>7.8308912036445566</v>
      </c>
      <c r="AS469" s="49">
        <f t="shared" ref="AS469" si="571">I469*(HOUR(H469)*60+MINUTE(H469))/60/(7*24)</f>
        <v>0.29669742063492061</v>
      </c>
      <c r="AT469" s="165">
        <f t="shared" ref="AT469" si="572">AS469+AT468</f>
        <v>52.152644841269826</v>
      </c>
      <c r="AU469" s="254">
        <f t="shared" si="555"/>
        <v>200222.22569999998</v>
      </c>
      <c r="AV469" s="255">
        <f t="shared" si="556"/>
        <v>458495.87430000002</v>
      </c>
      <c r="AW469" s="256">
        <f t="shared" si="557"/>
        <v>0.4366936256638852</v>
      </c>
    </row>
    <row r="470" spans="1:49">
      <c r="A470" s="108">
        <v>468</v>
      </c>
      <c r="F470" s="45">
        <v>43137.431215277778</v>
      </c>
      <c r="G470" s="45">
        <v>43137.460601851853</v>
      </c>
      <c r="H470" s="53">
        <f>G470-F470-SUM('user time'!U86:U87)</f>
        <v>2.5821759260218569E-2</v>
      </c>
      <c r="I470" s="86">
        <v>50.81</v>
      </c>
      <c r="J470" s="109" t="s">
        <v>260</v>
      </c>
      <c r="K470" s="88" t="s">
        <v>72</v>
      </c>
      <c r="L470" s="88" t="s">
        <v>73</v>
      </c>
      <c r="M470" s="88">
        <v>-369</v>
      </c>
      <c r="N470" s="108">
        <v>1</v>
      </c>
      <c r="O470" s="108">
        <v>200</v>
      </c>
      <c r="P470" s="88">
        <v>348</v>
      </c>
      <c r="Q470" s="88" t="s">
        <v>75</v>
      </c>
      <c r="R470" s="88" t="s">
        <v>348</v>
      </c>
      <c r="S470" s="110">
        <v>10200</v>
      </c>
      <c r="T470" s="110">
        <v>899</v>
      </c>
      <c r="U470" s="88">
        <v>983</v>
      </c>
      <c r="V470" s="90">
        <v>1500</v>
      </c>
      <c r="W470" s="111">
        <v>10</v>
      </c>
      <c r="X470" s="110">
        <v>49310</v>
      </c>
      <c r="Y470" s="110">
        <v>874051</v>
      </c>
      <c r="Z470" s="110">
        <v>6584779</v>
      </c>
      <c r="AA470" s="110">
        <v>2097750</v>
      </c>
      <c r="AB470" s="112">
        <v>4510455</v>
      </c>
      <c r="AC470" s="109">
        <v>160.1</v>
      </c>
      <c r="AD470" s="110">
        <v>-109.8</v>
      </c>
      <c r="AE470" s="110">
        <v>3.95</v>
      </c>
      <c r="AF470" s="110">
        <v>-0.76</v>
      </c>
      <c r="AG470" s="110">
        <v>109.8</v>
      </c>
      <c r="AH470" s="110">
        <v>-110.1</v>
      </c>
      <c r="AI470" s="110">
        <v>3.71</v>
      </c>
      <c r="AJ470" s="109">
        <v>-0.35</v>
      </c>
      <c r="AK470" s="113" t="s">
        <v>59</v>
      </c>
      <c r="AL470" s="107" t="s">
        <v>549</v>
      </c>
      <c r="AN470" s="107">
        <v>0.95499999999999996</v>
      </c>
      <c r="AO470" s="48">
        <f t="shared" ref="AO470" si="573">(HOUR(H470)*60*60+MINUTE(H470)*60+SECOND(H470))/5.2*AA470/W470*AN470</f>
        <v>85951473.822115377</v>
      </c>
      <c r="AP470" s="156">
        <f t="shared" ref="AP470" si="574">AO470*0.7</f>
        <v>60166031.675480761</v>
      </c>
      <c r="AQ470" s="161">
        <f t="shared" ref="AQ470" si="575">AP470+AQ469</f>
        <v>17129133411.602837</v>
      </c>
      <c r="AR470" s="163">
        <f t="shared" ref="AR470" si="576">H470+AR469</f>
        <v>7.8567129629047754</v>
      </c>
      <c r="AS470" s="49">
        <f t="shared" ref="AS470" si="577">I470*(HOUR(H470)*60+MINUTE(H470))/60/(7*24)</f>
        <v>0.18650496031746031</v>
      </c>
      <c r="AT470" s="165">
        <f t="shared" ref="AT470" si="578">AS470+AT469</f>
        <v>52.339149801587283</v>
      </c>
      <c r="AU470" s="254">
        <f t="shared" si="555"/>
        <v>200335.125</v>
      </c>
      <c r="AV470" s="255">
        <f t="shared" si="556"/>
        <v>460485.375</v>
      </c>
      <c r="AW470" s="256">
        <f t="shared" si="557"/>
        <v>0.4350520904165523</v>
      </c>
    </row>
    <row r="471" spans="1:49">
      <c r="A471" s="108">
        <v>469</v>
      </c>
      <c r="F471" s="45">
        <v>43137.46943287037</v>
      </c>
      <c r="G471" s="45">
        <v>43137.510393518518</v>
      </c>
      <c r="H471" s="53">
        <f>G471-F471</f>
        <v>4.0960648148029577E-2</v>
      </c>
      <c r="I471" s="86">
        <v>50.87</v>
      </c>
      <c r="J471" s="109" t="s">
        <v>260</v>
      </c>
      <c r="K471" s="88" t="s">
        <v>72</v>
      </c>
      <c r="L471" s="88" t="s">
        <v>73</v>
      </c>
      <c r="M471" s="88">
        <v>-369</v>
      </c>
      <c r="N471" s="108">
        <v>1</v>
      </c>
      <c r="O471" s="108">
        <v>200</v>
      </c>
      <c r="P471" s="88">
        <v>348</v>
      </c>
      <c r="Q471" s="88" t="s">
        <v>75</v>
      </c>
      <c r="R471" s="88" t="s">
        <v>348</v>
      </c>
      <c r="S471" s="110">
        <v>10200</v>
      </c>
      <c r="T471" s="110">
        <v>901</v>
      </c>
      <c r="U471" s="88">
        <v>983</v>
      </c>
      <c r="V471" s="90">
        <v>1500</v>
      </c>
      <c r="W471" s="111">
        <v>10</v>
      </c>
      <c r="X471" s="110">
        <v>49308</v>
      </c>
      <c r="Y471" s="110">
        <v>873726</v>
      </c>
      <c r="Z471" s="110">
        <v>6556896</v>
      </c>
      <c r="AA471" s="110">
        <v>2089008</v>
      </c>
      <c r="AB471" s="112">
        <v>4491331</v>
      </c>
      <c r="AC471" s="109">
        <v>160.1</v>
      </c>
      <c r="AD471" s="110">
        <v>-109.8</v>
      </c>
      <c r="AE471" s="110">
        <v>3.95</v>
      </c>
      <c r="AF471" s="110">
        <v>-0.76</v>
      </c>
      <c r="AG471" s="110">
        <v>109.8</v>
      </c>
      <c r="AH471" s="110">
        <v>-110.1</v>
      </c>
      <c r="AI471" s="110">
        <v>3.71</v>
      </c>
      <c r="AJ471" s="109">
        <v>-0.36</v>
      </c>
      <c r="AK471" s="113" t="s">
        <v>59</v>
      </c>
      <c r="AL471" s="107" t="s">
        <v>181</v>
      </c>
      <c r="AN471" s="107">
        <v>0.96</v>
      </c>
      <c r="AO471" s="48">
        <f t="shared" ref="AO471" si="579">(HOUR(H471)*60*60+MINUTE(H471)*60+SECOND(H471))/5.2*AA471/W471*AN471</f>
        <v>136486141.14461538</v>
      </c>
      <c r="AP471" s="156">
        <f t="shared" ref="AP471" si="580">AO471*0.7</f>
        <v>95540298.801230758</v>
      </c>
      <c r="AQ471" s="161">
        <f t="shared" ref="AQ471" si="581">AP471+AQ470</f>
        <v>17224673710.404068</v>
      </c>
      <c r="AR471" s="163">
        <f t="shared" ref="AR471" si="582">H471+AR470</f>
        <v>7.897673611052805</v>
      </c>
      <c r="AS471" s="49">
        <f t="shared" ref="AS471" si="583">I471*(HOUR(H471)*60+MINUTE(H471))/60/(7*24)</f>
        <v>0.29270436507936509</v>
      </c>
      <c r="AT471" s="165">
        <f t="shared" ref="AT471" si="584">AS471+AT470</f>
        <v>52.631854166666649</v>
      </c>
      <c r="AU471" s="254">
        <f t="shared" si="555"/>
        <v>200544.76799999998</v>
      </c>
      <c r="AV471" s="255">
        <f t="shared" si="556"/>
        <v>457489.13199999998</v>
      </c>
      <c r="AW471" s="256">
        <f t="shared" si="557"/>
        <v>0.43835963298905206</v>
      </c>
    </row>
    <row r="472" spans="1:49">
      <c r="A472" s="108">
        <v>470</v>
      </c>
      <c r="F472" s="45">
        <v>43137.510428240741</v>
      </c>
      <c r="G472" s="45">
        <v>43137.551724537036</v>
      </c>
      <c r="H472" s="53">
        <f>G472-F472-'user time'!U89</f>
        <v>4.090277777608553E-2</v>
      </c>
      <c r="I472" s="86">
        <v>50.74</v>
      </c>
      <c r="J472" s="109" t="s">
        <v>260</v>
      </c>
      <c r="K472" s="88" t="s">
        <v>72</v>
      </c>
      <c r="L472" s="88" t="s">
        <v>73</v>
      </c>
      <c r="M472" s="88">
        <v>-369</v>
      </c>
      <c r="N472" s="108">
        <v>1</v>
      </c>
      <c r="O472" s="108">
        <v>200</v>
      </c>
      <c r="P472" s="88">
        <v>348</v>
      </c>
      <c r="Q472" s="88" t="s">
        <v>75</v>
      </c>
      <c r="R472" s="88" t="s">
        <v>348</v>
      </c>
      <c r="S472" s="110">
        <v>10100</v>
      </c>
      <c r="T472" s="110">
        <v>894</v>
      </c>
      <c r="U472" s="88">
        <v>983</v>
      </c>
      <c r="V472" s="90">
        <v>1500</v>
      </c>
      <c r="W472" s="111">
        <v>10</v>
      </c>
      <c r="X472" s="110">
        <v>48976</v>
      </c>
      <c r="Y472" s="110">
        <v>873028</v>
      </c>
      <c r="Z472" s="110">
        <v>6583190</v>
      </c>
      <c r="AA472" s="110">
        <v>2091680</v>
      </c>
      <c r="AB472" s="112">
        <v>4515570</v>
      </c>
      <c r="AC472" s="109">
        <v>160.1</v>
      </c>
      <c r="AD472" s="110">
        <v>-109.8</v>
      </c>
      <c r="AE472" s="110">
        <v>3.95</v>
      </c>
      <c r="AF472" s="110">
        <v>-0.76</v>
      </c>
      <c r="AG472" s="110">
        <v>109.8</v>
      </c>
      <c r="AH472" s="110">
        <v>-110.1</v>
      </c>
      <c r="AI472" s="110">
        <v>3.71</v>
      </c>
      <c r="AJ472" s="109">
        <v>-0.35</v>
      </c>
      <c r="AK472" s="113" t="s">
        <v>59</v>
      </c>
      <c r="AL472" s="107" t="s">
        <v>181</v>
      </c>
      <c r="AN472" s="107">
        <v>0.95899999999999996</v>
      </c>
      <c r="AO472" s="48">
        <f t="shared" ref="AO472:AO473" si="585">(HOUR(H472)*60*60+MINUTE(H472)*60+SECOND(H472))/5.2*AA472/W472*AN472</f>
        <v>136325485.34769231</v>
      </c>
      <c r="AP472" s="156">
        <f t="shared" ref="AP472:AP473" si="586">AO472*0.7</f>
        <v>95427839.743384615</v>
      </c>
      <c r="AQ472" s="161">
        <f t="shared" ref="AQ472:AQ473" si="587">AP472+AQ471</f>
        <v>17320101550.147453</v>
      </c>
      <c r="AR472" s="163">
        <f t="shared" ref="AR472:AR473" si="588">H472+AR471</f>
        <v>7.9385763888288903</v>
      </c>
      <c r="AS472" s="49">
        <f t="shared" ref="AS472:AS473" si="589">I472*(HOUR(H472)*60+MINUTE(H472))/60/(7*24)</f>
        <v>0.29195634920634922</v>
      </c>
      <c r="AT472" s="165">
        <f t="shared" ref="AT472:AT473" si="590">AS472+AT471</f>
        <v>52.923810515873001</v>
      </c>
      <c r="AU472" s="254">
        <f t="shared" si="555"/>
        <v>200592.11199999999</v>
      </c>
      <c r="AV472" s="255">
        <f t="shared" si="556"/>
        <v>460132.88800000004</v>
      </c>
      <c r="AW472" s="256">
        <f t="shared" si="557"/>
        <v>0.43594387019777636</v>
      </c>
    </row>
    <row r="473" spans="1:49">
      <c r="A473" s="108">
        <v>471</v>
      </c>
      <c r="F473" s="45">
        <v>43137.551759259259</v>
      </c>
      <c r="G473" s="45">
        <v>43137.593495370369</v>
      </c>
      <c r="H473" s="53">
        <f>G473-F473-SUM('user time'!U90:U92)</f>
        <v>4.0937499999256222E-2</v>
      </c>
      <c r="I473" s="86">
        <v>50.75</v>
      </c>
      <c r="J473" s="109" t="s">
        <v>260</v>
      </c>
      <c r="K473" s="88" t="s">
        <v>72</v>
      </c>
      <c r="L473" s="88" t="s">
        <v>73</v>
      </c>
      <c r="M473" s="88">
        <v>-369</v>
      </c>
      <c r="N473" s="108">
        <v>1</v>
      </c>
      <c r="O473" s="108">
        <v>200</v>
      </c>
      <c r="P473" s="88">
        <v>348</v>
      </c>
      <c r="Q473" s="88" t="s">
        <v>75</v>
      </c>
      <c r="R473" s="88" t="s">
        <v>348</v>
      </c>
      <c r="S473" s="110">
        <v>10100</v>
      </c>
      <c r="T473" s="110">
        <v>894</v>
      </c>
      <c r="U473" s="88">
        <v>983</v>
      </c>
      <c r="V473" s="90">
        <v>1500</v>
      </c>
      <c r="W473" s="111">
        <v>10</v>
      </c>
      <c r="X473" s="110">
        <v>49134</v>
      </c>
      <c r="Y473" s="110">
        <v>874022</v>
      </c>
      <c r="Z473" s="110">
        <v>6577699</v>
      </c>
      <c r="AA473" s="110">
        <v>2092189</v>
      </c>
      <c r="AB473" s="112">
        <v>4509026</v>
      </c>
      <c r="AC473" s="109">
        <v>160.1</v>
      </c>
      <c r="AD473" s="110">
        <v>-109.8</v>
      </c>
      <c r="AE473" s="110">
        <v>3.95</v>
      </c>
      <c r="AF473" s="110">
        <v>-0.76</v>
      </c>
      <c r="AG473" s="110">
        <v>109.8</v>
      </c>
      <c r="AH473" s="110">
        <v>-110.1</v>
      </c>
      <c r="AI473" s="110">
        <v>3.72</v>
      </c>
      <c r="AJ473" s="109">
        <v>-0.36</v>
      </c>
      <c r="AK473" s="113" t="s">
        <v>59</v>
      </c>
      <c r="AL473" s="107" t="s">
        <v>181</v>
      </c>
      <c r="AN473" s="107">
        <v>0.96</v>
      </c>
      <c r="AO473" s="48">
        <f t="shared" si="585"/>
        <v>136616722.9476923</v>
      </c>
      <c r="AP473" s="156">
        <f t="shared" si="586"/>
        <v>95631706.063384607</v>
      </c>
      <c r="AQ473" s="161">
        <f t="shared" si="587"/>
        <v>17415733256.210838</v>
      </c>
      <c r="AR473" s="163">
        <f t="shared" si="588"/>
        <v>7.9795138888281461</v>
      </c>
      <c r="AS473" s="49">
        <f t="shared" si="589"/>
        <v>0.29201388888888885</v>
      </c>
      <c r="AT473" s="165">
        <f t="shared" si="590"/>
        <v>53.215824404761889</v>
      </c>
      <c r="AU473" s="254">
        <f t="shared" si="555"/>
        <v>200850.144</v>
      </c>
      <c r="AV473" s="255">
        <f t="shared" si="556"/>
        <v>459271.35599999997</v>
      </c>
      <c r="AW473" s="256">
        <f t="shared" si="557"/>
        <v>0.43732347200856136</v>
      </c>
    </row>
    <row r="474" spans="1:49">
      <c r="A474" s="108">
        <v>472</v>
      </c>
      <c r="F474" s="45">
        <v>43137.593518518515</v>
      </c>
      <c r="G474" s="45">
        <v>43137.626504629632</v>
      </c>
      <c r="H474" s="53">
        <f>G474-F474-'user time'!U93</f>
        <v>3.254629630195538E-2</v>
      </c>
      <c r="I474" s="86">
        <v>50.79</v>
      </c>
      <c r="J474" s="109" t="s">
        <v>260</v>
      </c>
      <c r="K474" s="88" t="s">
        <v>72</v>
      </c>
      <c r="L474" s="88" t="s">
        <v>73</v>
      </c>
      <c r="M474" s="88">
        <v>-369</v>
      </c>
      <c r="N474" s="108">
        <v>1</v>
      </c>
      <c r="O474" s="108">
        <v>200</v>
      </c>
      <c r="P474" s="88">
        <v>348</v>
      </c>
      <c r="Q474" s="88" t="s">
        <v>75</v>
      </c>
      <c r="R474" s="88" t="s">
        <v>348</v>
      </c>
      <c r="S474" s="110">
        <v>10200</v>
      </c>
      <c r="T474" s="110">
        <v>902</v>
      </c>
      <c r="U474" s="88">
        <v>983</v>
      </c>
      <c r="V474" s="90">
        <v>1500</v>
      </c>
      <c r="W474" s="111">
        <v>10</v>
      </c>
      <c r="X474" s="110">
        <v>48814</v>
      </c>
      <c r="Y474" s="110">
        <v>871843</v>
      </c>
      <c r="Z474" s="110">
        <v>6571922</v>
      </c>
      <c r="AA474" s="110">
        <v>2085622</v>
      </c>
      <c r="AB474" s="112">
        <v>4511442</v>
      </c>
      <c r="AC474" s="109">
        <v>160.1</v>
      </c>
      <c r="AD474" s="110">
        <v>-109.8</v>
      </c>
      <c r="AE474" s="110">
        <v>3.95</v>
      </c>
      <c r="AF474" s="110">
        <v>-0.76</v>
      </c>
      <c r="AG474" s="110">
        <v>109.8</v>
      </c>
      <c r="AH474" s="110">
        <v>-110.1</v>
      </c>
      <c r="AI474" s="110">
        <v>3.72</v>
      </c>
      <c r="AJ474" s="109">
        <v>-0.36</v>
      </c>
      <c r="AK474" s="113" t="s">
        <v>59</v>
      </c>
      <c r="AL474" s="107" t="s">
        <v>549</v>
      </c>
      <c r="AN474" s="107">
        <v>0.95899999999999996</v>
      </c>
      <c r="AO474" s="48">
        <f t="shared" ref="AO474" si="591">(HOUR(H474)*60*60+MINUTE(H474)*60+SECOND(H474))/5.2*AA474/W474*AN474</f>
        <v>108159875.62261538</v>
      </c>
      <c r="AP474" s="156">
        <f t="shared" ref="AP474" si="592">AO474*0.7</f>
        <v>75711912.935830757</v>
      </c>
      <c r="AQ474" s="161">
        <f t="shared" ref="AQ474" si="593">AP474+AQ473</f>
        <v>17491445169.146667</v>
      </c>
      <c r="AR474" s="163">
        <f t="shared" ref="AR474" si="594">H474+AR473</f>
        <v>8.0120601851301014</v>
      </c>
      <c r="AS474" s="49">
        <f t="shared" ref="AS474" si="595">I474*(HOUR(H474)*60+MINUTE(H474))/60/(7*24)</f>
        <v>0.23177976190476191</v>
      </c>
      <c r="AT474" s="165">
        <f t="shared" ref="AT474" si="596">AS474+AT473</f>
        <v>53.44760416666665</v>
      </c>
      <c r="AU474" s="254">
        <f t="shared" si="555"/>
        <v>200011.14980000001</v>
      </c>
      <c r="AV474" s="255">
        <f t="shared" si="556"/>
        <v>459695.25020000001</v>
      </c>
      <c r="AW474" s="256">
        <f t="shared" si="557"/>
        <v>0.43509509770436172</v>
      </c>
    </row>
    <row r="475" spans="1:49">
      <c r="A475" s="108">
        <v>473</v>
      </c>
      <c r="F475" s="45">
        <v>43137.636435185188</v>
      </c>
      <c r="G475" s="45">
        <v>43137.678842592592</v>
      </c>
      <c r="H475" s="53">
        <f>G475-F475-'user time'!U95</f>
        <v>4.2129629625738296E-2</v>
      </c>
      <c r="I475" s="86">
        <v>50.82</v>
      </c>
      <c r="J475" s="109" t="s">
        <v>260</v>
      </c>
      <c r="K475" s="88" t="s">
        <v>72</v>
      </c>
      <c r="L475" s="88" t="s">
        <v>73</v>
      </c>
      <c r="M475" s="88">
        <v>-369</v>
      </c>
      <c r="N475" s="108">
        <v>1</v>
      </c>
      <c r="O475" s="108">
        <v>200</v>
      </c>
      <c r="P475" s="88">
        <v>348</v>
      </c>
      <c r="Q475" s="88" t="s">
        <v>75</v>
      </c>
      <c r="R475" s="88" t="s">
        <v>348</v>
      </c>
      <c r="S475" s="110">
        <v>10100</v>
      </c>
      <c r="T475" s="110">
        <v>910</v>
      </c>
      <c r="U475" s="88">
        <v>983</v>
      </c>
      <c r="V475" s="90">
        <v>1500</v>
      </c>
      <c r="W475" s="111">
        <v>10</v>
      </c>
      <c r="X475" s="110">
        <v>49346</v>
      </c>
      <c r="Y475" s="110">
        <v>876015</v>
      </c>
      <c r="Z475" s="110">
        <v>6577901</v>
      </c>
      <c r="AA475" s="110">
        <v>2096326</v>
      </c>
      <c r="AB475" s="112">
        <v>4505778</v>
      </c>
      <c r="AC475" s="109">
        <v>160.1</v>
      </c>
      <c r="AD475" s="110">
        <v>-109.8</v>
      </c>
      <c r="AE475" s="110">
        <v>3.95</v>
      </c>
      <c r="AF475" s="110">
        <v>-0.77</v>
      </c>
      <c r="AG475" s="110">
        <v>109.8</v>
      </c>
      <c r="AH475" s="110">
        <v>-110.1</v>
      </c>
      <c r="AI475" s="110">
        <v>3.72</v>
      </c>
      <c r="AJ475" s="109">
        <v>-0.35</v>
      </c>
      <c r="AK475" s="113" t="s">
        <v>59</v>
      </c>
      <c r="AL475" s="107" t="s">
        <v>181</v>
      </c>
      <c r="AN475" s="107">
        <v>0.96</v>
      </c>
      <c r="AO475" s="48">
        <f t="shared" ref="AO475" si="597">(HOUR(H475)*60*60+MINUTE(H475)*60+SECOND(H475))/5.2*AA475/W475*AN475</f>
        <v>140873107.19999999</v>
      </c>
      <c r="AP475" s="156">
        <f t="shared" ref="AP475" si="598">AO475*0.7</f>
        <v>98611175.039999992</v>
      </c>
      <c r="AQ475" s="161">
        <f t="shared" ref="AQ475" si="599">AP475+AQ474</f>
        <v>17590056344.186668</v>
      </c>
      <c r="AR475" s="163">
        <f t="shared" ref="AR475" si="600">H475+AR474</f>
        <v>8.0541898147558406</v>
      </c>
      <c r="AS475" s="49">
        <f t="shared" ref="AS475" si="601">I475*(HOUR(H475)*60+MINUTE(H475))/60/(7*24)</f>
        <v>0.30249999999999999</v>
      </c>
      <c r="AT475" s="165">
        <f t="shared" ref="AT475" si="602">AS475+AT474</f>
        <v>53.750104166666652</v>
      </c>
      <c r="AU475" s="254">
        <f t="shared" si="555"/>
        <v>201247.296</v>
      </c>
      <c r="AV475" s="255">
        <f t="shared" si="556"/>
        <v>458963.10399999999</v>
      </c>
      <c r="AW475" s="256">
        <f t="shared" si="557"/>
        <v>0.43848251470776178</v>
      </c>
    </row>
    <row r="476" spans="1:49">
      <c r="A476" s="108">
        <v>474</v>
      </c>
      <c r="F476" s="45">
        <v>43137.678877314815</v>
      </c>
      <c r="G476" s="45">
        <v>43137.721585648149</v>
      </c>
      <c r="H476" s="53">
        <f>G476-F476-'user time'!U96-'user time'!U97</f>
        <v>4.2175925926896007E-2</v>
      </c>
      <c r="I476" s="86">
        <v>50.83</v>
      </c>
      <c r="J476" s="109" t="s">
        <v>260</v>
      </c>
      <c r="K476" s="88" t="s">
        <v>72</v>
      </c>
      <c r="L476" s="88" t="s">
        <v>73</v>
      </c>
      <c r="M476" s="88">
        <v>-369</v>
      </c>
      <c r="N476" s="108">
        <v>1</v>
      </c>
      <c r="O476" s="108">
        <v>200</v>
      </c>
      <c r="P476" s="88">
        <v>348</v>
      </c>
      <c r="Q476" s="88" t="s">
        <v>75</v>
      </c>
      <c r="R476" s="88" t="s">
        <v>348</v>
      </c>
      <c r="S476" s="110">
        <v>10000</v>
      </c>
      <c r="T476" s="110">
        <v>900</v>
      </c>
      <c r="U476" s="88">
        <v>983</v>
      </c>
      <c r="V476" s="90">
        <v>1500</v>
      </c>
      <c r="W476" s="111">
        <v>10</v>
      </c>
      <c r="X476" s="110">
        <v>49397</v>
      </c>
      <c r="Y476" s="110">
        <v>874909</v>
      </c>
      <c r="Z476" s="110">
        <v>6599414</v>
      </c>
      <c r="AA476" s="110">
        <v>2097899</v>
      </c>
      <c r="AB476" s="112">
        <v>4526622</v>
      </c>
      <c r="AC476" s="109">
        <v>160.1</v>
      </c>
      <c r="AD476" s="110">
        <v>-109.8</v>
      </c>
      <c r="AE476" s="110">
        <v>3.95</v>
      </c>
      <c r="AF476" s="110">
        <v>-0.77</v>
      </c>
      <c r="AG476" s="110">
        <v>109.8</v>
      </c>
      <c r="AH476" s="110">
        <v>-110.1</v>
      </c>
      <c r="AI476" s="110">
        <v>3.72</v>
      </c>
      <c r="AJ476" s="109">
        <v>-0.35</v>
      </c>
      <c r="AK476" s="113" t="s">
        <v>59</v>
      </c>
      <c r="AL476" s="107" t="s">
        <v>181</v>
      </c>
      <c r="AN476" s="107">
        <v>0.95499999999999996</v>
      </c>
      <c r="AO476" s="48">
        <f t="shared" ref="AO476" si="603">(HOUR(H476)*60*60+MINUTE(H476)*60+SECOND(H476))/5.2*AA476/W476*AN476</f>
        <v>140398663.03807691</v>
      </c>
      <c r="AP476" s="156">
        <f t="shared" ref="AP476" si="604">AO476*0.7</f>
        <v>98279064.126653835</v>
      </c>
      <c r="AQ476" s="161">
        <f t="shared" ref="AQ476" si="605">AP476+AQ475</f>
        <v>17688335408.313324</v>
      </c>
      <c r="AR476" s="163">
        <f t="shared" ref="AR476" si="606">H476+AR475</f>
        <v>8.096365740682737</v>
      </c>
      <c r="AS476" s="49">
        <f t="shared" ref="AS476" si="607">I476*(HOUR(H476)*60+MINUTE(H476))/60/(7*24)</f>
        <v>0.30255952380952378</v>
      </c>
      <c r="AT476" s="165">
        <f t="shared" ref="AT476" si="608">AS476+AT475</f>
        <v>54.052663690476173</v>
      </c>
      <c r="AU476" s="254">
        <f t="shared" si="555"/>
        <v>200349.35449999999</v>
      </c>
      <c r="AV476" s="255">
        <f t="shared" si="556"/>
        <v>462102.74550000002</v>
      </c>
      <c r="AW476" s="256">
        <f t="shared" si="557"/>
        <v>0.43356019078228997</v>
      </c>
    </row>
    <row r="477" spans="1:49">
      <c r="A477" s="108">
        <v>475</v>
      </c>
      <c r="F477" s="45">
        <v>43137.721608796295</v>
      </c>
      <c r="G477" s="45">
        <v>43137.764004629629</v>
      </c>
      <c r="H477" s="53">
        <f>G477-F477-'user time'!U98</f>
        <v>4.2187500000679168E-2</v>
      </c>
      <c r="I477" s="86">
        <v>50.82</v>
      </c>
      <c r="J477" s="109" t="s">
        <v>260</v>
      </c>
      <c r="K477" s="88" t="s">
        <v>72</v>
      </c>
      <c r="L477" s="88" t="s">
        <v>73</v>
      </c>
      <c r="M477" s="88">
        <v>-369</v>
      </c>
      <c r="N477" s="108">
        <v>1</v>
      </c>
      <c r="O477" s="108">
        <v>200</v>
      </c>
      <c r="P477" s="88">
        <v>348</v>
      </c>
      <c r="Q477" s="88" t="s">
        <v>75</v>
      </c>
      <c r="R477" s="88" t="s">
        <v>348</v>
      </c>
      <c r="S477" s="110">
        <v>10000</v>
      </c>
      <c r="T477" s="110">
        <v>907</v>
      </c>
      <c r="U477" s="88">
        <v>983</v>
      </c>
      <c r="V477" s="90">
        <v>1500</v>
      </c>
      <c r="W477" s="111">
        <v>10</v>
      </c>
      <c r="X477" s="110">
        <v>49508</v>
      </c>
      <c r="Y477" s="110">
        <v>873937</v>
      </c>
      <c r="Z477" s="110">
        <v>6622363</v>
      </c>
      <c r="AA477" s="110">
        <v>2101700</v>
      </c>
      <c r="AB477" s="112">
        <v>4545238</v>
      </c>
      <c r="AC477" s="109">
        <v>160.1</v>
      </c>
      <c r="AD477" s="110">
        <v>-109.8</v>
      </c>
      <c r="AE477" s="110">
        <v>3.95</v>
      </c>
      <c r="AF477" s="110">
        <v>-0.77</v>
      </c>
      <c r="AG477" s="110">
        <v>109.8</v>
      </c>
      <c r="AH477" s="110">
        <v>-110.1</v>
      </c>
      <c r="AI477" s="110">
        <v>3.72</v>
      </c>
      <c r="AJ477" s="109">
        <v>-0.35</v>
      </c>
      <c r="AK477" s="113" t="s">
        <v>59</v>
      </c>
      <c r="AL477" s="107" t="s">
        <v>181</v>
      </c>
      <c r="AN477" s="107">
        <v>0.95299999999999996</v>
      </c>
      <c r="AO477" s="48">
        <f t="shared" ref="AO477" si="609">(HOUR(H477)*60*60+MINUTE(H477)*60+SECOND(H477))/5.2*AA477/W477*AN477</f>
        <v>140396995.47115383</v>
      </c>
      <c r="AP477" s="156">
        <f t="shared" ref="AP477" si="610">AO477*0.7</f>
        <v>98277896.829807669</v>
      </c>
      <c r="AQ477" s="161">
        <f t="shared" ref="AQ477" si="611">AP477+AQ476</f>
        <v>17786613305.143131</v>
      </c>
      <c r="AR477" s="163">
        <f t="shared" ref="AR477" si="612">H477+AR476</f>
        <v>8.1385532406834162</v>
      </c>
      <c r="AS477" s="49">
        <f t="shared" ref="AS477" si="613">I477*(HOUR(H477)*60+MINUTE(H477))/60/(7*24)</f>
        <v>0.30249999999999999</v>
      </c>
      <c r="AT477" s="165">
        <f t="shared" ref="AT477" si="614">AS477+AT476</f>
        <v>54.355163690476175</v>
      </c>
      <c r="AU477" s="254">
        <f t="shared" si="555"/>
        <v>200292.00999999998</v>
      </c>
      <c r="AV477" s="255">
        <f t="shared" si="556"/>
        <v>464401.79</v>
      </c>
      <c r="AW477" s="256">
        <f t="shared" si="557"/>
        <v>0.4312903488162696</v>
      </c>
    </row>
    <row r="478" spans="1:49">
      <c r="A478" s="108">
        <v>476</v>
      </c>
      <c r="F478" s="45">
        <v>43137.764039351852</v>
      </c>
      <c r="G478" s="45">
        <v>43137.807581018518</v>
      </c>
      <c r="H478" s="53">
        <f>G478-F478-SUM('user time'!U99:U102)</f>
        <v>4.2673611110432108E-2</v>
      </c>
      <c r="I478" s="86">
        <v>50.79</v>
      </c>
      <c r="J478" s="109" t="s">
        <v>260</v>
      </c>
      <c r="K478" s="88" t="s">
        <v>72</v>
      </c>
      <c r="L478" s="88" t="s">
        <v>73</v>
      </c>
      <c r="M478" s="88">
        <v>-369</v>
      </c>
      <c r="N478" s="108">
        <v>1</v>
      </c>
      <c r="O478" s="108">
        <v>200</v>
      </c>
      <c r="P478" s="88">
        <v>348</v>
      </c>
      <c r="Q478" s="88" t="s">
        <v>75</v>
      </c>
      <c r="R478" s="88" t="s">
        <v>348</v>
      </c>
      <c r="S478" s="110">
        <v>10000</v>
      </c>
      <c r="T478" s="110">
        <v>899</v>
      </c>
      <c r="U478" s="88">
        <v>983</v>
      </c>
      <c r="V478" s="90">
        <v>1500</v>
      </c>
      <c r="W478" s="111">
        <v>10</v>
      </c>
      <c r="X478" s="110">
        <v>48951</v>
      </c>
      <c r="Y478" s="110">
        <v>873565</v>
      </c>
      <c r="Z478" s="110">
        <v>6582652</v>
      </c>
      <c r="AA478" s="110">
        <v>2091713</v>
      </c>
      <c r="AB478" s="112">
        <v>4515279</v>
      </c>
      <c r="AC478" s="109">
        <v>160.1</v>
      </c>
      <c r="AD478" s="110">
        <v>-109.8</v>
      </c>
      <c r="AE478" s="110">
        <v>3.94</v>
      </c>
      <c r="AF478" s="110">
        <v>-0.76</v>
      </c>
      <c r="AG478" s="110">
        <v>109.8</v>
      </c>
      <c r="AH478" s="110">
        <v>-110.1</v>
      </c>
      <c r="AI478" s="110">
        <v>3.72</v>
      </c>
      <c r="AJ478" s="109">
        <v>-0.36</v>
      </c>
      <c r="AK478" s="113" t="s">
        <v>59</v>
      </c>
      <c r="AL478" s="107" t="s">
        <v>181</v>
      </c>
      <c r="AN478" s="107">
        <v>0.95899999999999996</v>
      </c>
      <c r="AO478" s="48">
        <f t="shared" ref="AO478:AO489" si="615">(HOUR(H478)*60*60+MINUTE(H478)*60+SECOND(H478))/5.2*AA478/W478*AN478</f>
        <v>142229766.38325</v>
      </c>
      <c r="AP478" s="156">
        <f t="shared" ref="AP478:AP489" si="616">AO478*0.7</f>
        <v>99560836.468274996</v>
      </c>
      <c r="AQ478" s="161">
        <f t="shared" ref="AQ478:AQ489" si="617">AP478+AQ477</f>
        <v>17886174141.611404</v>
      </c>
      <c r="AR478" s="163">
        <f t="shared" ref="AR478:AR489" si="618">H478+AR477</f>
        <v>8.1812268517938485</v>
      </c>
      <c r="AS478" s="49">
        <f t="shared" ref="AS478:AS489" si="619">I478*(HOUR(H478)*60+MINUTE(H478))/60/(7*24)</f>
        <v>0.30736011904761906</v>
      </c>
      <c r="AT478" s="165">
        <f t="shared" ref="AT478:AT489" si="620">AS478+AT477</f>
        <v>54.662523809523798</v>
      </c>
      <c r="AU478" s="254">
        <f t="shared" si="555"/>
        <v>200595.27669999999</v>
      </c>
      <c r="AV478" s="255">
        <f t="shared" si="556"/>
        <v>460103.92330000002</v>
      </c>
      <c r="AW478" s="256">
        <f t="shared" si="557"/>
        <v>0.43597819219030332</v>
      </c>
    </row>
    <row r="479" spans="1:49">
      <c r="A479" s="108">
        <v>477</v>
      </c>
      <c r="F479" s="45">
        <v>43137.872789351852</v>
      </c>
      <c r="G479" s="45">
        <v>43137.914965277778</v>
      </c>
      <c r="H479" s="53">
        <f>G479-F479</f>
        <v>4.2175925926130731E-2</v>
      </c>
      <c r="I479" s="86">
        <v>50.83</v>
      </c>
      <c r="J479" s="109" t="s">
        <v>260</v>
      </c>
      <c r="K479" s="88" t="s">
        <v>72</v>
      </c>
      <c r="L479" s="88" t="s">
        <v>73</v>
      </c>
      <c r="M479" s="88">
        <v>-369</v>
      </c>
      <c r="N479" s="108">
        <v>1</v>
      </c>
      <c r="O479" s="108">
        <v>200</v>
      </c>
      <c r="P479" s="88">
        <v>348</v>
      </c>
      <c r="Q479" s="88" t="s">
        <v>75</v>
      </c>
      <c r="R479" s="88" t="s">
        <v>348</v>
      </c>
      <c r="S479" s="110">
        <v>10000</v>
      </c>
      <c r="T479" s="110">
        <v>941</v>
      </c>
      <c r="U479" s="88">
        <v>983</v>
      </c>
      <c r="V479" s="90">
        <v>1500</v>
      </c>
      <c r="W479" s="111">
        <v>10</v>
      </c>
      <c r="X479" s="110">
        <v>48657</v>
      </c>
      <c r="Y479" s="110">
        <v>873443</v>
      </c>
      <c r="Z479" s="110">
        <v>7040736</v>
      </c>
      <c r="AA479" s="110">
        <v>2168692</v>
      </c>
      <c r="AB479" s="112">
        <v>4900223</v>
      </c>
      <c r="AC479" s="109">
        <v>160.1</v>
      </c>
      <c r="AD479" s="110">
        <v>-109.8</v>
      </c>
      <c r="AE479" s="110">
        <v>3.94</v>
      </c>
      <c r="AF479" s="110">
        <v>-0.76</v>
      </c>
      <c r="AG479" s="110">
        <v>109.8</v>
      </c>
      <c r="AH479" s="110">
        <v>-110.1</v>
      </c>
      <c r="AI479" s="110">
        <v>3.74</v>
      </c>
      <c r="AJ479" s="109">
        <v>-0.32</v>
      </c>
      <c r="AK479" s="113" t="s">
        <v>59</v>
      </c>
      <c r="AL479" s="107" t="s">
        <v>590</v>
      </c>
      <c r="AN479" s="107">
        <v>0.95199999999999996</v>
      </c>
      <c r="AO479" s="48">
        <f t="shared" si="615"/>
        <v>144680449.8633846</v>
      </c>
      <c r="AP479" s="156">
        <f t="shared" si="616"/>
        <v>101276314.90436922</v>
      </c>
      <c r="AQ479" s="161">
        <f t="shared" si="617"/>
        <v>17987450456.515774</v>
      </c>
      <c r="AR479" s="163">
        <f t="shared" si="618"/>
        <v>8.2234027777199792</v>
      </c>
      <c r="AS479" s="49">
        <f t="shared" si="619"/>
        <v>0.30255952380952378</v>
      </c>
      <c r="AT479" s="165">
        <f t="shared" si="620"/>
        <v>54.965083333333318</v>
      </c>
      <c r="AU479" s="254">
        <f t="shared" si="555"/>
        <v>206459.47839999999</v>
      </c>
      <c r="AV479" s="255">
        <f t="shared" si="556"/>
        <v>500432.02159999998</v>
      </c>
      <c r="AW479" s="256">
        <f t="shared" si="557"/>
        <v>0.41256248499026904</v>
      </c>
    </row>
    <row r="480" spans="1:49">
      <c r="A480" s="108">
        <v>478</v>
      </c>
      <c r="F480" s="45">
        <v>43137.915416666663</v>
      </c>
      <c r="G480" s="45">
        <v>43137.958715277775</v>
      </c>
      <c r="H480" s="53">
        <f>G480-F480-'user time'!U104-'user time'!U105</f>
        <v>4.2222222222933592E-2</v>
      </c>
      <c r="I480" s="86">
        <v>50.85</v>
      </c>
      <c r="J480" s="109" t="s">
        <v>260</v>
      </c>
      <c r="K480" s="88" t="s">
        <v>72</v>
      </c>
      <c r="L480" s="88" t="s">
        <v>73</v>
      </c>
      <c r="M480" s="88">
        <v>-369</v>
      </c>
      <c r="N480" s="108">
        <v>1</v>
      </c>
      <c r="O480" s="108">
        <v>200</v>
      </c>
      <c r="P480" s="88">
        <v>348</v>
      </c>
      <c r="Q480" s="88" t="s">
        <v>75</v>
      </c>
      <c r="R480" s="88" t="s">
        <v>348</v>
      </c>
      <c r="S480" s="110">
        <v>10000</v>
      </c>
      <c r="T480" s="110">
        <v>942</v>
      </c>
      <c r="U480" s="88">
        <v>983</v>
      </c>
      <c r="V480" s="90">
        <v>1500</v>
      </c>
      <c r="W480" s="111">
        <v>10</v>
      </c>
      <c r="X480" s="110">
        <v>49091</v>
      </c>
      <c r="Y480" s="110">
        <v>873297</v>
      </c>
      <c r="Z480" s="110">
        <v>7098796</v>
      </c>
      <c r="AA480" s="110">
        <v>2184259</v>
      </c>
      <c r="AB480" s="112">
        <v>4942432</v>
      </c>
      <c r="AC480" s="109">
        <v>160.1</v>
      </c>
      <c r="AD480" s="110">
        <v>-109.8</v>
      </c>
      <c r="AE480" s="110">
        <v>3.94</v>
      </c>
      <c r="AF480" s="110">
        <v>-0.76</v>
      </c>
      <c r="AG480" s="110">
        <v>109.8</v>
      </c>
      <c r="AH480" s="110">
        <v>-110.1</v>
      </c>
      <c r="AI480" s="110">
        <v>3.74</v>
      </c>
      <c r="AJ480" s="109">
        <v>-0.32</v>
      </c>
      <c r="AK480" s="113" t="s">
        <v>59</v>
      </c>
      <c r="AL480" s="107" t="s">
        <v>590</v>
      </c>
      <c r="AN480" s="107">
        <v>0.95099999999999996</v>
      </c>
      <c r="AO480" s="48">
        <f t="shared" si="615"/>
        <v>145725695.52369231</v>
      </c>
      <c r="AP480" s="156">
        <f t="shared" si="616"/>
        <v>102007986.86658461</v>
      </c>
      <c r="AQ480" s="161">
        <f t="shared" si="617"/>
        <v>18089458443.382359</v>
      </c>
      <c r="AR480" s="163">
        <f t="shared" si="618"/>
        <v>8.2656249999429132</v>
      </c>
      <c r="AS480" s="49">
        <f t="shared" si="619"/>
        <v>0.30267857142857146</v>
      </c>
      <c r="AT480" s="165">
        <f t="shared" si="620"/>
        <v>55.26776190476189</v>
      </c>
      <c r="AU480" s="254">
        <f t="shared" si="555"/>
        <v>207723.03089999998</v>
      </c>
      <c r="AV480" s="255">
        <f t="shared" si="556"/>
        <v>504946.06910000002</v>
      </c>
      <c r="AW480" s="256">
        <f t="shared" si="557"/>
        <v>0.41137666695819414</v>
      </c>
    </row>
    <row r="481" spans="1:70">
      <c r="A481" s="108">
        <v>479</v>
      </c>
      <c r="F481" s="45">
        <v>43137.958749999998</v>
      </c>
      <c r="G481" s="45">
        <v>43137.970868055556</v>
      </c>
      <c r="H481" s="53">
        <f>G481-F481</f>
        <v>1.2118055557948537E-2</v>
      </c>
      <c r="I481" s="86">
        <v>50.94</v>
      </c>
      <c r="J481" s="109" t="s">
        <v>260</v>
      </c>
      <c r="K481" s="88" t="s">
        <v>72</v>
      </c>
      <c r="L481" s="88" t="s">
        <v>73</v>
      </c>
      <c r="M481" s="88">
        <v>-369</v>
      </c>
      <c r="N481" s="108">
        <v>1</v>
      </c>
      <c r="O481" s="108">
        <v>200</v>
      </c>
      <c r="P481" s="88">
        <v>348</v>
      </c>
      <c r="Q481" s="88" t="s">
        <v>75</v>
      </c>
      <c r="R481" s="88" t="s">
        <v>348</v>
      </c>
      <c r="S481" s="110">
        <v>10000</v>
      </c>
      <c r="T481" s="110">
        <v>955</v>
      </c>
      <c r="U481" s="88">
        <v>983</v>
      </c>
      <c r="V481" s="90">
        <v>1500</v>
      </c>
      <c r="W481" s="111">
        <v>10</v>
      </c>
      <c r="X481" s="110">
        <v>49331</v>
      </c>
      <c r="Y481" s="110">
        <v>874761</v>
      </c>
      <c r="Z481" s="110">
        <v>7071810</v>
      </c>
      <c r="AA481" s="110">
        <v>2173391</v>
      </c>
      <c r="AB481" s="112">
        <v>4926660</v>
      </c>
      <c r="AC481" s="109">
        <v>160.1</v>
      </c>
      <c r="AD481" s="110">
        <v>-109.8</v>
      </c>
      <c r="AE481" s="110">
        <v>3.94</v>
      </c>
      <c r="AF481" s="110">
        <v>-0.76</v>
      </c>
      <c r="AG481" s="110">
        <v>109.8</v>
      </c>
      <c r="AH481" s="110">
        <v>-110.1</v>
      </c>
      <c r="AI481" s="110">
        <v>3.74</v>
      </c>
      <c r="AJ481" s="109">
        <v>-0.32</v>
      </c>
      <c r="AK481" s="113" t="s">
        <v>59</v>
      </c>
      <c r="AL481" s="107" t="s">
        <v>594</v>
      </c>
      <c r="AN481" s="107">
        <f>AN480</f>
        <v>0.95099999999999996</v>
      </c>
      <c r="AO481" s="48">
        <f t="shared" si="615"/>
        <v>41616132.663980767</v>
      </c>
      <c r="AP481" s="156">
        <f t="shared" si="616"/>
        <v>29131292.864786536</v>
      </c>
      <c r="AQ481" s="161">
        <f t="shared" si="617"/>
        <v>18118589736.247147</v>
      </c>
      <c r="AR481" s="163">
        <f t="shared" si="618"/>
        <v>8.2777430555008618</v>
      </c>
      <c r="AS481" s="49">
        <f t="shared" si="619"/>
        <v>8.5910714285714285E-2</v>
      </c>
      <c r="AT481" s="165">
        <f t="shared" si="620"/>
        <v>55.353672619047607</v>
      </c>
      <c r="AU481" s="254">
        <f t="shared" si="555"/>
        <v>206689.4841</v>
      </c>
      <c r="AV481" s="255">
        <f t="shared" si="556"/>
        <v>503315.61590000003</v>
      </c>
      <c r="AW481" s="256">
        <f t="shared" si="557"/>
        <v>0.41065581430532361</v>
      </c>
    </row>
    <row r="482" spans="1:70">
      <c r="A482" s="108">
        <v>480</v>
      </c>
      <c r="F482" s="45">
        <v>43137.974826388891</v>
      </c>
      <c r="G482" s="45">
        <v>43138.016365740739</v>
      </c>
      <c r="H482" s="53">
        <f>G482-F482</f>
        <v>4.1539351848769002E-2</v>
      </c>
      <c r="I482" s="86">
        <v>50.87</v>
      </c>
      <c r="J482" s="109" t="s">
        <v>260</v>
      </c>
      <c r="K482" s="88" t="s">
        <v>72</v>
      </c>
      <c r="L482" s="88" t="s">
        <v>73</v>
      </c>
      <c r="M482" s="88">
        <v>-369</v>
      </c>
      <c r="N482" s="108">
        <v>1</v>
      </c>
      <c r="O482" s="108">
        <v>200</v>
      </c>
      <c r="P482" s="88">
        <v>348</v>
      </c>
      <c r="Q482" s="88" t="s">
        <v>75</v>
      </c>
      <c r="R482" s="88" t="s">
        <v>348</v>
      </c>
      <c r="S482" s="110">
        <v>10000</v>
      </c>
      <c r="T482" s="110">
        <v>950</v>
      </c>
      <c r="U482" s="88">
        <v>983</v>
      </c>
      <c r="V482" s="90">
        <v>1500</v>
      </c>
      <c r="W482" s="111">
        <v>10</v>
      </c>
      <c r="X482" s="110">
        <v>48813</v>
      </c>
      <c r="Y482" s="110">
        <v>875819</v>
      </c>
      <c r="Z482" s="110">
        <v>7048482</v>
      </c>
      <c r="AA482" s="110">
        <v>2172578</v>
      </c>
      <c r="AB482" s="112">
        <v>4903919</v>
      </c>
      <c r="AC482" s="109">
        <v>160.1</v>
      </c>
      <c r="AD482" s="110">
        <v>-109.8</v>
      </c>
      <c r="AE482" s="110">
        <v>3.94</v>
      </c>
      <c r="AF482" s="110">
        <v>-0.76</v>
      </c>
      <c r="AG482" s="110">
        <v>109.8</v>
      </c>
      <c r="AH482" s="110">
        <v>-110.1</v>
      </c>
      <c r="AI482" s="110">
        <v>3.74</v>
      </c>
      <c r="AJ482" s="109">
        <v>-0.32</v>
      </c>
      <c r="AK482" s="113" t="s">
        <v>59</v>
      </c>
      <c r="AL482" s="107" t="s">
        <v>590</v>
      </c>
      <c r="AN482" s="107">
        <v>0.95099999999999996</v>
      </c>
      <c r="AO482" s="48">
        <f t="shared" si="615"/>
        <v>142602128.89119229</v>
      </c>
      <c r="AP482" s="156">
        <f t="shared" si="616"/>
        <v>99821490.223834589</v>
      </c>
      <c r="AQ482" s="161">
        <f t="shared" si="617"/>
        <v>18218411226.470982</v>
      </c>
      <c r="AR482" s="163">
        <f t="shared" si="618"/>
        <v>8.3192824073496308</v>
      </c>
      <c r="AS482" s="49">
        <f t="shared" si="619"/>
        <v>0.29775099206349204</v>
      </c>
      <c r="AT482" s="165">
        <f t="shared" si="620"/>
        <v>55.651423611111099</v>
      </c>
      <c r="AU482" s="254">
        <f t="shared" si="555"/>
        <v>206612.16779999997</v>
      </c>
      <c r="AV482" s="255">
        <f t="shared" si="556"/>
        <v>501037.53220000002</v>
      </c>
      <c r="AW482" s="256">
        <f t="shared" si="557"/>
        <v>0.41236864410693735</v>
      </c>
    </row>
    <row r="483" spans="1:70">
      <c r="A483" s="108">
        <v>481</v>
      </c>
      <c r="F483" s="45">
        <v>43138.016747685186</v>
      </c>
      <c r="G483" s="45">
        <v>43138.057986111111</v>
      </c>
      <c r="H483" s="53">
        <f>G483-F483-'user time'!U109</f>
        <v>4.0729166665998351E-2</v>
      </c>
      <c r="I483" s="86">
        <v>50.92</v>
      </c>
      <c r="J483" s="109" t="s">
        <v>260</v>
      </c>
      <c r="K483" s="88" t="s">
        <v>72</v>
      </c>
      <c r="L483" s="88" t="s">
        <v>73</v>
      </c>
      <c r="M483" s="88">
        <v>-369</v>
      </c>
      <c r="N483" s="108">
        <v>1</v>
      </c>
      <c r="O483" s="108">
        <v>200</v>
      </c>
      <c r="P483" s="88">
        <v>348</v>
      </c>
      <c r="Q483" s="88" t="s">
        <v>75</v>
      </c>
      <c r="R483" s="88" t="s">
        <v>348</v>
      </c>
      <c r="S483" s="110">
        <v>10700</v>
      </c>
      <c r="T483" s="110">
        <v>929</v>
      </c>
      <c r="U483" s="88">
        <v>983</v>
      </c>
      <c r="V483" s="90">
        <v>1500</v>
      </c>
      <c r="W483" s="111">
        <v>10</v>
      </c>
      <c r="X483" s="110">
        <v>49440</v>
      </c>
      <c r="Y483" s="110">
        <v>875133</v>
      </c>
      <c r="Z483" s="110">
        <v>7083150</v>
      </c>
      <c r="AA483" s="110">
        <v>2176372</v>
      </c>
      <c r="AB483" s="112">
        <v>4934565</v>
      </c>
      <c r="AC483" s="109">
        <v>160.1</v>
      </c>
      <c r="AD483" s="110">
        <v>-109.8</v>
      </c>
      <c r="AE483" s="110">
        <v>3.94</v>
      </c>
      <c r="AF483" s="110">
        <v>-0.76</v>
      </c>
      <c r="AG483" s="110">
        <v>109.8</v>
      </c>
      <c r="AH483" s="110">
        <v>-110.1</v>
      </c>
      <c r="AI483" s="110">
        <v>3.74</v>
      </c>
      <c r="AJ483" s="109">
        <v>-0.32</v>
      </c>
      <c r="AK483" s="113" t="s">
        <v>59</v>
      </c>
      <c r="AL483" s="107" t="s">
        <v>590</v>
      </c>
      <c r="AN483" s="107">
        <v>0.95099999999999996</v>
      </c>
      <c r="AO483" s="48">
        <f t="shared" si="615"/>
        <v>140064982.07053843</v>
      </c>
      <c r="AP483" s="156">
        <f t="shared" si="616"/>
        <v>98045487.449376896</v>
      </c>
      <c r="AQ483" s="161">
        <f t="shared" si="617"/>
        <v>18316456713.920357</v>
      </c>
      <c r="AR483" s="163">
        <f t="shared" si="618"/>
        <v>8.3600115740156298</v>
      </c>
      <c r="AS483" s="49">
        <f t="shared" si="619"/>
        <v>0.29299206349206353</v>
      </c>
      <c r="AT483" s="165">
        <f t="shared" si="620"/>
        <v>55.944415674603164</v>
      </c>
      <c r="AU483" s="254">
        <f t="shared" si="555"/>
        <v>206972.97719999999</v>
      </c>
      <c r="AV483" s="255">
        <f t="shared" si="556"/>
        <v>504120.72279999999</v>
      </c>
      <c r="AW483" s="256">
        <f t="shared" si="557"/>
        <v>0.41056232731403203</v>
      </c>
    </row>
    <row r="484" spans="1:70">
      <c r="A484" s="108">
        <v>482</v>
      </c>
      <c r="F484" s="45">
        <v>43138.058078703703</v>
      </c>
      <c r="G484" s="45">
        <v>43138.126122685186</v>
      </c>
      <c r="H484" s="53">
        <f>G484-F484-'user time'!U110</f>
        <v>4.1354166667518205E-2</v>
      </c>
      <c r="I484" s="86">
        <v>50.87</v>
      </c>
      <c r="J484" s="109" t="s">
        <v>260</v>
      </c>
      <c r="K484" s="88" t="s">
        <v>72</v>
      </c>
      <c r="L484" s="88" t="s">
        <v>73</v>
      </c>
      <c r="M484" s="88">
        <v>-369</v>
      </c>
      <c r="N484" s="108">
        <v>1</v>
      </c>
      <c r="O484" s="108">
        <v>200</v>
      </c>
      <c r="P484" s="88">
        <v>348</v>
      </c>
      <c r="Q484" s="88" t="s">
        <v>75</v>
      </c>
      <c r="R484" s="88" t="s">
        <v>348</v>
      </c>
      <c r="S484" s="110">
        <v>10700</v>
      </c>
      <c r="T484" s="110">
        <v>942</v>
      </c>
      <c r="U484" s="88">
        <v>983</v>
      </c>
      <c r="V484" s="90">
        <v>1500</v>
      </c>
      <c r="W484" s="111">
        <v>10</v>
      </c>
      <c r="X484" s="110">
        <v>49117</v>
      </c>
      <c r="Y484" s="110">
        <v>875305</v>
      </c>
      <c r="Z484" s="110">
        <v>7083428</v>
      </c>
      <c r="AA484" s="110">
        <v>2179847</v>
      </c>
      <c r="AB484" s="112">
        <v>4931101</v>
      </c>
      <c r="AC484" s="109">
        <v>160.1</v>
      </c>
      <c r="AD484" s="110">
        <v>-109.8</v>
      </c>
      <c r="AE484" s="110">
        <v>3.94</v>
      </c>
      <c r="AF484" s="110">
        <v>-0.76</v>
      </c>
      <c r="AG484" s="110">
        <v>109.8</v>
      </c>
      <c r="AH484" s="110">
        <v>-110.1</v>
      </c>
      <c r="AI484" s="110">
        <v>3.74</v>
      </c>
      <c r="AJ484" s="109">
        <v>-0.32</v>
      </c>
      <c r="AK484" s="113" t="s">
        <v>59</v>
      </c>
      <c r="AL484" s="107" t="s">
        <v>181</v>
      </c>
      <c r="AN484" s="107">
        <v>0.95399999999999996</v>
      </c>
      <c r="AO484" s="48">
        <f t="shared" si="615"/>
        <v>142890731.49565384</v>
      </c>
      <c r="AP484" s="156">
        <f t="shared" si="616"/>
        <v>100023512.04695769</v>
      </c>
      <c r="AQ484" s="161">
        <f t="shared" si="617"/>
        <v>18416480225.967316</v>
      </c>
      <c r="AR484" s="163">
        <f t="shared" si="618"/>
        <v>8.4013657406831488</v>
      </c>
      <c r="AS484" s="49">
        <f t="shared" si="619"/>
        <v>0.29775099206349204</v>
      </c>
      <c r="AT484" s="165">
        <f t="shared" si="620"/>
        <v>56.242166666666655</v>
      </c>
      <c r="AU484" s="254">
        <f t="shared" si="555"/>
        <v>207957.4038</v>
      </c>
      <c r="AV484" s="255">
        <f t="shared" si="556"/>
        <v>503137.39619999996</v>
      </c>
      <c r="AW484" s="256">
        <f t="shared" si="557"/>
        <v>0.41332130223398411</v>
      </c>
    </row>
    <row r="485" spans="1:70">
      <c r="A485" s="108">
        <v>483</v>
      </c>
      <c r="F485" s="45">
        <v>43138.126145833332</v>
      </c>
      <c r="G485" s="45">
        <v>43138.16746527778</v>
      </c>
      <c r="H485" s="53">
        <f>G485-F485</f>
        <v>4.1319444448163267E-2</v>
      </c>
      <c r="I485" s="86">
        <v>50.9</v>
      </c>
      <c r="J485" s="109" t="s">
        <v>260</v>
      </c>
      <c r="K485" s="88" t="s">
        <v>72</v>
      </c>
      <c r="L485" s="88" t="s">
        <v>73</v>
      </c>
      <c r="M485" s="88">
        <v>-369</v>
      </c>
      <c r="N485" s="108">
        <v>1</v>
      </c>
      <c r="O485" s="108">
        <v>200</v>
      </c>
      <c r="P485" s="88">
        <v>348</v>
      </c>
      <c r="Q485" s="88" t="s">
        <v>75</v>
      </c>
      <c r="R485" s="88" t="s">
        <v>348</v>
      </c>
      <c r="S485" s="110">
        <v>10700</v>
      </c>
      <c r="T485" s="110">
        <v>948</v>
      </c>
      <c r="U485" s="88">
        <v>983</v>
      </c>
      <c r="V485" s="90">
        <v>1500</v>
      </c>
      <c r="W485" s="111">
        <v>10</v>
      </c>
      <c r="X485" s="110">
        <v>49214</v>
      </c>
      <c r="Y485" s="110">
        <v>875859</v>
      </c>
      <c r="Z485" s="110">
        <v>7070545</v>
      </c>
      <c r="AA485" s="110">
        <v>2175807</v>
      </c>
      <c r="AB485" s="112">
        <v>4922716</v>
      </c>
      <c r="AC485" s="109">
        <v>160.1</v>
      </c>
      <c r="AD485" s="110">
        <v>-109.8</v>
      </c>
      <c r="AE485" s="110">
        <v>3.94</v>
      </c>
      <c r="AF485" s="110">
        <v>-0.76</v>
      </c>
      <c r="AG485" s="110">
        <v>109.8</v>
      </c>
      <c r="AH485" s="110">
        <v>-110.1</v>
      </c>
      <c r="AI485" s="110">
        <v>3.74</v>
      </c>
      <c r="AJ485" s="109">
        <v>-0.32</v>
      </c>
      <c r="AK485" s="113" t="s">
        <v>59</v>
      </c>
      <c r="AL485" s="107" t="s">
        <v>590</v>
      </c>
      <c r="AN485" s="107">
        <v>0.95299999999999996</v>
      </c>
      <c r="AO485" s="48">
        <f t="shared" si="615"/>
        <v>142356775.64365384</v>
      </c>
      <c r="AP485" s="156">
        <f t="shared" si="616"/>
        <v>99649742.950557679</v>
      </c>
      <c r="AQ485" s="161">
        <f t="shared" si="617"/>
        <v>18516129968.917873</v>
      </c>
      <c r="AR485" s="163">
        <f t="shared" si="618"/>
        <v>8.4426851851313121</v>
      </c>
      <c r="AS485" s="49">
        <f t="shared" si="619"/>
        <v>0.29792658730158728</v>
      </c>
      <c r="AT485" s="165">
        <f t="shared" si="620"/>
        <v>56.540093253968244</v>
      </c>
      <c r="AU485" s="254">
        <f t="shared" si="555"/>
        <v>207354.40710000001</v>
      </c>
      <c r="AV485" s="255">
        <f t="shared" si="556"/>
        <v>502497.89289999998</v>
      </c>
      <c r="AW485" s="256">
        <f t="shared" si="557"/>
        <v>0.41264731659534493</v>
      </c>
    </row>
    <row r="486" spans="1:70">
      <c r="A486" s="108">
        <v>484</v>
      </c>
      <c r="F486" s="45">
        <v>43138.167488425926</v>
      </c>
      <c r="G486" s="45">
        <v>43138.208692129629</v>
      </c>
      <c r="H486" s="53">
        <f>G486-F486-'user time'!U111-'user time'!U112</f>
        <v>4.0312499998490903E-2</v>
      </c>
      <c r="I486" s="86">
        <v>50.87</v>
      </c>
      <c r="J486" s="109" t="s">
        <v>260</v>
      </c>
      <c r="K486" s="88" t="s">
        <v>72</v>
      </c>
      <c r="L486" s="88" t="s">
        <v>73</v>
      </c>
      <c r="M486" s="88">
        <v>-369</v>
      </c>
      <c r="N486" s="108">
        <v>1</v>
      </c>
      <c r="O486" s="108">
        <v>200</v>
      </c>
      <c r="P486" s="88">
        <v>348</v>
      </c>
      <c r="Q486" s="88" t="s">
        <v>75</v>
      </c>
      <c r="R486" s="88" t="s">
        <v>348</v>
      </c>
      <c r="S486" s="110">
        <v>10700</v>
      </c>
      <c r="T486" s="110">
        <v>946</v>
      </c>
      <c r="U486" s="88">
        <v>983</v>
      </c>
      <c r="V486" s="90">
        <v>1500</v>
      </c>
      <c r="W486" s="111">
        <v>10</v>
      </c>
      <c r="X486" s="110">
        <v>49127</v>
      </c>
      <c r="Y486" s="110">
        <v>874164</v>
      </c>
      <c r="Z486" s="110">
        <v>7061112</v>
      </c>
      <c r="AA486" s="110">
        <v>2168822</v>
      </c>
      <c r="AB486" s="112">
        <v>4920902</v>
      </c>
      <c r="AC486" s="109">
        <v>160.1</v>
      </c>
      <c r="AD486" s="110">
        <v>-109.8</v>
      </c>
      <c r="AE486" s="110">
        <v>3.94</v>
      </c>
      <c r="AF486" s="110">
        <v>-0.76</v>
      </c>
      <c r="AG486" s="110">
        <v>109.8</v>
      </c>
      <c r="AH486" s="110">
        <v>-110.1</v>
      </c>
      <c r="AI486" s="110">
        <v>3.74</v>
      </c>
      <c r="AJ486" s="109">
        <v>-0.32</v>
      </c>
      <c r="AK486" s="113" t="s">
        <v>59</v>
      </c>
      <c r="AL486" s="107" t="s">
        <v>181</v>
      </c>
      <c r="AN486" s="107">
        <v>0.95399999999999996</v>
      </c>
      <c r="AO486" s="48">
        <f t="shared" si="615"/>
        <v>138586975.05392304</v>
      </c>
      <c r="AP486" s="156">
        <f t="shared" si="616"/>
        <v>97010882.537746117</v>
      </c>
      <c r="AQ486" s="161">
        <f t="shared" si="617"/>
        <v>18613140851.45562</v>
      </c>
      <c r="AR486" s="163">
        <f t="shared" si="618"/>
        <v>8.4829976851298028</v>
      </c>
      <c r="AS486" s="49">
        <f t="shared" si="619"/>
        <v>0.29270436507936509</v>
      </c>
      <c r="AT486" s="165">
        <f t="shared" si="620"/>
        <v>56.832797619047611</v>
      </c>
      <c r="AU486" s="254">
        <f t="shared" si="555"/>
        <v>206905.6188</v>
      </c>
      <c r="AV486" s="255">
        <f t="shared" si="556"/>
        <v>502066.78120000003</v>
      </c>
      <c r="AW486" s="256">
        <f t="shared" si="557"/>
        <v>0.41210776444016206</v>
      </c>
    </row>
    <row r="487" spans="1:70">
      <c r="A487" s="108">
        <v>485</v>
      </c>
      <c r="F487" s="45">
        <v>43138.209027777775</v>
      </c>
      <c r="G487" s="45">
        <v>43138.260462962964</v>
      </c>
      <c r="H487" s="53">
        <f>G487-F487-SUM('user time'!U113:U115)</f>
        <v>4.0231481485189569E-2</v>
      </c>
      <c r="I487" s="86">
        <v>50.91</v>
      </c>
      <c r="J487" s="109" t="s">
        <v>260</v>
      </c>
      <c r="K487" s="88" t="s">
        <v>72</v>
      </c>
      <c r="L487" s="88" t="s">
        <v>73</v>
      </c>
      <c r="M487" s="88">
        <v>-369</v>
      </c>
      <c r="N487" s="108">
        <v>1</v>
      </c>
      <c r="O487" s="108">
        <v>200</v>
      </c>
      <c r="P487" s="88">
        <v>348</v>
      </c>
      <c r="Q487" s="88" t="s">
        <v>75</v>
      </c>
      <c r="R487" s="88" t="s">
        <v>348</v>
      </c>
      <c r="S487" s="110">
        <v>10800</v>
      </c>
      <c r="T487" s="110">
        <v>955</v>
      </c>
      <c r="U487" s="88">
        <v>983</v>
      </c>
      <c r="V487" s="90">
        <v>1500</v>
      </c>
      <c r="W487" s="111">
        <v>10</v>
      </c>
      <c r="X487" s="110">
        <v>48980</v>
      </c>
      <c r="Y487" s="110">
        <v>876179</v>
      </c>
      <c r="Z487" s="110">
        <v>7102839</v>
      </c>
      <c r="AA487" s="110">
        <v>2179335</v>
      </c>
      <c r="AB487" s="112">
        <v>4951414</v>
      </c>
      <c r="AC487" s="109">
        <v>160.1</v>
      </c>
      <c r="AD487" s="110">
        <v>-109.8</v>
      </c>
      <c r="AE487" s="110">
        <v>3.94</v>
      </c>
      <c r="AF487" s="110">
        <v>-0.76</v>
      </c>
      <c r="AG487" s="110">
        <v>109.8</v>
      </c>
      <c r="AH487" s="110">
        <v>-110.1</v>
      </c>
      <c r="AI487" s="110">
        <v>3.74</v>
      </c>
      <c r="AJ487" s="109">
        <v>-0.32</v>
      </c>
      <c r="AK487" s="113" t="s">
        <v>59</v>
      </c>
      <c r="AL487" s="107" t="s">
        <v>590</v>
      </c>
      <c r="AN487" s="107">
        <v>0.95</v>
      </c>
      <c r="AO487" s="48">
        <f t="shared" si="615"/>
        <v>138396154.55769229</v>
      </c>
      <c r="AP487" s="156">
        <f t="shared" si="616"/>
        <v>96877308.190384597</v>
      </c>
      <c r="AQ487" s="161">
        <f t="shared" si="617"/>
        <v>18710018159.646004</v>
      </c>
      <c r="AR487" s="163">
        <f t="shared" si="618"/>
        <v>8.5232291666149926</v>
      </c>
      <c r="AS487" s="49">
        <f t="shared" si="619"/>
        <v>0.28788392857142858</v>
      </c>
      <c r="AT487" s="165">
        <f t="shared" si="620"/>
        <v>57.120681547619043</v>
      </c>
      <c r="AU487" s="254">
        <f t="shared" si="555"/>
        <v>207036.82499999998</v>
      </c>
      <c r="AV487" s="255">
        <f t="shared" si="556"/>
        <v>506038.07500000001</v>
      </c>
      <c r="AW487" s="256">
        <f t="shared" si="557"/>
        <v>0.40913289973289063</v>
      </c>
    </row>
    <row r="488" spans="1:70">
      <c r="A488" s="108">
        <v>486</v>
      </c>
      <c r="F488" s="45">
        <v>43138.260567129626</v>
      </c>
      <c r="G488" s="45">
        <v>43138.301817129628</v>
      </c>
      <c r="H488" s="53">
        <f>G488-F488-'user time'!U116</f>
        <v>4.0752314816852098E-2</v>
      </c>
      <c r="I488" s="86">
        <v>50.88</v>
      </c>
      <c r="J488" s="109" t="s">
        <v>260</v>
      </c>
      <c r="K488" s="88" t="s">
        <v>72</v>
      </c>
      <c r="L488" s="88" t="s">
        <v>73</v>
      </c>
      <c r="M488" s="88">
        <v>-369</v>
      </c>
      <c r="N488" s="108">
        <v>1</v>
      </c>
      <c r="O488" s="108">
        <v>200</v>
      </c>
      <c r="P488" s="88">
        <v>348</v>
      </c>
      <c r="Q488" s="88" t="s">
        <v>75</v>
      </c>
      <c r="R488" s="88" t="s">
        <v>348</v>
      </c>
      <c r="S488" s="110">
        <v>10500</v>
      </c>
      <c r="T488" s="110">
        <v>954</v>
      </c>
      <c r="U488" s="88">
        <v>983</v>
      </c>
      <c r="V488" s="90">
        <v>1500</v>
      </c>
      <c r="W488" s="111">
        <v>10</v>
      </c>
      <c r="X488" s="110">
        <v>49239</v>
      </c>
      <c r="Y488" s="110">
        <v>874786</v>
      </c>
      <c r="Z488" s="110">
        <v>7061814</v>
      </c>
      <c r="AA488" s="110">
        <v>2172577</v>
      </c>
      <c r="AB488" s="112">
        <v>4917186</v>
      </c>
      <c r="AC488" s="109">
        <v>160.1</v>
      </c>
      <c r="AD488" s="110">
        <v>-109.8</v>
      </c>
      <c r="AE488" s="110">
        <v>3.94</v>
      </c>
      <c r="AF488" s="110">
        <v>-0.76</v>
      </c>
      <c r="AG488" s="110">
        <v>109.8</v>
      </c>
      <c r="AH488" s="110">
        <v>-110.1</v>
      </c>
      <c r="AI488" s="110">
        <v>3.74</v>
      </c>
      <c r="AJ488" s="109">
        <v>-0.32</v>
      </c>
      <c r="AK488" s="113" t="s">
        <v>59</v>
      </c>
      <c r="AL488" s="107" t="s">
        <v>590</v>
      </c>
      <c r="AN488" s="107">
        <v>0.95</v>
      </c>
      <c r="AO488" s="48">
        <f t="shared" si="615"/>
        <v>139753104.54134616</v>
      </c>
      <c r="AP488" s="156">
        <f t="shared" si="616"/>
        <v>97827173.178942308</v>
      </c>
      <c r="AQ488" s="161">
        <f t="shared" si="617"/>
        <v>18807845332.824947</v>
      </c>
      <c r="AR488" s="163">
        <f t="shared" si="618"/>
        <v>8.5639814814318456</v>
      </c>
      <c r="AS488" s="49">
        <f t="shared" si="619"/>
        <v>0.29276190476190472</v>
      </c>
      <c r="AT488" s="165">
        <f t="shared" si="620"/>
        <v>57.413443452380946</v>
      </c>
      <c r="AU488" s="254">
        <f t="shared" si="555"/>
        <v>206394.815</v>
      </c>
      <c r="AV488" s="255">
        <f t="shared" si="556"/>
        <v>502581.48499999999</v>
      </c>
      <c r="AW488" s="256">
        <f t="shared" si="557"/>
        <v>0.41066935643281804</v>
      </c>
    </row>
    <row r="489" spans="1:70">
      <c r="A489" s="108">
        <v>487</v>
      </c>
      <c r="F489" s="45">
        <v>43138.301874999997</v>
      </c>
      <c r="G489" s="45">
        <v>43138.347314814811</v>
      </c>
      <c r="H489" s="53">
        <f>G489-F489-SUM('user time'!U117:U119)</f>
        <v>3.6782407406609763E-2</v>
      </c>
      <c r="I489" s="86">
        <v>50.91</v>
      </c>
      <c r="J489" s="109" t="s">
        <v>260</v>
      </c>
      <c r="K489" s="88" t="s">
        <v>72</v>
      </c>
      <c r="L489" s="88" t="s">
        <v>73</v>
      </c>
      <c r="M489" s="88">
        <v>-369</v>
      </c>
      <c r="N489" s="108">
        <v>1</v>
      </c>
      <c r="O489" s="108">
        <v>200</v>
      </c>
      <c r="P489" s="88">
        <v>348</v>
      </c>
      <c r="Q489" s="88" t="s">
        <v>75</v>
      </c>
      <c r="R489" s="88" t="s">
        <v>348</v>
      </c>
      <c r="S489" s="110">
        <v>10200</v>
      </c>
      <c r="T489" s="110">
        <v>951</v>
      </c>
      <c r="U489" s="88">
        <v>983</v>
      </c>
      <c r="V489" s="90">
        <v>1500</v>
      </c>
      <c r="W489" s="111">
        <v>10</v>
      </c>
      <c r="X489" s="110">
        <v>48871</v>
      </c>
      <c r="Y489" s="110">
        <v>876292</v>
      </c>
      <c r="Z489" s="110">
        <v>7051787</v>
      </c>
      <c r="AA489" s="110">
        <v>2172161</v>
      </c>
      <c r="AB489" s="112">
        <v>4907556</v>
      </c>
      <c r="AC489" s="109">
        <v>160.1</v>
      </c>
      <c r="AD489" s="110">
        <v>-109.8</v>
      </c>
      <c r="AE489" s="110">
        <v>3.94</v>
      </c>
      <c r="AF489" s="110">
        <v>-0.76</v>
      </c>
      <c r="AG489" s="110">
        <v>109.8</v>
      </c>
      <c r="AH489" s="110">
        <v>-110.1</v>
      </c>
      <c r="AI489" s="110">
        <v>3.74</v>
      </c>
      <c r="AJ489" s="109">
        <v>-0.32</v>
      </c>
      <c r="AK489" s="113" t="s">
        <v>59</v>
      </c>
      <c r="AL489" s="107" t="s">
        <v>590</v>
      </c>
      <c r="AN489" s="107">
        <v>0.95</v>
      </c>
      <c r="AO489" s="48">
        <f t="shared" si="615"/>
        <v>126114832.21346153</v>
      </c>
      <c r="AP489" s="156">
        <f t="shared" si="616"/>
        <v>88280382.549423069</v>
      </c>
      <c r="AQ489" s="161">
        <f t="shared" si="617"/>
        <v>18896125715.374371</v>
      </c>
      <c r="AR489" s="163">
        <f t="shared" si="618"/>
        <v>8.6007638888384559</v>
      </c>
      <c r="AS489" s="49">
        <f t="shared" si="619"/>
        <v>0.26263095238095235</v>
      </c>
      <c r="AT489" s="165">
        <f t="shared" si="620"/>
        <v>57.676074404761899</v>
      </c>
      <c r="AU489" s="254">
        <f t="shared" si="555"/>
        <v>206355.29499999998</v>
      </c>
      <c r="AV489" s="255">
        <f t="shared" si="556"/>
        <v>501616.40499999997</v>
      </c>
      <c r="AW489" s="256">
        <f t="shared" si="557"/>
        <v>0.41138067444185761</v>
      </c>
    </row>
    <row r="490" spans="1:70">
      <c r="A490" s="108">
        <v>488</v>
      </c>
      <c r="F490" s="45">
        <v>43138.347627314812</v>
      </c>
      <c r="G490" s="45">
        <v>43138.368136574078</v>
      </c>
      <c r="H490" s="53">
        <f>G490-F490-'user time'!U120</f>
        <v>2.0115740747445432E-2</v>
      </c>
      <c r="I490" s="86">
        <v>50.85</v>
      </c>
      <c r="J490" s="109" t="s">
        <v>260</v>
      </c>
      <c r="K490" s="88" t="s">
        <v>72</v>
      </c>
      <c r="L490" s="88" t="s">
        <v>73</v>
      </c>
      <c r="M490" s="88">
        <v>-369</v>
      </c>
      <c r="N490" s="108">
        <v>1</v>
      </c>
      <c r="O490" s="108">
        <v>200</v>
      </c>
      <c r="P490" s="88">
        <v>348</v>
      </c>
      <c r="Q490" s="88" t="s">
        <v>75</v>
      </c>
      <c r="R490" s="88" t="s">
        <v>348</v>
      </c>
      <c r="S490" s="110">
        <v>10000</v>
      </c>
      <c r="T490" s="110">
        <v>949</v>
      </c>
      <c r="U490" s="88">
        <v>983</v>
      </c>
      <c r="V490" s="90">
        <v>1500</v>
      </c>
      <c r="W490" s="111">
        <v>10</v>
      </c>
      <c r="X490" s="110">
        <v>49182</v>
      </c>
      <c r="Y490" s="110">
        <v>875894</v>
      </c>
      <c r="Z490" s="110">
        <v>7042278</v>
      </c>
      <c r="AA490" s="110">
        <v>2169937</v>
      </c>
      <c r="AB490" s="112">
        <v>4900191</v>
      </c>
      <c r="AC490" s="109">
        <v>160.1</v>
      </c>
      <c r="AD490" s="110">
        <v>-109.8</v>
      </c>
      <c r="AE490" s="110">
        <v>3.94</v>
      </c>
      <c r="AF490" s="110">
        <v>-0.76</v>
      </c>
      <c r="AG490" s="110">
        <v>109.8</v>
      </c>
      <c r="AH490" s="110">
        <v>-110.1</v>
      </c>
      <c r="AI490" s="110">
        <v>3.74</v>
      </c>
      <c r="AJ490" s="109">
        <v>-0.32</v>
      </c>
      <c r="AK490" s="113" t="s">
        <v>59</v>
      </c>
      <c r="AL490" s="107" t="s">
        <v>590</v>
      </c>
      <c r="AN490" s="107">
        <v>0.95199999999999996</v>
      </c>
      <c r="AO490" s="48">
        <f t="shared" ref="AO490" si="621">(HOUR(H490)*60*60+MINUTE(H490)*60+SECOND(H490))/5.2*AA490/W490*AN490</f>
        <v>69044724.648307681</v>
      </c>
      <c r="AP490" s="156">
        <f t="shared" ref="AP490" si="622">AO490*0.7</f>
        <v>48331307.253815375</v>
      </c>
      <c r="AQ490" s="161">
        <f t="shared" ref="AQ490" si="623">AP490+AQ489</f>
        <v>18944457022.628185</v>
      </c>
      <c r="AR490" s="163">
        <f t="shared" ref="AR490" si="624">H490+AR489</f>
        <v>8.620879629585902</v>
      </c>
      <c r="AS490" s="49">
        <f t="shared" ref="AS490" si="625">I490*(HOUR(H490)*60+MINUTE(H490))/60/(7*24)</f>
        <v>0.14125000000000001</v>
      </c>
      <c r="AT490" s="165">
        <f t="shared" ref="AT490" si="626">AS490+AT489</f>
        <v>57.817324404761898</v>
      </c>
      <c r="AU490" s="254">
        <f t="shared" si="555"/>
        <v>206578.0024</v>
      </c>
      <c r="AV490" s="255">
        <f t="shared" si="556"/>
        <v>500434.79759999999</v>
      </c>
      <c r="AW490" s="256">
        <f t="shared" si="557"/>
        <v>0.41279703847676641</v>
      </c>
    </row>
    <row r="491" spans="1:70" s="149" customFormat="1">
      <c r="A491" s="138">
        <v>489</v>
      </c>
      <c r="F491" s="133">
        <v>43138.369004629632</v>
      </c>
      <c r="G491" s="133">
        <v>43138.371458333335</v>
      </c>
      <c r="H491" s="134">
        <f>G491-F491</f>
        <v>2.4537037024856545E-3</v>
      </c>
      <c r="I491" s="135">
        <v>50.85</v>
      </c>
      <c r="J491" s="136" t="s">
        <v>260</v>
      </c>
      <c r="K491" s="137" t="s">
        <v>72</v>
      </c>
      <c r="L491" s="137" t="s">
        <v>73</v>
      </c>
      <c r="M491" s="137">
        <v>-369</v>
      </c>
      <c r="N491" s="138">
        <v>1</v>
      </c>
      <c r="O491" s="138">
        <v>200</v>
      </c>
      <c r="P491" s="137">
        <v>348</v>
      </c>
      <c r="Q491" s="137" t="s">
        <v>75</v>
      </c>
      <c r="R491" s="235" t="s">
        <v>598</v>
      </c>
      <c r="S491" s="139"/>
      <c r="T491" s="139"/>
      <c r="U491" s="137">
        <v>983</v>
      </c>
      <c r="V491" s="140">
        <v>1500</v>
      </c>
      <c r="W491" s="141"/>
      <c r="X491" s="139"/>
      <c r="Y491" s="139"/>
      <c r="Z491" s="139"/>
      <c r="AA491" s="139"/>
      <c r="AB491" s="142"/>
      <c r="AC491" s="136">
        <v>160.1</v>
      </c>
      <c r="AD491" s="139">
        <v>-109.8</v>
      </c>
      <c r="AE491" s="139">
        <v>3.94</v>
      </c>
      <c r="AF491" s="139">
        <v>-0.76</v>
      </c>
      <c r="AG491" s="139">
        <v>109.8</v>
      </c>
      <c r="AH491" s="139">
        <v>-110</v>
      </c>
      <c r="AI491" s="139">
        <v>3.74</v>
      </c>
      <c r="AJ491" s="136">
        <v>-0.32</v>
      </c>
      <c r="AK491" s="143"/>
      <c r="AL491" s="144" t="s">
        <v>599</v>
      </c>
      <c r="AM491" s="145"/>
      <c r="AN491" s="144"/>
      <c r="AO491" s="151"/>
      <c r="AP491" s="146"/>
      <c r="AQ491" s="160"/>
      <c r="AR491" s="162"/>
      <c r="AS491" s="147"/>
      <c r="AT491" s="164"/>
      <c r="AU491" s="147"/>
      <c r="AV491" s="147"/>
      <c r="AW491" s="139"/>
      <c r="AX491" s="139"/>
      <c r="AY491" s="139"/>
      <c r="AZ491" s="139"/>
      <c r="BA491" s="147"/>
      <c r="BB491" s="142"/>
      <c r="BC491" s="148"/>
      <c r="BD491" s="148"/>
      <c r="BE491" s="148"/>
      <c r="BF491" s="148"/>
      <c r="BG491" s="148"/>
      <c r="BH491" s="148"/>
      <c r="BI491" s="148"/>
      <c r="BJ491" s="148"/>
      <c r="BK491" s="148"/>
      <c r="BL491" s="148"/>
      <c r="BM491" s="148"/>
      <c r="BN491" s="148"/>
      <c r="BO491" s="148"/>
      <c r="BP491" s="148"/>
      <c r="BQ491" s="148"/>
      <c r="BR491" s="148"/>
    </row>
    <row r="492" spans="1:70" s="149" customFormat="1">
      <c r="A492" s="138">
        <v>490</v>
      </c>
      <c r="F492" s="133">
        <v>43138.373182870368</v>
      </c>
      <c r="G492" s="133">
        <v>43138.374907407408</v>
      </c>
      <c r="H492" s="134">
        <f>G492-F492</f>
        <v>1.7245370399905369E-3</v>
      </c>
      <c r="I492" s="135">
        <v>50.85</v>
      </c>
      <c r="J492" s="136" t="s">
        <v>260</v>
      </c>
      <c r="K492" s="137" t="s">
        <v>72</v>
      </c>
      <c r="L492" s="137" t="s">
        <v>73</v>
      </c>
      <c r="M492" s="137">
        <v>-369</v>
      </c>
      <c r="N492" s="138">
        <v>1</v>
      </c>
      <c r="O492" s="138">
        <v>200</v>
      </c>
      <c r="P492" s="137">
        <v>348</v>
      </c>
      <c r="Q492" s="137" t="s">
        <v>75</v>
      </c>
      <c r="R492" s="235" t="s">
        <v>598</v>
      </c>
      <c r="S492" s="139"/>
      <c r="T492" s="139"/>
      <c r="U492" s="137">
        <v>983</v>
      </c>
      <c r="V492" s="140">
        <v>1500</v>
      </c>
      <c r="W492" s="141"/>
      <c r="X492" s="139"/>
      <c r="Y492" s="139"/>
      <c r="Z492" s="139"/>
      <c r="AA492" s="139"/>
      <c r="AB492" s="142"/>
      <c r="AC492" s="136">
        <v>160.1</v>
      </c>
      <c r="AD492" s="139">
        <v>-109.8</v>
      </c>
      <c r="AE492" s="139">
        <v>3.94</v>
      </c>
      <c r="AF492" s="139">
        <v>-0.76</v>
      </c>
      <c r="AG492" s="139">
        <v>109.8</v>
      </c>
      <c r="AH492" s="139">
        <v>-110</v>
      </c>
      <c r="AI492" s="139">
        <v>3.74</v>
      </c>
      <c r="AJ492" s="136">
        <v>-0.32</v>
      </c>
      <c r="AK492" s="143"/>
      <c r="AL492" s="144" t="s">
        <v>553</v>
      </c>
      <c r="AM492" s="145"/>
      <c r="AN492" s="144"/>
      <c r="AO492" s="151"/>
      <c r="AP492" s="146"/>
      <c r="AQ492" s="160"/>
      <c r="AR492" s="162"/>
      <c r="AS492" s="147"/>
      <c r="AT492" s="164"/>
      <c r="AU492" s="147"/>
      <c r="AV492" s="147"/>
      <c r="AW492" s="139"/>
      <c r="AX492" s="139"/>
      <c r="AY492" s="139"/>
      <c r="AZ492" s="139"/>
      <c r="BA492" s="147"/>
      <c r="BB492" s="142"/>
      <c r="BC492" s="148"/>
      <c r="BD492" s="148"/>
      <c r="BE492" s="148"/>
      <c r="BF492" s="148"/>
      <c r="BG492" s="148"/>
      <c r="BH492" s="148"/>
      <c r="BI492" s="148"/>
      <c r="BJ492" s="148"/>
      <c r="BK492" s="148"/>
      <c r="BL492" s="148"/>
      <c r="BM492" s="148"/>
      <c r="BN492" s="148"/>
      <c r="BO492" s="148"/>
      <c r="BP492" s="148"/>
      <c r="BQ492" s="148"/>
      <c r="BR492" s="148"/>
    </row>
    <row r="493" spans="1:70" s="149" customFormat="1">
      <c r="A493" s="138">
        <v>491</v>
      </c>
      <c r="F493" s="133"/>
      <c r="G493" s="133"/>
      <c r="H493" s="245"/>
      <c r="I493" s="135"/>
      <c r="J493" s="136"/>
      <c r="K493" s="137"/>
      <c r="L493" s="137"/>
      <c r="M493" s="137"/>
      <c r="N493" s="138"/>
      <c r="O493" s="138"/>
      <c r="P493" s="137"/>
      <c r="Q493" s="137"/>
      <c r="R493" s="235"/>
      <c r="S493" s="139"/>
      <c r="T493" s="139"/>
      <c r="U493" s="137"/>
      <c r="V493" s="140"/>
      <c r="W493" s="141"/>
      <c r="X493" s="139"/>
      <c r="Y493" s="139"/>
      <c r="Z493" s="139"/>
      <c r="AA493" s="139"/>
      <c r="AB493" s="142"/>
      <c r="AC493" s="136"/>
      <c r="AD493" s="139"/>
      <c r="AE493" s="139"/>
      <c r="AF493" s="139"/>
      <c r="AG493" s="139"/>
      <c r="AH493" s="139"/>
      <c r="AI493" s="139"/>
      <c r="AJ493" s="136"/>
      <c r="AK493" s="143"/>
      <c r="AL493" s="144" t="s">
        <v>566</v>
      </c>
      <c r="AM493" s="145"/>
      <c r="AN493" s="144"/>
      <c r="AO493" s="151"/>
      <c r="AP493" s="146"/>
      <c r="AQ493" s="160"/>
      <c r="AR493" s="162"/>
      <c r="AS493" s="147"/>
      <c r="AT493" s="164"/>
      <c r="AU493" s="147"/>
      <c r="AV493" s="147"/>
      <c r="AW493" s="139"/>
      <c r="AX493" s="139"/>
      <c r="AY493" s="139"/>
      <c r="AZ493" s="139"/>
      <c r="BA493" s="147"/>
      <c r="BB493" s="142"/>
      <c r="BC493" s="148"/>
      <c r="BD493" s="148"/>
      <c r="BE493" s="148"/>
      <c r="BF493" s="148"/>
      <c r="BG493" s="148"/>
      <c r="BH493" s="148"/>
      <c r="BI493" s="148"/>
      <c r="BJ493" s="148"/>
      <c r="BK493" s="148"/>
      <c r="BL493" s="148"/>
      <c r="BM493" s="148"/>
      <c r="BN493" s="148"/>
      <c r="BO493" s="148"/>
      <c r="BP493" s="148"/>
      <c r="BQ493" s="148"/>
      <c r="BR493" s="148"/>
    </row>
    <row r="494" spans="1:70" s="149" customFormat="1">
      <c r="A494" s="138">
        <v>492</v>
      </c>
      <c r="F494" s="133"/>
      <c r="G494" s="133"/>
      <c r="H494" s="245"/>
      <c r="I494" s="135"/>
      <c r="J494" s="136"/>
      <c r="K494" s="137"/>
      <c r="L494" s="137"/>
      <c r="M494" s="137"/>
      <c r="N494" s="138"/>
      <c r="O494" s="138"/>
      <c r="P494" s="137"/>
      <c r="Q494" s="137"/>
      <c r="R494" s="235"/>
      <c r="S494" s="139"/>
      <c r="T494" s="139"/>
      <c r="U494" s="137"/>
      <c r="V494" s="140"/>
      <c r="W494" s="141"/>
      <c r="X494" s="139"/>
      <c r="Y494" s="139"/>
      <c r="Z494" s="139"/>
      <c r="AA494" s="139"/>
      <c r="AB494" s="142"/>
      <c r="AC494" s="136"/>
      <c r="AD494" s="139"/>
      <c r="AE494" s="139"/>
      <c r="AF494" s="139"/>
      <c r="AG494" s="139"/>
      <c r="AH494" s="139"/>
      <c r="AI494" s="139"/>
      <c r="AJ494" s="136"/>
      <c r="AK494" s="143"/>
      <c r="AL494" s="144" t="s">
        <v>566</v>
      </c>
      <c r="AM494" s="145"/>
      <c r="AN494" s="144"/>
      <c r="AO494" s="151"/>
      <c r="AP494" s="146"/>
      <c r="AQ494" s="160"/>
      <c r="AR494" s="162"/>
      <c r="AS494" s="147"/>
      <c r="AT494" s="164"/>
      <c r="AU494" s="147"/>
      <c r="AV494" s="147"/>
      <c r="AW494" s="139"/>
      <c r="AX494" s="139"/>
      <c r="AY494" s="139"/>
      <c r="AZ494" s="139"/>
      <c r="BA494" s="147"/>
      <c r="BB494" s="142"/>
      <c r="BC494" s="148"/>
      <c r="BD494" s="148"/>
      <c r="BE494" s="148"/>
      <c r="BF494" s="148"/>
      <c r="BG494" s="148"/>
      <c r="BH494" s="148"/>
      <c r="BI494" s="148"/>
      <c r="BJ494" s="148"/>
      <c r="BK494" s="148"/>
      <c r="BL494" s="148"/>
      <c r="BM494" s="148"/>
      <c r="BN494" s="148"/>
      <c r="BO494" s="148"/>
      <c r="BP494" s="148"/>
      <c r="BQ494" s="148"/>
      <c r="BR494" s="148"/>
    </row>
    <row r="495" spans="1:70" s="190" customFormat="1">
      <c r="A495" s="176">
        <v>493</v>
      </c>
      <c r="F495" s="171">
        <v>43139.388784722221</v>
      </c>
      <c r="G495" s="171">
        <v>43139.391817129632</v>
      </c>
      <c r="H495" s="172">
        <f>G495-F495</f>
        <v>3.0324074105010368E-3</v>
      </c>
      <c r="I495" s="173">
        <v>50.32</v>
      </c>
      <c r="J495" s="174" t="s">
        <v>260</v>
      </c>
      <c r="K495" s="175" t="s">
        <v>72</v>
      </c>
      <c r="L495" s="175" t="s">
        <v>73</v>
      </c>
      <c r="M495" s="175">
        <v>-369</v>
      </c>
      <c r="N495" s="176">
        <v>1</v>
      </c>
      <c r="O495" s="176">
        <v>200</v>
      </c>
      <c r="P495" s="175">
        <v>348</v>
      </c>
      <c r="Q495" s="175" t="s">
        <v>75</v>
      </c>
      <c r="R495" s="230" t="s">
        <v>569</v>
      </c>
      <c r="S495" s="177"/>
      <c r="T495" s="177"/>
      <c r="U495" s="175">
        <v>983</v>
      </c>
      <c r="V495" s="178">
        <v>-1900</v>
      </c>
      <c r="W495" s="179"/>
      <c r="X495" s="177"/>
      <c r="Y495" s="177"/>
      <c r="Z495" s="177"/>
      <c r="AA495" s="177"/>
      <c r="AB495" s="180"/>
      <c r="AC495" s="174">
        <v>160.1</v>
      </c>
      <c r="AD495" s="177">
        <v>-109.8</v>
      </c>
      <c r="AE495" s="177">
        <v>3.94</v>
      </c>
      <c r="AF495" s="177">
        <v>-0.76</v>
      </c>
      <c r="AG495" s="177">
        <v>109.8</v>
      </c>
      <c r="AH495" s="177">
        <v>-110</v>
      </c>
      <c r="AI495" s="177">
        <v>3.7</v>
      </c>
      <c r="AJ495" s="174">
        <v>-0.35</v>
      </c>
      <c r="AK495" s="181"/>
      <c r="AL495" s="182" t="s">
        <v>335</v>
      </c>
      <c r="AM495" s="183"/>
      <c r="AN495" s="182"/>
      <c r="AO495" s="191"/>
      <c r="AP495" s="184"/>
      <c r="AQ495" s="193"/>
      <c r="AR495" s="186"/>
      <c r="AS495" s="187"/>
      <c r="AT495" s="188"/>
      <c r="AU495" s="187"/>
      <c r="AV495" s="187"/>
      <c r="AW495" s="177"/>
      <c r="AX495" s="177"/>
      <c r="AY495" s="177"/>
      <c r="AZ495" s="177"/>
      <c r="BA495" s="187"/>
      <c r="BB495" s="180"/>
      <c r="BC495" s="189"/>
      <c r="BD495" s="189"/>
      <c r="BE495" s="189"/>
      <c r="BF495" s="189"/>
      <c r="BG495" s="189"/>
      <c r="BH495" s="189"/>
      <c r="BI495" s="189"/>
      <c r="BJ495" s="189"/>
      <c r="BK495" s="189"/>
      <c r="BL495" s="189"/>
      <c r="BM495" s="189"/>
      <c r="BN495" s="189"/>
      <c r="BO495" s="189"/>
      <c r="BP495" s="189"/>
      <c r="BQ495" s="189"/>
      <c r="BR495" s="189"/>
    </row>
    <row r="496" spans="1:70" s="190" customFormat="1">
      <c r="A496" s="176">
        <v>494</v>
      </c>
      <c r="F496" s="171">
        <v>43139.391932870371</v>
      </c>
      <c r="G496" s="171">
        <v>43139.39565972222</v>
      </c>
      <c r="H496" s="172">
        <f t="shared" ref="H496:H497" si="627">G496-F496</f>
        <v>3.7268518499331549E-3</v>
      </c>
      <c r="I496" s="173">
        <v>50.32</v>
      </c>
      <c r="J496" s="174" t="s">
        <v>260</v>
      </c>
      <c r="K496" s="175" t="s">
        <v>72</v>
      </c>
      <c r="L496" s="175" t="s">
        <v>73</v>
      </c>
      <c r="M496" s="175">
        <v>-369</v>
      </c>
      <c r="N496" s="176">
        <v>1</v>
      </c>
      <c r="O496" s="176">
        <v>200</v>
      </c>
      <c r="P496" s="175">
        <v>348</v>
      </c>
      <c r="Q496" s="175" t="s">
        <v>75</v>
      </c>
      <c r="R496" s="230" t="s">
        <v>569</v>
      </c>
      <c r="S496" s="177"/>
      <c r="T496" s="177"/>
      <c r="U496" s="175">
        <v>983</v>
      </c>
      <c r="V496" s="178">
        <v>-1550</v>
      </c>
      <c r="W496" s="179"/>
      <c r="X496" s="177"/>
      <c r="Y496" s="177"/>
      <c r="Z496" s="177"/>
      <c r="AA496" s="177"/>
      <c r="AB496" s="180"/>
      <c r="AC496" s="174">
        <v>160.1</v>
      </c>
      <c r="AD496" s="177">
        <v>-109.8</v>
      </c>
      <c r="AE496" s="177">
        <v>3.94</v>
      </c>
      <c r="AF496" s="177">
        <v>-0.76</v>
      </c>
      <c r="AG496" s="177">
        <v>109.8</v>
      </c>
      <c r="AH496" s="177">
        <v>-110</v>
      </c>
      <c r="AI496" s="177">
        <v>3.7</v>
      </c>
      <c r="AJ496" s="174">
        <v>-0.35</v>
      </c>
      <c r="AK496" s="181"/>
      <c r="AL496" s="182" t="s">
        <v>336</v>
      </c>
      <c r="AM496" s="183"/>
      <c r="AN496" s="182"/>
      <c r="AO496" s="173"/>
      <c r="AP496" s="184"/>
      <c r="AQ496" s="185"/>
      <c r="AR496" s="186"/>
      <c r="AS496" s="187"/>
      <c r="AT496" s="188"/>
      <c r="AU496" s="187"/>
      <c r="AV496" s="187"/>
      <c r="AW496" s="177"/>
      <c r="AX496" s="177"/>
      <c r="AY496" s="177"/>
      <c r="AZ496" s="177"/>
      <c r="BA496" s="187"/>
      <c r="BB496" s="180"/>
      <c r="BC496" s="189"/>
      <c r="BD496" s="189"/>
      <c r="BE496" s="189"/>
      <c r="BF496" s="189"/>
      <c r="BG496" s="189"/>
      <c r="BH496" s="189"/>
      <c r="BI496" s="189"/>
      <c r="BJ496" s="189"/>
      <c r="BK496" s="189"/>
      <c r="BL496" s="189"/>
      <c r="BM496" s="189"/>
      <c r="BN496" s="189"/>
      <c r="BO496" s="189"/>
      <c r="BP496" s="189"/>
      <c r="BQ496" s="189"/>
      <c r="BR496" s="189"/>
    </row>
    <row r="497" spans="1:70" s="190" customFormat="1">
      <c r="A497" s="176">
        <v>495</v>
      </c>
      <c r="F497" s="171">
        <v>43139.395682870374</v>
      </c>
      <c r="G497" s="171">
        <v>43139.398009259261</v>
      </c>
      <c r="H497" s="172">
        <f t="shared" si="627"/>
        <v>2.3263888870133087E-3</v>
      </c>
      <c r="I497" s="173">
        <v>50.32</v>
      </c>
      <c r="J497" s="174" t="s">
        <v>260</v>
      </c>
      <c r="K497" s="175" t="s">
        <v>72</v>
      </c>
      <c r="L497" s="175" t="s">
        <v>73</v>
      </c>
      <c r="M497" s="175">
        <v>-369</v>
      </c>
      <c r="N497" s="176">
        <v>1</v>
      </c>
      <c r="O497" s="176">
        <v>200</v>
      </c>
      <c r="P497" s="175">
        <v>348</v>
      </c>
      <c r="Q497" s="175" t="s">
        <v>75</v>
      </c>
      <c r="R497" s="230" t="s">
        <v>569</v>
      </c>
      <c r="S497" s="177"/>
      <c r="T497" s="177"/>
      <c r="U497" s="175">
        <v>983</v>
      </c>
      <c r="V497" s="178">
        <v>-1200</v>
      </c>
      <c r="W497" s="179"/>
      <c r="X497" s="177"/>
      <c r="Y497" s="177"/>
      <c r="Z497" s="177"/>
      <c r="AA497" s="177"/>
      <c r="AB497" s="180"/>
      <c r="AC497" s="174">
        <v>160.1</v>
      </c>
      <c r="AD497" s="177">
        <v>-109.8</v>
      </c>
      <c r="AE497" s="177">
        <v>3.94</v>
      </c>
      <c r="AF497" s="177">
        <v>-0.76</v>
      </c>
      <c r="AG497" s="177">
        <v>109.8</v>
      </c>
      <c r="AH497" s="177">
        <v>-110</v>
      </c>
      <c r="AI497" s="177">
        <v>3.7</v>
      </c>
      <c r="AJ497" s="174">
        <v>-0.35</v>
      </c>
      <c r="AK497" s="181"/>
      <c r="AL497" s="182" t="s">
        <v>337</v>
      </c>
      <c r="AM497" s="183"/>
      <c r="AN497" s="182"/>
      <c r="AO497" s="173"/>
      <c r="AP497" s="184"/>
      <c r="AQ497" s="185"/>
      <c r="AR497" s="186"/>
      <c r="AS497" s="187"/>
      <c r="AT497" s="188"/>
      <c r="AU497" s="187"/>
      <c r="AV497" s="187"/>
      <c r="AW497" s="177"/>
      <c r="AX497" s="177"/>
      <c r="AY497" s="177"/>
      <c r="AZ497" s="177"/>
      <c r="BA497" s="187"/>
      <c r="BB497" s="180"/>
      <c r="BC497" s="189"/>
      <c r="BD497" s="189"/>
      <c r="BE497" s="189"/>
      <c r="BF497" s="189"/>
      <c r="BG497" s="189"/>
      <c r="BH497" s="189"/>
      <c r="BI497" s="189"/>
      <c r="BJ497" s="189"/>
      <c r="BK497" s="189"/>
      <c r="BL497" s="189"/>
      <c r="BM497" s="189"/>
      <c r="BN497" s="189"/>
      <c r="BO497" s="189"/>
      <c r="BP497" s="189"/>
      <c r="BQ497" s="189"/>
      <c r="BR497" s="189"/>
    </row>
    <row r="498" spans="1:70" s="190" customFormat="1">
      <c r="A498" s="176">
        <v>496</v>
      </c>
      <c r="F498" s="171">
        <v>43139.398032407407</v>
      </c>
      <c r="G498" s="171">
        <v>43139.400810185187</v>
      </c>
      <c r="H498" s="172">
        <f>G498-F498</f>
        <v>2.7777777795563452E-3</v>
      </c>
      <c r="I498" s="173">
        <v>50.32</v>
      </c>
      <c r="J498" s="174" t="s">
        <v>260</v>
      </c>
      <c r="K498" s="175" t="s">
        <v>72</v>
      </c>
      <c r="L498" s="175" t="s">
        <v>73</v>
      </c>
      <c r="M498" s="175">
        <v>-369</v>
      </c>
      <c r="N498" s="176">
        <v>1</v>
      </c>
      <c r="O498" s="176">
        <v>200</v>
      </c>
      <c r="P498" s="175">
        <v>348</v>
      </c>
      <c r="Q498" s="175" t="s">
        <v>75</v>
      </c>
      <c r="R498" s="230" t="s">
        <v>569</v>
      </c>
      <c r="S498" s="177"/>
      <c r="T498" s="177"/>
      <c r="U498" s="175">
        <v>983</v>
      </c>
      <c r="V498" s="178">
        <v>-900</v>
      </c>
      <c r="W498" s="179"/>
      <c r="X498" s="177"/>
      <c r="Y498" s="177"/>
      <c r="Z498" s="177"/>
      <c r="AA498" s="177"/>
      <c r="AB498" s="180"/>
      <c r="AC498" s="174">
        <v>160.1</v>
      </c>
      <c r="AD498" s="177">
        <v>-109.8</v>
      </c>
      <c r="AE498" s="177">
        <v>3.94</v>
      </c>
      <c r="AF498" s="177">
        <v>-0.76</v>
      </c>
      <c r="AG498" s="177">
        <v>109.8</v>
      </c>
      <c r="AH498" s="177">
        <v>-110</v>
      </c>
      <c r="AI498" s="177">
        <v>3.7</v>
      </c>
      <c r="AJ498" s="174">
        <v>-0.35</v>
      </c>
      <c r="AK498" s="181"/>
      <c r="AL498" s="182" t="s">
        <v>338</v>
      </c>
      <c r="AM498" s="183"/>
      <c r="AN498" s="182"/>
      <c r="AO498" s="173"/>
      <c r="AP498" s="184"/>
      <c r="AQ498" s="185"/>
      <c r="AR498" s="186"/>
      <c r="AS498" s="187"/>
      <c r="AT498" s="188"/>
      <c r="AU498" s="187"/>
      <c r="AV498" s="187"/>
      <c r="AW498" s="177"/>
      <c r="AX498" s="177"/>
      <c r="AY498" s="177"/>
      <c r="AZ498" s="177"/>
      <c r="BA498" s="187"/>
      <c r="BB498" s="180"/>
      <c r="BC498" s="189"/>
      <c r="BD498" s="189"/>
      <c r="BE498" s="189"/>
      <c r="BF498" s="189"/>
      <c r="BG498" s="189"/>
      <c r="BH498" s="189"/>
      <c r="BI498" s="189"/>
      <c r="BJ498" s="189"/>
      <c r="BK498" s="189"/>
      <c r="BL498" s="189"/>
      <c r="BM498" s="189"/>
      <c r="BN498" s="189"/>
      <c r="BO498" s="189"/>
      <c r="BP498" s="189"/>
      <c r="BQ498" s="189"/>
      <c r="BR498" s="189"/>
    </row>
    <row r="499" spans="1:70" s="149" customFormat="1">
      <c r="A499" s="138">
        <v>497</v>
      </c>
      <c r="F499" s="133"/>
      <c r="G499" s="133"/>
      <c r="H499" s="245"/>
      <c r="I499" s="135"/>
      <c r="J499" s="136"/>
      <c r="K499" s="137"/>
      <c r="L499" s="137"/>
      <c r="M499" s="137"/>
      <c r="N499" s="138"/>
      <c r="O499" s="138"/>
      <c r="P499" s="137"/>
      <c r="Q499" s="137"/>
      <c r="R499" s="137"/>
      <c r="S499" s="139"/>
      <c r="T499" s="139"/>
      <c r="U499" s="137"/>
      <c r="V499" s="140"/>
      <c r="W499" s="141"/>
      <c r="X499" s="139"/>
      <c r="Y499" s="139"/>
      <c r="Z499" s="139"/>
      <c r="AA499" s="139"/>
      <c r="AB499" s="142"/>
      <c r="AC499" s="136"/>
      <c r="AD499" s="139"/>
      <c r="AE499" s="139"/>
      <c r="AF499" s="139"/>
      <c r="AG499" s="139"/>
      <c r="AH499" s="139"/>
      <c r="AI499" s="139"/>
      <c r="AJ499" s="136"/>
      <c r="AK499" s="143"/>
      <c r="AL499" s="144" t="s">
        <v>566</v>
      </c>
      <c r="AM499" s="145"/>
      <c r="AN499" s="144"/>
      <c r="AO499" s="135"/>
      <c r="AP499" s="146"/>
      <c r="AQ499" s="158"/>
      <c r="AR499" s="162"/>
      <c r="AS499" s="147"/>
      <c r="AT499" s="164"/>
      <c r="AU499" s="147"/>
      <c r="AV499" s="147"/>
      <c r="AW499" s="139"/>
      <c r="AX499" s="139"/>
      <c r="AY499" s="139"/>
      <c r="AZ499" s="139"/>
      <c r="BA499" s="147"/>
      <c r="BB499" s="142"/>
      <c r="BC499" s="148"/>
      <c r="BD499" s="148"/>
      <c r="BE499" s="148"/>
      <c r="BF499" s="148"/>
      <c r="BG499" s="148"/>
      <c r="BH499" s="148"/>
      <c r="BI499" s="148"/>
      <c r="BJ499" s="148"/>
      <c r="BK499" s="148"/>
      <c r="BL499" s="148"/>
      <c r="BM499" s="148"/>
      <c r="BN499" s="148"/>
      <c r="BO499" s="148"/>
      <c r="BP499" s="148"/>
      <c r="BQ499" s="148"/>
      <c r="BR499" s="148"/>
    </row>
    <row r="500" spans="1:70" s="190" customFormat="1">
      <c r="A500" s="176">
        <v>498</v>
      </c>
      <c r="F500" s="171">
        <v>43139.41202546296</v>
      </c>
      <c r="G500" s="171">
        <v>43139.413553240738</v>
      </c>
      <c r="H500" s="172">
        <f t="shared" ref="H500:H501" si="628">G500-F500</f>
        <v>1.527777778392192E-3</v>
      </c>
      <c r="I500" s="173">
        <v>50.32</v>
      </c>
      <c r="J500" s="174" t="s">
        <v>260</v>
      </c>
      <c r="K500" s="175" t="s">
        <v>72</v>
      </c>
      <c r="L500" s="175" t="s">
        <v>73</v>
      </c>
      <c r="M500" s="175">
        <v>-369</v>
      </c>
      <c r="N500" s="176">
        <v>1</v>
      </c>
      <c r="O500" s="176">
        <v>200</v>
      </c>
      <c r="P500" s="175">
        <v>348</v>
      </c>
      <c r="Q500" s="175" t="s">
        <v>75</v>
      </c>
      <c r="R500" s="230" t="s">
        <v>569</v>
      </c>
      <c r="S500" s="177"/>
      <c r="T500" s="177"/>
      <c r="U500" s="175">
        <v>983</v>
      </c>
      <c r="V500" s="178">
        <v>-1900</v>
      </c>
      <c r="W500" s="179"/>
      <c r="X500" s="177"/>
      <c r="Y500" s="177"/>
      <c r="Z500" s="177"/>
      <c r="AA500" s="177"/>
      <c r="AB500" s="180"/>
      <c r="AC500" s="174">
        <v>160.1</v>
      </c>
      <c r="AD500" s="177">
        <v>-109.8</v>
      </c>
      <c r="AE500" s="177">
        <v>3.94</v>
      </c>
      <c r="AF500" s="177">
        <v>-0.76</v>
      </c>
      <c r="AG500" s="177">
        <v>109.8</v>
      </c>
      <c r="AH500" s="177">
        <v>-110</v>
      </c>
      <c r="AI500" s="177">
        <v>3.7</v>
      </c>
      <c r="AJ500" s="174">
        <v>-0.35</v>
      </c>
      <c r="AK500" s="181"/>
      <c r="AL500" s="182" t="s">
        <v>335</v>
      </c>
      <c r="AM500" s="183"/>
      <c r="AN500" s="182"/>
      <c r="AO500" s="173"/>
      <c r="AP500" s="184"/>
      <c r="AQ500" s="185"/>
      <c r="AR500" s="186"/>
      <c r="AS500" s="187"/>
      <c r="AT500" s="188"/>
      <c r="AU500" s="187"/>
      <c r="AV500" s="187"/>
      <c r="AW500" s="177"/>
      <c r="AX500" s="177"/>
      <c r="AY500" s="177"/>
      <c r="AZ500" s="177"/>
      <c r="BA500" s="187"/>
      <c r="BB500" s="180"/>
      <c r="BC500" s="189"/>
      <c r="BD500" s="189"/>
      <c r="BE500" s="189"/>
      <c r="BF500" s="189"/>
      <c r="BG500" s="189"/>
      <c r="BH500" s="189"/>
      <c r="BI500" s="189"/>
      <c r="BJ500" s="189"/>
      <c r="BK500" s="189"/>
      <c r="BL500" s="189"/>
      <c r="BM500" s="189"/>
      <c r="BN500" s="189"/>
      <c r="BO500" s="189"/>
      <c r="BP500" s="189"/>
      <c r="BQ500" s="189"/>
      <c r="BR500" s="189"/>
    </row>
    <row r="501" spans="1:70" s="190" customFormat="1">
      <c r="A501" s="176">
        <v>499</v>
      </c>
      <c r="F501" s="171">
        <v>43139.413923611108</v>
      </c>
      <c r="G501" s="171">
        <v>43139.415231481478</v>
      </c>
      <c r="H501" s="172">
        <f t="shared" si="628"/>
        <v>1.3078703705104999E-3</v>
      </c>
      <c r="I501" s="173">
        <v>50.32</v>
      </c>
      <c r="J501" s="174" t="s">
        <v>260</v>
      </c>
      <c r="K501" s="175" t="s">
        <v>72</v>
      </c>
      <c r="L501" s="175" t="s">
        <v>73</v>
      </c>
      <c r="M501" s="175">
        <v>-369</v>
      </c>
      <c r="N501" s="176">
        <v>1</v>
      </c>
      <c r="O501" s="176">
        <v>200</v>
      </c>
      <c r="P501" s="175">
        <v>348</v>
      </c>
      <c r="Q501" s="175" t="s">
        <v>75</v>
      </c>
      <c r="R501" s="175" t="s">
        <v>568</v>
      </c>
      <c r="S501" s="177"/>
      <c r="T501" s="177"/>
      <c r="U501" s="175">
        <v>983</v>
      </c>
      <c r="V501" s="178">
        <v>-1550</v>
      </c>
      <c r="W501" s="179"/>
      <c r="X501" s="177"/>
      <c r="Y501" s="177"/>
      <c r="Z501" s="177"/>
      <c r="AA501" s="177"/>
      <c r="AB501" s="180"/>
      <c r="AC501" s="174">
        <v>160.1</v>
      </c>
      <c r="AD501" s="177">
        <v>-109.8</v>
      </c>
      <c r="AE501" s="177">
        <v>3.94</v>
      </c>
      <c r="AF501" s="177">
        <v>-0.76</v>
      </c>
      <c r="AG501" s="177">
        <v>109.8</v>
      </c>
      <c r="AH501" s="177">
        <v>-110</v>
      </c>
      <c r="AI501" s="177">
        <v>3.7</v>
      </c>
      <c r="AJ501" s="174">
        <v>-0.35</v>
      </c>
      <c r="AK501" s="181"/>
      <c r="AL501" s="182" t="s">
        <v>336</v>
      </c>
      <c r="AM501" s="183"/>
      <c r="AN501" s="182"/>
      <c r="AO501" s="173"/>
      <c r="AP501" s="184"/>
      <c r="AQ501" s="185"/>
      <c r="AR501" s="186"/>
      <c r="AS501" s="187"/>
      <c r="AT501" s="188"/>
      <c r="AU501" s="187"/>
      <c r="AV501" s="187"/>
      <c r="AW501" s="177"/>
      <c r="AX501" s="177"/>
      <c r="AY501" s="177"/>
      <c r="AZ501" s="177"/>
      <c r="BA501" s="187"/>
      <c r="BB501" s="180"/>
      <c r="BC501" s="189"/>
      <c r="BD501" s="189"/>
      <c r="BE501" s="189"/>
      <c r="BF501" s="189"/>
      <c r="BG501" s="189"/>
      <c r="BH501" s="189"/>
      <c r="BI501" s="189"/>
      <c r="BJ501" s="189"/>
      <c r="BK501" s="189"/>
      <c r="BL501" s="189"/>
      <c r="BM501" s="189"/>
      <c r="BN501" s="189"/>
      <c r="BO501" s="189"/>
      <c r="BP501" s="189"/>
      <c r="BQ501" s="189"/>
      <c r="BR501" s="189"/>
    </row>
    <row r="502" spans="1:70" s="190" customFormat="1">
      <c r="A502" s="176">
        <v>500</v>
      </c>
      <c r="F502" s="171">
        <v>43139.415451388886</v>
      </c>
      <c r="G502" s="171">
        <v>43139.416689814818</v>
      </c>
      <c r="H502" s="172">
        <f t="shared" ref="H502:H508" si="629">G502-F502</f>
        <v>1.2384259316604584E-3</v>
      </c>
      <c r="I502" s="173">
        <v>50.32</v>
      </c>
      <c r="J502" s="174" t="s">
        <v>260</v>
      </c>
      <c r="K502" s="175" t="s">
        <v>72</v>
      </c>
      <c r="L502" s="175" t="s">
        <v>73</v>
      </c>
      <c r="M502" s="175">
        <v>-369</v>
      </c>
      <c r="N502" s="176">
        <v>1</v>
      </c>
      <c r="O502" s="176">
        <v>200</v>
      </c>
      <c r="P502" s="175">
        <v>348</v>
      </c>
      <c r="Q502" s="175" t="s">
        <v>75</v>
      </c>
      <c r="R502" s="175" t="s">
        <v>568</v>
      </c>
      <c r="S502" s="177"/>
      <c r="T502" s="177"/>
      <c r="U502" s="175">
        <v>983</v>
      </c>
      <c r="V502" s="178">
        <v>-1200</v>
      </c>
      <c r="W502" s="179"/>
      <c r="X502" s="177"/>
      <c r="Y502" s="177"/>
      <c r="Z502" s="177"/>
      <c r="AA502" s="177"/>
      <c r="AB502" s="180"/>
      <c r="AC502" s="174">
        <v>160.1</v>
      </c>
      <c r="AD502" s="177">
        <v>-109.8</v>
      </c>
      <c r="AE502" s="177">
        <v>3.94</v>
      </c>
      <c r="AF502" s="177">
        <v>-0.76</v>
      </c>
      <c r="AG502" s="177">
        <v>109.8</v>
      </c>
      <c r="AH502" s="177">
        <v>-110</v>
      </c>
      <c r="AI502" s="177">
        <v>3.7</v>
      </c>
      <c r="AJ502" s="174">
        <v>-0.35</v>
      </c>
      <c r="AK502" s="181"/>
      <c r="AL502" s="182" t="s">
        <v>337</v>
      </c>
      <c r="AM502" s="183"/>
      <c r="AN502" s="182"/>
      <c r="AO502" s="173"/>
      <c r="AP502" s="184"/>
      <c r="AQ502" s="185"/>
      <c r="AR502" s="186"/>
      <c r="AS502" s="187"/>
      <c r="AT502" s="188"/>
      <c r="AU502" s="187"/>
      <c r="AV502" s="187"/>
      <c r="AW502" s="177"/>
      <c r="AX502" s="177"/>
      <c r="AY502" s="177"/>
      <c r="AZ502" s="177"/>
      <c r="BA502" s="187"/>
      <c r="BB502" s="180"/>
      <c r="BC502" s="189"/>
      <c r="BD502" s="189"/>
      <c r="BE502" s="189"/>
      <c r="BF502" s="189"/>
      <c r="BG502" s="189"/>
      <c r="BH502" s="189"/>
      <c r="BI502" s="189"/>
      <c r="BJ502" s="189"/>
      <c r="BK502" s="189"/>
      <c r="BL502" s="189"/>
      <c r="BM502" s="189"/>
      <c r="BN502" s="189"/>
      <c r="BO502" s="189"/>
      <c r="BP502" s="189"/>
      <c r="BQ502" s="189"/>
      <c r="BR502" s="189"/>
    </row>
    <row r="503" spans="1:70" s="190" customFormat="1">
      <c r="A503" s="176">
        <v>501</v>
      </c>
      <c r="F503" s="171">
        <v>43139.416909722226</v>
      </c>
      <c r="G503" s="171">
        <v>43139.418136574073</v>
      </c>
      <c r="H503" s="172">
        <f t="shared" si="629"/>
        <v>1.2268518476048484E-3</v>
      </c>
      <c r="I503" s="173">
        <v>50.32</v>
      </c>
      <c r="J503" s="174" t="s">
        <v>260</v>
      </c>
      <c r="K503" s="175" t="s">
        <v>72</v>
      </c>
      <c r="L503" s="175" t="s">
        <v>73</v>
      </c>
      <c r="M503" s="175">
        <v>-369</v>
      </c>
      <c r="N503" s="176">
        <v>1</v>
      </c>
      <c r="O503" s="176">
        <v>200</v>
      </c>
      <c r="P503" s="175">
        <v>348</v>
      </c>
      <c r="Q503" s="175" t="s">
        <v>75</v>
      </c>
      <c r="R503" s="175" t="s">
        <v>568</v>
      </c>
      <c r="S503" s="177"/>
      <c r="T503" s="177"/>
      <c r="U503" s="175">
        <v>983</v>
      </c>
      <c r="V503" s="178">
        <v>-900</v>
      </c>
      <c r="W503" s="179"/>
      <c r="X503" s="177"/>
      <c r="Y503" s="177"/>
      <c r="Z503" s="177"/>
      <c r="AA503" s="177"/>
      <c r="AB503" s="180"/>
      <c r="AC503" s="174">
        <v>160.1</v>
      </c>
      <c r="AD503" s="177">
        <v>-109.8</v>
      </c>
      <c r="AE503" s="177">
        <v>3.94</v>
      </c>
      <c r="AF503" s="177">
        <v>-0.76</v>
      </c>
      <c r="AG503" s="177">
        <v>109.8</v>
      </c>
      <c r="AH503" s="177">
        <v>-110</v>
      </c>
      <c r="AI503" s="177">
        <v>3.7</v>
      </c>
      <c r="AJ503" s="174">
        <v>-0.35</v>
      </c>
      <c r="AK503" s="181"/>
      <c r="AL503" s="182" t="s">
        <v>338</v>
      </c>
      <c r="AM503" s="183"/>
      <c r="AN503" s="182"/>
      <c r="AO503" s="173"/>
      <c r="AP503" s="184"/>
      <c r="AQ503" s="185"/>
      <c r="AR503" s="186"/>
      <c r="AS503" s="187"/>
      <c r="AT503" s="188"/>
      <c r="AU503" s="187"/>
      <c r="AV503" s="187"/>
      <c r="AW503" s="177"/>
      <c r="AX503" s="177"/>
      <c r="AY503" s="177"/>
      <c r="AZ503" s="177"/>
      <c r="BA503" s="187"/>
      <c r="BB503" s="180"/>
      <c r="BC503" s="189"/>
      <c r="BD503" s="189"/>
      <c r="BE503" s="189"/>
      <c r="BF503" s="189"/>
      <c r="BG503" s="189"/>
      <c r="BH503" s="189"/>
      <c r="BI503" s="189"/>
      <c r="BJ503" s="189"/>
      <c r="BK503" s="189"/>
      <c r="BL503" s="189"/>
      <c r="BM503" s="189"/>
      <c r="BN503" s="189"/>
      <c r="BO503" s="189"/>
      <c r="BP503" s="189"/>
      <c r="BQ503" s="189"/>
      <c r="BR503" s="189"/>
    </row>
    <row r="504" spans="1:70" s="190" customFormat="1">
      <c r="A504" s="176">
        <v>502</v>
      </c>
      <c r="F504" s="171">
        <v>43139.418379629627</v>
      </c>
      <c r="G504" s="171">
        <v>43139.419641203705</v>
      </c>
      <c r="H504" s="172">
        <f t="shared" si="629"/>
        <v>1.2615740779438056E-3</v>
      </c>
      <c r="I504" s="173">
        <v>50.32</v>
      </c>
      <c r="J504" s="174" t="s">
        <v>260</v>
      </c>
      <c r="K504" s="175" t="s">
        <v>72</v>
      </c>
      <c r="L504" s="175" t="s">
        <v>73</v>
      </c>
      <c r="M504" s="175">
        <v>-369</v>
      </c>
      <c r="N504" s="176">
        <v>1</v>
      </c>
      <c r="O504" s="176">
        <v>200</v>
      </c>
      <c r="P504" s="175">
        <v>348</v>
      </c>
      <c r="Q504" s="175" t="s">
        <v>75</v>
      </c>
      <c r="R504" s="175" t="s">
        <v>568</v>
      </c>
      <c r="S504" s="177"/>
      <c r="T504" s="177"/>
      <c r="U504" s="175">
        <v>983</v>
      </c>
      <c r="V504" s="178">
        <v>-600</v>
      </c>
      <c r="W504" s="179"/>
      <c r="X504" s="177"/>
      <c r="Y504" s="177"/>
      <c r="Z504" s="177"/>
      <c r="AA504" s="177"/>
      <c r="AB504" s="180"/>
      <c r="AC504" s="174">
        <v>160.1</v>
      </c>
      <c r="AD504" s="177">
        <v>-109.8</v>
      </c>
      <c r="AE504" s="177">
        <v>3.94</v>
      </c>
      <c r="AF504" s="177">
        <v>-0.76</v>
      </c>
      <c r="AG504" s="177">
        <v>109.8</v>
      </c>
      <c r="AH504" s="177">
        <v>-110</v>
      </c>
      <c r="AI504" s="177">
        <v>3.7</v>
      </c>
      <c r="AJ504" s="174">
        <v>-0.35</v>
      </c>
      <c r="AK504" s="181"/>
      <c r="AL504" s="182" t="s">
        <v>339</v>
      </c>
      <c r="AM504" s="183"/>
      <c r="AN504" s="182"/>
      <c r="AO504" s="173"/>
      <c r="AP504" s="184"/>
      <c r="AQ504" s="185"/>
      <c r="AR504" s="186"/>
      <c r="AS504" s="187"/>
      <c r="AT504" s="188"/>
      <c r="AU504" s="187"/>
      <c r="AV504" s="187"/>
      <c r="AW504" s="177"/>
      <c r="AX504" s="177"/>
      <c r="AY504" s="177"/>
      <c r="AZ504" s="177"/>
      <c r="BA504" s="187"/>
      <c r="BB504" s="180"/>
      <c r="BC504" s="189"/>
      <c r="BD504" s="189"/>
      <c r="BE504" s="189"/>
      <c r="BF504" s="189"/>
      <c r="BG504" s="189"/>
      <c r="BH504" s="189"/>
      <c r="BI504" s="189"/>
      <c r="BJ504" s="189"/>
      <c r="BK504" s="189"/>
      <c r="BL504" s="189"/>
      <c r="BM504" s="189"/>
      <c r="BN504" s="189"/>
      <c r="BO504" s="189"/>
      <c r="BP504" s="189"/>
      <c r="BQ504" s="189"/>
      <c r="BR504" s="189"/>
    </row>
    <row r="505" spans="1:70" s="190" customFormat="1">
      <c r="A505" s="176">
        <v>503</v>
      </c>
      <c r="F505" s="171">
        <v>43139.41988425926</v>
      </c>
      <c r="G505" s="171">
        <v>43139.42114583333</v>
      </c>
      <c r="H505" s="172">
        <f t="shared" si="629"/>
        <v>1.261574070667848E-3</v>
      </c>
      <c r="I505" s="173">
        <v>50.32</v>
      </c>
      <c r="J505" s="174" t="s">
        <v>260</v>
      </c>
      <c r="K505" s="175" t="s">
        <v>72</v>
      </c>
      <c r="L505" s="175" t="s">
        <v>73</v>
      </c>
      <c r="M505" s="175">
        <v>-369</v>
      </c>
      <c r="N505" s="176">
        <v>1</v>
      </c>
      <c r="O505" s="176">
        <v>200</v>
      </c>
      <c r="P505" s="175">
        <v>348</v>
      </c>
      <c r="Q505" s="175" t="s">
        <v>75</v>
      </c>
      <c r="R505" s="175" t="s">
        <v>568</v>
      </c>
      <c r="S505" s="177"/>
      <c r="T505" s="177"/>
      <c r="U505" s="175">
        <v>983</v>
      </c>
      <c r="V505" s="178">
        <v>-300</v>
      </c>
      <c r="W505" s="179"/>
      <c r="X505" s="177"/>
      <c r="Y505" s="177"/>
      <c r="Z505" s="177"/>
      <c r="AA505" s="177"/>
      <c r="AB505" s="180"/>
      <c r="AC505" s="174">
        <v>160.1</v>
      </c>
      <c r="AD505" s="177">
        <v>-109.8</v>
      </c>
      <c r="AE505" s="177">
        <v>3.94</v>
      </c>
      <c r="AF505" s="177">
        <v>-0.76</v>
      </c>
      <c r="AG505" s="177">
        <v>109.8</v>
      </c>
      <c r="AH505" s="177">
        <v>-110</v>
      </c>
      <c r="AI505" s="177">
        <v>3.7</v>
      </c>
      <c r="AJ505" s="174">
        <v>-0.35</v>
      </c>
      <c r="AK505" s="181"/>
      <c r="AL505" s="182" t="s">
        <v>340</v>
      </c>
      <c r="AM505" s="183"/>
      <c r="AN505" s="182"/>
      <c r="AO505" s="173"/>
      <c r="AP505" s="184"/>
      <c r="AQ505" s="185"/>
      <c r="AR505" s="186"/>
      <c r="AS505" s="187"/>
      <c r="AT505" s="188"/>
      <c r="AU505" s="187"/>
      <c r="AV505" s="187"/>
      <c r="AW505" s="177"/>
      <c r="AX505" s="177"/>
      <c r="AY505" s="177"/>
      <c r="AZ505" s="177"/>
      <c r="BA505" s="187"/>
      <c r="BB505" s="180"/>
      <c r="BC505" s="189"/>
      <c r="BD505" s="189"/>
      <c r="BE505" s="189"/>
      <c r="BF505" s="189"/>
      <c r="BG505" s="189"/>
      <c r="BH505" s="189"/>
      <c r="BI505" s="189"/>
      <c r="BJ505" s="189"/>
      <c r="BK505" s="189"/>
      <c r="BL505" s="189"/>
      <c r="BM505" s="189"/>
      <c r="BN505" s="189"/>
      <c r="BO505" s="189"/>
      <c r="BP505" s="189"/>
      <c r="BQ505" s="189"/>
      <c r="BR505" s="189"/>
    </row>
    <row r="506" spans="1:70" s="190" customFormat="1">
      <c r="A506" s="176">
        <v>504</v>
      </c>
      <c r="F506" s="171">
        <v>43139.421412037038</v>
      </c>
      <c r="G506" s="171">
        <v>43139.422662037039</v>
      </c>
      <c r="H506" s="172">
        <f t="shared" si="629"/>
        <v>1.2500000011641532E-3</v>
      </c>
      <c r="I506" s="173">
        <v>50.32</v>
      </c>
      <c r="J506" s="174" t="s">
        <v>260</v>
      </c>
      <c r="K506" s="175" t="s">
        <v>72</v>
      </c>
      <c r="L506" s="175" t="s">
        <v>73</v>
      </c>
      <c r="M506" s="175">
        <v>-369</v>
      </c>
      <c r="N506" s="176">
        <v>1</v>
      </c>
      <c r="O506" s="176">
        <v>200</v>
      </c>
      <c r="P506" s="175">
        <v>348</v>
      </c>
      <c r="Q506" s="175" t="s">
        <v>75</v>
      </c>
      <c r="R506" s="175" t="s">
        <v>568</v>
      </c>
      <c r="S506" s="177"/>
      <c r="T506" s="177"/>
      <c r="U506" s="175">
        <v>983</v>
      </c>
      <c r="V506" s="178">
        <v>0</v>
      </c>
      <c r="W506" s="179"/>
      <c r="X506" s="177"/>
      <c r="Y506" s="177"/>
      <c r="Z506" s="177"/>
      <c r="AA506" s="177"/>
      <c r="AB506" s="180"/>
      <c r="AC506" s="174">
        <v>160.1</v>
      </c>
      <c r="AD506" s="177">
        <v>-109.8</v>
      </c>
      <c r="AE506" s="177">
        <v>3.94</v>
      </c>
      <c r="AF506" s="177">
        <v>-0.76</v>
      </c>
      <c r="AG506" s="177">
        <v>109.8</v>
      </c>
      <c r="AH506" s="177">
        <v>-110</v>
      </c>
      <c r="AI506" s="177">
        <v>3.7</v>
      </c>
      <c r="AJ506" s="174">
        <v>-0.35</v>
      </c>
      <c r="AK506" s="181"/>
      <c r="AL506" s="182" t="s">
        <v>246</v>
      </c>
      <c r="AM506" s="183"/>
      <c r="AN506" s="182"/>
      <c r="AO506" s="173"/>
      <c r="AP506" s="184"/>
      <c r="AQ506" s="185"/>
      <c r="AR506" s="186"/>
      <c r="AS506" s="187"/>
      <c r="AT506" s="188"/>
      <c r="AU506" s="187"/>
      <c r="AV506" s="187"/>
      <c r="AW506" s="177"/>
      <c r="AX506" s="177"/>
      <c r="AY506" s="177"/>
      <c r="AZ506" s="177"/>
      <c r="BA506" s="187"/>
      <c r="BB506" s="180"/>
      <c r="BC506" s="189"/>
      <c r="BD506" s="189"/>
      <c r="BE506" s="189"/>
      <c r="BF506" s="189"/>
      <c r="BG506" s="189"/>
      <c r="BH506" s="189"/>
      <c r="BI506" s="189"/>
      <c r="BJ506" s="189"/>
      <c r="BK506" s="189"/>
      <c r="BL506" s="189"/>
      <c r="BM506" s="189"/>
      <c r="BN506" s="189"/>
      <c r="BO506" s="189"/>
      <c r="BP506" s="189"/>
      <c r="BQ506" s="189"/>
      <c r="BR506" s="189"/>
    </row>
    <row r="507" spans="1:70" s="190" customFormat="1">
      <c r="A507" s="176">
        <v>505</v>
      </c>
      <c r="F507" s="171">
        <v>43139.423101851855</v>
      </c>
      <c r="G507" s="171">
        <v>43139.424340277779</v>
      </c>
      <c r="H507" s="172">
        <f t="shared" si="629"/>
        <v>1.2384259243845008E-3</v>
      </c>
      <c r="I507" s="173">
        <v>50.32</v>
      </c>
      <c r="J507" s="174" t="s">
        <v>260</v>
      </c>
      <c r="K507" s="175" t="s">
        <v>72</v>
      </c>
      <c r="L507" s="175" t="s">
        <v>73</v>
      </c>
      <c r="M507" s="175">
        <v>-369</v>
      </c>
      <c r="N507" s="176">
        <v>1</v>
      </c>
      <c r="O507" s="176">
        <v>200</v>
      </c>
      <c r="P507" s="175">
        <v>348</v>
      </c>
      <c r="Q507" s="175" t="s">
        <v>75</v>
      </c>
      <c r="R507" s="175" t="s">
        <v>568</v>
      </c>
      <c r="S507" s="177"/>
      <c r="T507" s="177"/>
      <c r="U507" s="175">
        <v>983</v>
      </c>
      <c r="V507" s="178">
        <v>350</v>
      </c>
      <c r="W507" s="179"/>
      <c r="X507" s="177"/>
      <c r="Y507" s="177"/>
      <c r="Z507" s="177"/>
      <c r="AA507" s="177"/>
      <c r="AB507" s="180"/>
      <c r="AC507" s="174">
        <v>160.1</v>
      </c>
      <c r="AD507" s="177">
        <v>-109.8</v>
      </c>
      <c r="AE507" s="177">
        <v>3.94</v>
      </c>
      <c r="AF507" s="177">
        <v>-0.76</v>
      </c>
      <c r="AG507" s="177">
        <v>109.8</v>
      </c>
      <c r="AH507" s="177">
        <v>-110</v>
      </c>
      <c r="AI507" s="177">
        <v>3.7</v>
      </c>
      <c r="AJ507" s="174">
        <v>-0.35</v>
      </c>
      <c r="AK507" s="181"/>
      <c r="AL507" s="182" t="s">
        <v>247</v>
      </c>
      <c r="AM507" s="183"/>
      <c r="AN507" s="182"/>
      <c r="AO507" s="173"/>
      <c r="AP507" s="184"/>
      <c r="AQ507" s="185"/>
      <c r="AR507" s="186"/>
      <c r="AS507" s="187"/>
      <c r="AT507" s="188"/>
      <c r="AU507" s="187"/>
      <c r="AV507" s="187"/>
      <c r="AW507" s="177"/>
      <c r="AX507" s="177"/>
      <c r="AY507" s="177"/>
      <c r="AZ507" s="177"/>
      <c r="BA507" s="187"/>
      <c r="BB507" s="180"/>
      <c r="BC507" s="189"/>
      <c r="BD507" s="189"/>
      <c r="BE507" s="189"/>
      <c r="BF507" s="189"/>
      <c r="BG507" s="189"/>
      <c r="BH507" s="189"/>
      <c r="BI507" s="189"/>
      <c r="BJ507" s="189"/>
      <c r="BK507" s="189"/>
      <c r="BL507" s="189"/>
      <c r="BM507" s="189"/>
      <c r="BN507" s="189"/>
      <c r="BO507" s="189"/>
      <c r="BP507" s="189"/>
      <c r="BQ507" s="189"/>
      <c r="BR507" s="189"/>
    </row>
    <row r="508" spans="1:70" s="190" customFormat="1">
      <c r="A508" s="176">
        <v>506</v>
      </c>
      <c r="F508" s="171">
        <v>43139.424826388888</v>
      </c>
      <c r="G508" s="171">
        <v>43139.426620370374</v>
      </c>
      <c r="H508" s="172">
        <f t="shared" si="629"/>
        <v>1.793981486116536E-3</v>
      </c>
      <c r="I508" s="173">
        <v>50.32</v>
      </c>
      <c r="J508" s="174" t="s">
        <v>260</v>
      </c>
      <c r="K508" s="175" t="s">
        <v>72</v>
      </c>
      <c r="L508" s="175" t="s">
        <v>73</v>
      </c>
      <c r="M508" s="175">
        <v>-369</v>
      </c>
      <c r="N508" s="176">
        <v>1</v>
      </c>
      <c r="O508" s="176">
        <v>200</v>
      </c>
      <c r="P508" s="175">
        <v>348</v>
      </c>
      <c r="Q508" s="175" t="s">
        <v>75</v>
      </c>
      <c r="R508" s="175" t="s">
        <v>568</v>
      </c>
      <c r="S508" s="177"/>
      <c r="T508" s="177"/>
      <c r="U508" s="175">
        <v>983</v>
      </c>
      <c r="V508" s="178">
        <v>700</v>
      </c>
      <c r="W508" s="179"/>
      <c r="X508" s="177"/>
      <c r="Y508" s="177"/>
      <c r="Z508" s="177"/>
      <c r="AA508" s="177"/>
      <c r="AB508" s="180"/>
      <c r="AC508" s="174">
        <v>160.1</v>
      </c>
      <c r="AD508" s="177">
        <v>-109.8</v>
      </c>
      <c r="AE508" s="177">
        <v>3.94</v>
      </c>
      <c r="AF508" s="177">
        <v>-0.76</v>
      </c>
      <c r="AG508" s="177">
        <v>109.8</v>
      </c>
      <c r="AH508" s="177">
        <v>-110</v>
      </c>
      <c r="AI508" s="177">
        <v>3.7</v>
      </c>
      <c r="AJ508" s="174">
        <v>-0.35</v>
      </c>
      <c r="AK508" s="181"/>
      <c r="AL508" s="182" t="s">
        <v>248</v>
      </c>
      <c r="AM508" s="183"/>
      <c r="AN508" s="182"/>
      <c r="AO508" s="173"/>
      <c r="AP508" s="184"/>
      <c r="AQ508" s="185"/>
      <c r="AR508" s="186"/>
      <c r="AS508" s="187"/>
      <c r="AT508" s="188"/>
      <c r="AU508" s="187"/>
      <c r="AV508" s="187"/>
      <c r="AW508" s="177"/>
      <c r="AX508" s="177"/>
      <c r="AY508" s="177"/>
      <c r="AZ508" s="177"/>
      <c r="BA508" s="187"/>
      <c r="BB508" s="180"/>
      <c r="BC508" s="189"/>
      <c r="BD508" s="189"/>
      <c r="BE508" s="189"/>
      <c r="BF508" s="189"/>
      <c r="BG508" s="189"/>
      <c r="BH508" s="189"/>
      <c r="BI508" s="189"/>
      <c r="BJ508" s="189"/>
      <c r="BK508" s="189"/>
      <c r="BL508" s="189"/>
      <c r="BM508" s="189"/>
      <c r="BN508" s="189"/>
      <c r="BO508" s="189"/>
      <c r="BP508" s="189"/>
      <c r="BQ508" s="189"/>
      <c r="BR508" s="189"/>
    </row>
    <row r="509" spans="1:70" s="190" customFormat="1">
      <c r="A509" s="176">
        <v>507</v>
      </c>
      <c r="F509" s="171">
        <v>43139.426886574074</v>
      </c>
      <c r="G509" s="171">
        <v>43139.428124999999</v>
      </c>
      <c r="H509" s="172">
        <f t="shared" ref="H509:H510" si="630">G509-F509</f>
        <v>1.2384259243845008E-3</v>
      </c>
      <c r="I509" s="173">
        <v>50.32</v>
      </c>
      <c r="J509" s="174" t="s">
        <v>260</v>
      </c>
      <c r="K509" s="175" t="s">
        <v>72</v>
      </c>
      <c r="L509" s="175" t="s">
        <v>73</v>
      </c>
      <c r="M509" s="175">
        <v>-369</v>
      </c>
      <c r="N509" s="176">
        <v>1</v>
      </c>
      <c r="O509" s="176">
        <v>200</v>
      </c>
      <c r="P509" s="175">
        <v>348</v>
      </c>
      <c r="Q509" s="175" t="s">
        <v>75</v>
      </c>
      <c r="R509" s="175" t="s">
        <v>568</v>
      </c>
      <c r="S509" s="177"/>
      <c r="T509" s="177"/>
      <c r="U509" s="175">
        <v>983</v>
      </c>
      <c r="V509" s="178">
        <v>1800</v>
      </c>
      <c r="W509" s="179"/>
      <c r="X509" s="177"/>
      <c r="Y509" s="177"/>
      <c r="Z509" s="177"/>
      <c r="AA509" s="177"/>
      <c r="AB509" s="180"/>
      <c r="AC509" s="174">
        <v>160.1</v>
      </c>
      <c r="AD509" s="177">
        <v>-109.8</v>
      </c>
      <c r="AE509" s="177">
        <v>3.94</v>
      </c>
      <c r="AF509" s="177">
        <v>-0.76</v>
      </c>
      <c r="AG509" s="177">
        <v>109.8</v>
      </c>
      <c r="AH509" s="177">
        <v>-110</v>
      </c>
      <c r="AI509" s="177">
        <v>3.7</v>
      </c>
      <c r="AJ509" s="174">
        <v>-0.35</v>
      </c>
      <c r="AK509" s="181"/>
      <c r="AL509" s="182" t="s">
        <v>249</v>
      </c>
      <c r="AM509" s="183"/>
      <c r="AN509" s="182"/>
      <c r="AO509" s="173"/>
      <c r="AP509" s="184"/>
      <c r="AQ509" s="185"/>
      <c r="AR509" s="186"/>
      <c r="AS509" s="187"/>
      <c r="AT509" s="188"/>
      <c r="AU509" s="187"/>
      <c r="AV509" s="187"/>
      <c r="AW509" s="177"/>
      <c r="AX509" s="177"/>
      <c r="AY509" s="177"/>
      <c r="AZ509" s="177"/>
      <c r="BA509" s="187"/>
      <c r="BB509" s="180"/>
      <c r="BC509" s="189"/>
      <c r="BD509" s="189"/>
      <c r="BE509" s="189"/>
      <c r="BF509" s="189"/>
      <c r="BG509" s="189"/>
      <c r="BH509" s="189"/>
      <c r="BI509" s="189"/>
      <c r="BJ509" s="189"/>
      <c r="BK509" s="189"/>
      <c r="BL509" s="189"/>
      <c r="BM509" s="189"/>
      <c r="BN509" s="189"/>
      <c r="BO509" s="189"/>
      <c r="BP509" s="189"/>
      <c r="BQ509" s="189"/>
      <c r="BR509" s="189"/>
    </row>
    <row r="510" spans="1:70" s="190" customFormat="1">
      <c r="A510" s="176">
        <v>508</v>
      </c>
      <c r="F510" s="171">
        <v>43139.428333333337</v>
      </c>
      <c r="G510" s="171">
        <v>43139.429571759261</v>
      </c>
      <c r="H510" s="172">
        <f t="shared" si="630"/>
        <v>1.2384259243845008E-3</v>
      </c>
      <c r="I510" s="173">
        <v>50.32</v>
      </c>
      <c r="J510" s="174" t="s">
        <v>260</v>
      </c>
      <c r="K510" s="175" t="s">
        <v>72</v>
      </c>
      <c r="L510" s="175" t="s">
        <v>73</v>
      </c>
      <c r="M510" s="175">
        <v>-369</v>
      </c>
      <c r="N510" s="176">
        <v>1</v>
      </c>
      <c r="O510" s="176">
        <v>200</v>
      </c>
      <c r="P510" s="175">
        <v>348</v>
      </c>
      <c r="Q510" s="175" t="s">
        <v>75</v>
      </c>
      <c r="R510" s="175" t="s">
        <v>568</v>
      </c>
      <c r="S510" s="177"/>
      <c r="T510" s="177"/>
      <c r="U510" s="175">
        <v>983</v>
      </c>
      <c r="V510" s="178">
        <v>2150</v>
      </c>
      <c r="W510" s="179"/>
      <c r="X510" s="177"/>
      <c r="Y510" s="177"/>
      <c r="Z510" s="177"/>
      <c r="AA510" s="177"/>
      <c r="AB510" s="180"/>
      <c r="AC510" s="174">
        <v>160.1</v>
      </c>
      <c r="AD510" s="177">
        <v>-109.8</v>
      </c>
      <c r="AE510" s="177">
        <v>3.94</v>
      </c>
      <c r="AF510" s="177">
        <v>-0.76</v>
      </c>
      <c r="AG510" s="177">
        <v>109.8</v>
      </c>
      <c r="AH510" s="177">
        <v>-110</v>
      </c>
      <c r="AI510" s="177">
        <v>3.7</v>
      </c>
      <c r="AJ510" s="174">
        <v>-0.35</v>
      </c>
      <c r="AK510" s="181"/>
      <c r="AL510" s="182" t="s">
        <v>342</v>
      </c>
      <c r="AM510" s="183"/>
      <c r="AN510" s="182"/>
      <c r="AO510" s="173"/>
      <c r="AP510" s="184"/>
      <c r="AQ510" s="185"/>
      <c r="AR510" s="186"/>
      <c r="AS510" s="187"/>
      <c r="AT510" s="188"/>
      <c r="AU510" s="187"/>
      <c r="AV510" s="187"/>
      <c r="AW510" s="177"/>
      <c r="AX510" s="177"/>
      <c r="AY510" s="177"/>
      <c r="AZ510" s="177"/>
      <c r="BA510" s="187"/>
      <c r="BB510" s="180"/>
      <c r="BC510" s="189"/>
      <c r="BD510" s="189"/>
      <c r="BE510" s="189"/>
      <c r="BF510" s="189"/>
      <c r="BG510" s="189"/>
      <c r="BH510" s="189"/>
      <c r="BI510" s="189"/>
      <c r="BJ510" s="189"/>
      <c r="BK510" s="189"/>
      <c r="BL510" s="189"/>
      <c r="BM510" s="189"/>
      <c r="BN510" s="189"/>
      <c r="BO510" s="189"/>
      <c r="BP510" s="189"/>
      <c r="BQ510" s="189"/>
      <c r="BR510" s="189"/>
    </row>
    <row r="511" spans="1:70" s="149" customFormat="1">
      <c r="A511" s="138">
        <v>509</v>
      </c>
      <c r="F511" s="133"/>
      <c r="G511" s="133"/>
      <c r="H511" s="245"/>
      <c r="I511" s="135"/>
      <c r="J511" s="136"/>
      <c r="K511" s="137"/>
      <c r="L511" s="137"/>
      <c r="M511" s="137"/>
      <c r="N511" s="138"/>
      <c r="O511" s="138"/>
      <c r="P511" s="137"/>
      <c r="Q511" s="137"/>
      <c r="R511" s="137"/>
      <c r="S511" s="139"/>
      <c r="T511" s="139"/>
      <c r="U511" s="137"/>
      <c r="V511" s="140"/>
      <c r="W511" s="141"/>
      <c r="X511" s="139"/>
      <c r="Y511" s="139"/>
      <c r="Z511" s="139"/>
      <c r="AA511" s="139"/>
      <c r="AB511" s="142"/>
      <c r="AC511" s="136"/>
      <c r="AD511" s="139"/>
      <c r="AE511" s="139"/>
      <c r="AF511" s="139"/>
      <c r="AG511" s="139"/>
      <c r="AH511" s="139"/>
      <c r="AI511" s="139"/>
      <c r="AJ511" s="136"/>
      <c r="AK511" s="143"/>
      <c r="AL511" s="144" t="s">
        <v>566</v>
      </c>
      <c r="AM511" s="145"/>
      <c r="AN511" s="144"/>
      <c r="AO511" s="135"/>
      <c r="AP511" s="146"/>
      <c r="AQ511" s="158"/>
      <c r="AR511" s="162"/>
      <c r="AS511" s="147"/>
      <c r="AT511" s="164"/>
      <c r="AU511" s="147"/>
      <c r="AV511" s="147"/>
      <c r="AW511" s="139"/>
      <c r="AX511" s="139"/>
      <c r="AY511" s="139"/>
      <c r="AZ511" s="139"/>
      <c r="BA511" s="147"/>
      <c r="BB511" s="142"/>
      <c r="BC511" s="148"/>
      <c r="BD511" s="148"/>
      <c r="BE511" s="148"/>
      <c r="BF511" s="148"/>
      <c r="BG511" s="148"/>
      <c r="BH511" s="148"/>
      <c r="BI511" s="148"/>
      <c r="BJ511" s="148"/>
      <c r="BK511" s="148"/>
      <c r="BL511" s="148"/>
      <c r="BM511" s="148"/>
      <c r="BN511" s="148"/>
      <c r="BO511" s="148"/>
      <c r="BP511" s="148"/>
      <c r="BQ511" s="148"/>
      <c r="BR511" s="148"/>
    </row>
    <row r="512" spans="1:70" s="190" customFormat="1">
      <c r="A512" s="176">
        <v>510</v>
      </c>
      <c r="F512" s="171">
        <v>43139.433055555557</v>
      </c>
      <c r="G512" s="171">
        <v>43139.435532407406</v>
      </c>
      <c r="H512" s="172">
        <f t="shared" ref="H512:H515" si="631">G512-F512</f>
        <v>2.4768518487690017E-3</v>
      </c>
      <c r="I512" s="173">
        <v>50.32</v>
      </c>
      <c r="J512" s="174" t="s">
        <v>260</v>
      </c>
      <c r="K512" s="175" t="s">
        <v>72</v>
      </c>
      <c r="L512" s="175" t="s">
        <v>73</v>
      </c>
      <c r="M512" s="175">
        <v>-369</v>
      </c>
      <c r="N512" s="176">
        <v>1</v>
      </c>
      <c r="O512" s="176">
        <v>200</v>
      </c>
      <c r="P512" s="175">
        <v>348</v>
      </c>
      <c r="Q512" s="175" t="s">
        <v>75</v>
      </c>
      <c r="R512" s="175" t="s">
        <v>604</v>
      </c>
      <c r="S512" s="177"/>
      <c r="T512" s="177"/>
      <c r="U512" s="175">
        <v>983</v>
      </c>
      <c r="V512" s="178">
        <v>1500</v>
      </c>
      <c r="W512" s="179"/>
      <c r="X512" s="177"/>
      <c r="Y512" s="177"/>
      <c r="Z512" s="177"/>
      <c r="AA512" s="177"/>
      <c r="AB512" s="180"/>
      <c r="AC512" s="174">
        <v>160.1</v>
      </c>
      <c r="AD512" s="177">
        <v>-109.8</v>
      </c>
      <c r="AE512" s="177">
        <v>3.94</v>
      </c>
      <c r="AF512" s="177">
        <v>-0.76</v>
      </c>
      <c r="AG512" s="177">
        <v>109.8</v>
      </c>
      <c r="AH512" s="177">
        <v>-110</v>
      </c>
      <c r="AI512" s="177">
        <v>3.7</v>
      </c>
      <c r="AJ512" s="174">
        <v>-0.35</v>
      </c>
      <c r="AK512" s="181"/>
      <c r="AL512" s="182" t="s">
        <v>206</v>
      </c>
      <c r="AM512" s="183"/>
      <c r="AN512" s="182"/>
      <c r="AO512" s="173"/>
      <c r="AP512" s="184"/>
      <c r="AQ512" s="185"/>
      <c r="AR512" s="186"/>
      <c r="AS512" s="187"/>
      <c r="AT512" s="188"/>
      <c r="AU512" s="187"/>
      <c r="AV512" s="187"/>
      <c r="AW512" s="177"/>
      <c r="AX512" s="177"/>
      <c r="AY512" s="177"/>
      <c r="AZ512" s="177"/>
      <c r="BA512" s="187"/>
      <c r="BB512" s="180"/>
      <c r="BC512" s="189"/>
      <c r="BD512" s="189"/>
      <c r="BE512" s="189"/>
      <c r="BF512" s="189"/>
      <c r="BG512" s="189"/>
      <c r="BH512" s="189"/>
      <c r="BI512" s="189"/>
      <c r="BJ512" s="189"/>
      <c r="BK512" s="189"/>
      <c r="BL512" s="189"/>
      <c r="BM512" s="189"/>
      <c r="BN512" s="189"/>
      <c r="BO512" s="189"/>
      <c r="BP512" s="189"/>
      <c r="BQ512" s="189"/>
      <c r="BR512" s="189"/>
    </row>
    <row r="513" spans="1:70" s="190" customFormat="1">
      <c r="A513" s="176">
        <v>511</v>
      </c>
      <c r="F513" s="171">
        <v>43139.436678240738</v>
      </c>
      <c r="G513" s="171">
        <v>43139.439155092594</v>
      </c>
      <c r="H513" s="172">
        <f t="shared" si="631"/>
        <v>2.4768518560449593E-3</v>
      </c>
      <c r="I513" s="173">
        <v>50.32</v>
      </c>
      <c r="J513" s="174" t="s">
        <v>260</v>
      </c>
      <c r="K513" s="175" t="s">
        <v>72</v>
      </c>
      <c r="L513" s="175" t="s">
        <v>73</v>
      </c>
      <c r="M513" s="175">
        <v>-369</v>
      </c>
      <c r="N513" s="176">
        <v>1</v>
      </c>
      <c r="O513" s="176">
        <v>200</v>
      </c>
      <c r="P513" s="175">
        <v>348</v>
      </c>
      <c r="Q513" s="175" t="s">
        <v>75</v>
      </c>
      <c r="R513" s="230" t="s">
        <v>604</v>
      </c>
      <c r="S513" s="177"/>
      <c r="T513" s="177"/>
      <c r="U513" s="175">
        <v>983</v>
      </c>
      <c r="V513" s="178">
        <v>1500</v>
      </c>
      <c r="W513" s="179"/>
      <c r="X513" s="177"/>
      <c r="Y513" s="177"/>
      <c r="Z513" s="177"/>
      <c r="AA513" s="177"/>
      <c r="AB513" s="180"/>
      <c r="AC513" s="174">
        <v>160.1</v>
      </c>
      <c r="AD513" s="177">
        <v>-109.8</v>
      </c>
      <c r="AE513" s="177">
        <v>3.94</v>
      </c>
      <c r="AF513" s="177">
        <v>-0.76</v>
      </c>
      <c r="AG513" s="177">
        <v>109.8</v>
      </c>
      <c r="AH513" s="177">
        <v>-110</v>
      </c>
      <c r="AI513" s="177">
        <v>3.7</v>
      </c>
      <c r="AJ513" s="174">
        <v>-0.35</v>
      </c>
      <c r="AK513" s="181"/>
      <c r="AL513" s="182" t="s">
        <v>207</v>
      </c>
      <c r="AM513" s="183"/>
      <c r="AN513" s="182"/>
      <c r="AO513" s="191"/>
      <c r="AP513" s="184"/>
      <c r="AQ513" s="193"/>
      <c r="AR513" s="186"/>
      <c r="AS513" s="187"/>
      <c r="AT513" s="188"/>
      <c r="AU513" s="187"/>
      <c r="AV513" s="187"/>
      <c r="AW513" s="177"/>
      <c r="AX513" s="177"/>
      <c r="AY513" s="177"/>
      <c r="AZ513" s="177"/>
      <c r="BA513" s="187"/>
      <c r="BB513" s="180"/>
      <c r="BC513" s="189"/>
      <c r="BD513" s="189"/>
      <c r="BE513" s="189"/>
      <c r="BF513" s="189"/>
      <c r="BG513" s="189"/>
      <c r="BH513" s="189"/>
      <c r="BI513" s="189"/>
      <c r="BJ513" s="189"/>
      <c r="BK513" s="189"/>
      <c r="BL513" s="189"/>
      <c r="BM513" s="189"/>
      <c r="BN513" s="189"/>
      <c r="BO513" s="189"/>
      <c r="BP513" s="189"/>
      <c r="BQ513" s="189"/>
      <c r="BR513" s="189"/>
    </row>
    <row r="514" spans="1:70" s="190" customFormat="1">
      <c r="A514" s="176">
        <v>512</v>
      </c>
      <c r="F514" s="171">
        <v>43139.43954861111</v>
      </c>
      <c r="G514" s="171">
        <v>43139.43954861111</v>
      </c>
      <c r="H514" s="172">
        <f t="shared" si="631"/>
        <v>0</v>
      </c>
      <c r="I514" s="173">
        <v>50.32</v>
      </c>
      <c r="J514" s="174" t="s">
        <v>260</v>
      </c>
      <c r="K514" s="175" t="s">
        <v>72</v>
      </c>
      <c r="L514" s="175" t="s">
        <v>73</v>
      </c>
      <c r="M514" s="175">
        <v>-369</v>
      </c>
      <c r="N514" s="176">
        <v>1</v>
      </c>
      <c r="O514" s="176">
        <v>200</v>
      </c>
      <c r="P514" s="175">
        <v>348</v>
      </c>
      <c r="Q514" s="175" t="s">
        <v>75</v>
      </c>
      <c r="R514" s="230" t="s">
        <v>608</v>
      </c>
      <c r="S514" s="177"/>
      <c r="T514" s="177"/>
      <c r="U514" s="175">
        <v>983</v>
      </c>
      <c r="V514" s="178">
        <v>1500</v>
      </c>
      <c r="W514" s="179"/>
      <c r="X514" s="177"/>
      <c r="Y514" s="177"/>
      <c r="Z514" s="177"/>
      <c r="AA514" s="177"/>
      <c r="AB514" s="180"/>
      <c r="AC514" s="174">
        <v>160.1</v>
      </c>
      <c r="AD514" s="177">
        <v>-109.8</v>
      </c>
      <c r="AE514" s="177">
        <v>3.94</v>
      </c>
      <c r="AF514" s="177">
        <v>-0.76</v>
      </c>
      <c r="AG514" s="177">
        <v>109.8</v>
      </c>
      <c r="AH514" s="177">
        <v>-110</v>
      </c>
      <c r="AI514" s="177">
        <v>3.7</v>
      </c>
      <c r="AJ514" s="174">
        <v>-0.35</v>
      </c>
      <c r="AK514" s="181"/>
      <c r="AL514" s="182" t="s">
        <v>605</v>
      </c>
      <c r="AM514" s="183"/>
      <c r="AN514" s="182"/>
      <c r="AO514" s="191"/>
      <c r="AP514" s="184"/>
      <c r="AQ514" s="193"/>
      <c r="AR514" s="186"/>
      <c r="AS514" s="187"/>
      <c r="AT514" s="188"/>
      <c r="AU514" s="187"/>
      <c r="AV514" s="187"/>
      <c r="AW514" s="177"/>
      <c r="AX514" s="177"/>
      <c r="AY514" s="177"/>
      <c r="AZ514" s="177"/>
      <c r="BA514" s="187"/>
      <c r="BB514" s="180"/>
      <c r="BC514" s="189"/>
      <c r="BD514" s="189"/>
      <c r="BE514" s="189"/>
      <c r="BF514" s="189"/>
      <c r="BG514" s="189"/>
      <c r="BH514" s="189"/>
      <c r="BI514" s="189"/>
      <c r="BJ514" s="189"/>
      <c r="BK514" s="189"/>
      <c r="BL514" s="189"/>
      <c r="BM514" s="189"/>
      <c r="BN514" s="189"/>
      <c r="BO514" s="189"/>
      <c r="BP514" s="189"/>
      <c r="BQ514" s="189"/>
      <c r="BR514" s="189"/>
    </row>
    <row r="515" spans="1:70" s="190" customFormat="1">
      <c r="A515" s="176">
        <v>513</v>
      </c>
      <c r="F515" s="171">
        <v>43139.441018518519</v>
      </c>
      <c r="G515" s="171">
        <v>43139.44226851852</v>
      </c>
      <c r="H515" s="172">
        <f t="shared" si="631"/>
        <v>1.2500000011641532E-3</v>
      </c>
      <c r="I515" s="173">
        <v>50.32</v>
      </c>
      <c r="J515" s="174" t="s">
        <v>260</v>
      </c>
      <c r="K515" s="175" t="s">
        <v>72</v>
      </c>
      <c r="L515" s="175" t="s">
        <v>73</v>
      </c>
      <c r="M515" s="175">
        <v>-369</v>
      </c>
      <c r="N515" s="176">
        <v>1</v>
      </c>
      <c r="O515" s="176">
        <v>200</v>
      </c>
      <c r="P515" s="175">
        <v>348</v>
      </c>
      <c r="Q515" s="175" t="s">
        <v>75</v>
      </c>
      <c r="R515" s="230" t="s">
        <v>607</v>
      </c>
      <c r="S515" s="177"/>
      <c r="T515" s="177"/>
      <c r="U515" s="175">
        <v>983</v>
      </c>
      <c r="V515" s="178">
        <v>1500</v>
      </c>
      <c r="W515" s="179"/>
      <c r="X515" s="177"/>
      <c r="Y515" s="177"/>
      <c r="Z515" s="177"/>
      <c r="AA515" s="177"/>
      <c r="AB515" s="180"/>
      <c r="AC515" s="174">
        <v>160.1</v>
      </c>
      <c r="AD515" s="177">
        <v>-109.8</v>
      </c>
      <c r="AE515" s="177">
        <v>3.94</v>
      </c>
      <c r="AF515" s="177">
        <v>-0.76</v>
      </c>
      <c r="AG515" s="177">
        <v>109.8</v>
      </c>
      <c r="AH515" s="177">
        <v>-110</v>
      </c>
      <c r="AI515" s="177">
        <v>3.7</v>
      </c>
      <c r="AJ515" s="174">
        <v>-0.35</v>
      </c>
      <c r="AK515" s="181"/>
      <c r="AL515" s="182" t="s">
        <v>606</v>
      </c>
      <c r="AM515" s="183"/>
      <c r="AN515" s="182"/>
      <c r="AO515" s="191"/>
      <c r="AP515" s="184"/>
      <c r="AQ515" s="193"/>
      <c r="AR515" s="186"/>
      <c r="AS515" s="187"/>
      <c r="AT515" s="188"/>
      <c r="AU515" s="187"/>
      <c r="AV515" s="187"/>
      <c r="AW515" s="177"/>
      <c r="AX515" s="177"/>
      <c r="AY515" s="177"/>
      <c r="AZ515" s="177"/>
      <c r="BA515" s="187"/>
      <c r="BB515" s="180"/>
      <c r="BC515" s="189"/>
      <c r="BD515" s="189"/>
      <c r="BE515" s="189"/>
      <c r="BF515" s="189"/>
      <c r="BG515" s="189"/>
      <c r="BH515" s="189"/>
      <c r="BI515" s="189"/>
      <c r="BJ515" s="189"/>
      <c r="BK515" s="189"/>
      <c r="BL515" s="189"/>
      <c r="BM515" s="189"/>
      <c r="BN515" s="189"/>
      <c r="BO515" s="189"/>
      <c r="BP515" s="189"/>
      <c r="BQ515" s="189"/>
      <c r="BR515" s="189"/>
    </row>
    <row r="516" spans="1:70" s="149" customFormat="1">
      <c r="A516" s="138">
        <v>514</v>
      </c>
      <c r="F516" s="133"/>
      <c r="G516" s="133"/>
      <c r="H516" s="245"/>
      <c r="I516" s="135"/>
      <c r="J516" s="136"/>
      <c r="K516" s="137"/>
      <c r="L516" s="137"/>
      <c r="M516" s="137"/>
      <c r="N516" s="138"/>
      <c r="O516" s="138"/>
      <c r="P516" s="137"/>
      <c r="Q516" s="137"/>
      <c r="R516" s="235"/>
      <c r="S516" s="139"/>
      <c r="T516" s="139"/>
      <c r="U516" s="137"/>
      <c r="V516" s="140"/>
      <c r="W516" s="141"/>
      <c r="X516" s="139"/>
      <c r="Y516" s="139"/>
      <c r="Z516" s="139"/>
      <c r="AA516" s="139"/>
      <c r="AB516" s="142"/>
      <c r="AC516" s="136"/>
      <c r="AD516" s="139"/>
      <c r="AE516" s="139"/>
      <c r="AF516" s="139"/>
      <c r="AG516" s="139"/>
      <c r="AH516" s="139"/>
      <c r="AI516" s="139"/>
      <c r="AJ516" s="136"/>
      <c r="AK516" s="143"/>
      <c r="AL516" s="144" t="s">
        <v>566</v>
      </c>
      <c r="AM516" s="145"/>
      <c r="AN516" s="144"/>
      <c r="AO516" s="238"/>
      <c r="AP516" s="239"/>
      <c r="AQ516" s="160"/>
      <c r="AR516" s="241"/>
      <c r="AS516" s="242"/>
      <c r="AT516" s="243"/>
      <c r="AU516" s="147"/>
      <c r="AV516" s="147"/>
      <c r="AW516" s="139"/>
      <c r="AX516" s="139"/>
      <c r="AY516" s="139"/>
      <c r="AZ516" s="139"/>
      <c r="BA516" s="147"/>
      <c r="BB516" s="142"/>
      <c r="BC516" s="148"/>
      <c r="BD516" s="148"/>
      <c r="BE516" s="148"/>
      <c r="BF516" s="148"/>
      <c r="BG516" s="148"/>
      <c r="BH516" s="148"/>
      <c r="BI516" s="148"/>
      <c r="BJ516" s="148"/>
      <c r="BK516" s="148"/>
      <c r="BL516" s="148"/>
      <c r="BM516" s="148"/>
      <c r="BN516" s="148"/>
      <c r="BO516" s="148"/>
      <c r="BP516" s="148"/>
      <c r="BQ516" s="148"/>
      <c r="BR516" s="148"/>
    </row>
    <row r="517" spans="1:70">
      <c r="A517" s="108">
        <v>515</v>
      </c>
      <c r="F517" s="45">
        <v>43139.444618055553</v>
      </c>
      <c r="G517" s="45">
        <v>43139.485162037039</v>
      </c>
      <c r="H517" s="53">
        <f>G517-F517-'user time'!U125</f>
        <v>4.0266203708047732E-2</v>
      </c>
      <c r="I517" s="86">
        <v>50.32</v>
      </c>
      <c r="J517" s="109" t="s">
        <v>260</v>
      </c>
      <c r="K517" s="88" t="s">
        <v>72</v>
      </c>
      <c r="L517" s="88" t="s">
        <v>73</v>
      </c>
      <c r="M517" s="88">
        <v>-369</v>
      </c>
      <c r="N517" s="108">
        <v>1</v>
      </c>
      <c r="O517" s="108">
        <v>200</v>
      </c>
      <c r="P517" s="88">
        <v>348</v>
      </c>
      <c r="Q517" s="88" t="s">
        <v>75</v>
      </c>
      <c r="R517" s="88" t="s">
        <v>348</v>
      </c>
      <c r="S517" s="110">
        <v>10300</v>
      </c>
      <c r="T517" s="110">
        <v>920</v>
      </c>
      <c r="U517" s="88">
        <v>983</v>
      </c>
      <c r="V517" s="90">
        <v>1500</v>
      </c>
      <c r="W517" s="111">
        <v>10</v>
      </c>
      <c r="X517" s="110">
        <v>48486</v>
      </c>
      <c r="Y517" s="110">
        <v>838350</v>
      </c>
      <c r="Z517" s="110">
        <v>7041696</v>
      </c>
      <c r="AA517" s="110">
        <v>2133089</v>
      </c>
      <c r="AB517" s="112">
        <v>4934037</v>
      </c>
      <c r="AC517" s="109">
        <v>160.1</v>
      </c>
      <c r="AD517" s="110">
        <v>-109.8</v>
      </c>
      <c r="AE517" s="110">
        <v>3.94</v>
      </c>
      <c r="AF517" s="110">
        <v>-0.76</v>
      </c>
      <c r="AG517" s="110">
        <v>109.8</v>
      </c>
      <c r="AH517" s="110">
        <v>-110</v>
      </c>
      <c r="AI517" s="110">
        <v>3.7</v>
      </c>
      <c r="AJ517" s="109">
        <v>-0.35</v>
      </c>
      <c r="AK517" s="113" t="s">
        <v>59</v>
      </c>
      <c r="AL517" s="107" t="s">
        <v>615</v>
      </c>
      <c r="AN517" s="107">
        <v>0.95899999999999996</v>
      </c>
      <c r="AO517" s="48">
        <f t="shared" ref="AO517:AO518" si="632">(HOUR(H517)*60*60+MINUTE(H517)*60+SECOND(H517))/5.2*AA517/W517*AN517</f>
        <v>136860672.0986346</v>
      </c>
      <c r="AP517" s="156">
        <f t="shared" ref="AP517:AP518" si="633">AO517*0.7</f>
        <v>95802470.469044209</v>
      </c>
      <c r="AQ517" s="161">
        <f>AP517+AQ490</f>
        <v>19040259493.097229</v>
      </c>
      <c r="AR517" s="163">
        <f>H517+AR490</f>
        <v>8.6611458332939506</v>
      </c>
      <c r="AS517" s="49">
        <f t="shared" ref="AS517:AS518" si="634">I517*(HOUR(H517)*60+MINUTE(H517))/60/(7*24)</f>
        <v>0.28454761904761905</v>
      </c>
      <c r="AT517" s="165">
        <f>AS517+AT490</f>
        <v>58.10187202380952</v>
      </c>
      <c r="AU517" s="254">
        <f t="shared" ref="AU517:AU562" si="635">AA517/W517*AN517</f>
        <v>204563.23509999999</v>
      </c>
      <c r="AV517" s="255">
        <f t="shared" ref="AV517:AV562" si="636">AB517/W517+AA517/W517*(1-AN517)</f>
        <v>502149.36490000004</v>
      </c>
      <c r="AW517" s="256">
        <f t="shared" ref="AW517:AW562" si="637">AU517/AV517</f>
        <v>0.40737527397000195</v>
      </c>
    </row>
    <row r="518" spans="1:70">
      <c r="A518" s="108">
        <v>516</v>
      </c>
      <c r="F518" s="45">
        <v>43139.485405092593</v>
      </c>
      <c r="G518" s="45">
        <v>43139.510300925926</v>
      </c>
      <c r="H518" s="53">
        <f>G518-F518-'user time'!U126-'user time'!U127</f>
        <v>2.4120370369303368E-2</v>
      </c>
      <c r="I518" s="86">
        <v>50.27</v>
      </c>
      <c r="J518" s="109" t="s">
        <v>260</v>
      </c>
      <c r="K518" s="88" t="s">
        <v>72</v>
      </c>
      <c r="L518" s="88" t="s">
        <v>73</v>
      </c>
      <c r="M518" s="88">
        <v>-369</v>
      </c>
      <c r="N518" s="108">
        <v>1</v>
      </c>
      <c r="O518" s="108">
        <v>200</v>
      </c>
      <c r="P518" s="88">
        <v>348</v>
      </c>
      <c r="Q518" s="88" t="s">
        <v>75</v>
      </c>
      <c r="R518" s="88" t="s">
        <v>348</v>
      </c>
      <c r="S518" s="110">
        <v>10266</v>
      </c>
      <c r="T518" s="110">
        <v>921</v>
      </c>
      <c r="U518" s="88">
        <v>983</v>
      </c>
      <c r="V518" s="90">
        <v>1500</v>
      </c>
      <c r="W518" s="111">
        <v>10</v>
      </c>
      <c r="X518" s="110">
        <v>48758</v>
      </c>
      <c r="Y518" s="110">
        <v>840685</v>
      </c>
      <c r="Z518" s="110">
        <v>7024332</v>
      </c>
      <c r="AA518" s="110">
        <v>2127219</v>
      </c>
      <c r="AB518" s="112">
        <v>4922441</v>
      </c>
      <c r="AC518" s="109">
        <v>160.1</v>
      </c>
      <c r="AD518" s="110">
        <v>-109.8</v>
      </c>
      <c r="AE518" s="110">
        <v>3.94</v>
      </c>
      <c r="AF518" s="110">
        <v>-0.76</v>
      </c>
      <c r="AG518" s="110">
        <v>109.8</v>
      </c>
      <c r="AH518" s="110">
        <v>-110</v>
      </c>
      <c r="AI518" s="110">
        <v>3.7</v>
      </c>
      <c r="AJ518" s="109">
        <v>-0.35</v>
      </c>
      <c r="AK518" s="113" t="s">
        <v>59</v>
      </c>
      <c r="AL518" s="107" t="s">
        <v>614</v>
      </c>
      <c r="AN518" s="107">
        <v>0.95699999999999996</v>
      </c>
      <c r="AO518" s="48">
        <f t="shared" si="632"/>
        <v>81586539.364846155</v>
      </c>
      <c r="AP518" s="156">
        <f t="shared" si="633"/>
        <v>57110577.555392303</v>
      </c>
      <c r="AQ518" s="161">
        <f t="shared" ref="AQ518" si="638">AP518+AQ517</f>
        <v>19097370070.652622</v>
      </c>
      <c r="AR518" s="163">
        <f t="shared" ref="AR518" si="639">H518+AR517</f>
        <v>8.6852662036632537</v>
      </c>
      <c r="AS518" s="49">
        <f t="shared" si="634"/>
        <v>0.16956150793650795</v>
      </c>
      <c r="AT518" s="165">
        <f t="shared" ref="AT518" si="640">AS518+AT517</f>
        <v>58.271433531746027</v>
      </c>
      <c r="AU518" s="254">
        <f t="shared" si="635"/>
        <v>203574.85829999999</v>
      </c>
      <c r="AV518" s="255">
        <f t="shared" si="636"/>
        <v>501391.14169999998</v>
      </c>
      <c r="AW518" s="256">
        <f t="shared" si="637"/>
        <v>0.40602005374439987</v>
      </c>
    </row>
    <row r="519" spans="1:70">
      <c r="A519" s="108">
        <v>517</v>
      </c>
      <c r="F519" s="45">
        <v>43139.514467592591</v>
      </c>
      <c r="G519" s="45">
        <v>43139.530173611114</v>
      </c>
      <c r="H519" s="53">
        <f>G519-F519</f>
        <v>1.5706018522905651E-2</v>
      </c>
      <c r="I519" s="86">
        <v>50.25</v>
      </c>
      <c r="J519" s="109" t="s">
        <v>260</v>
      </c>
      <c r="K519" s="88" t="s">
        <v>72</v>
      </c>
      <c r="L519" s="88" t="s">
        <v>73</v>
      </c>
      <c r="M519" s="88">
        <v>-369</v>
      </c>
      <c r="N519" s="108">
        <v>1</v>
      </c>
      <c r="O519" s="108">
        <v>200</v>
      </c>
      <c r="P519" s="88">
        <v>348</v>
      </c>
      <c r="Q519" s="88" t="s">
        <v>75</v>
      </c>
      <c r="R519" s="88" t="s">
        <v>348</v>
      </c>
      <c r="S519" s="110">
        <v>10397</v>
      </c>
      <c r="T519" s="110">
        <v>941</v>
      </c>
      <c r="U519" s="88">
        <v>983</v>
      </c>
      <c r="V519" s="90">
        <v>1500</v>
      </c>
      <c r="W519" s="111">
        <v>10</v>
      </c>
      <c r="X519" s="110">
        <v>48481</v>
      </c>
      <c r="Y519" s="110">
        <v>839834</v>
      </c>
      <c r="Z519" s="110">
        <v>7017118</v>
      </c>
      <c r="AA519" s="110">
        <v>2128929</v>
      </c>
      <c r="AB519" s="112">
        <v>4913845</v>
      </c>
      <c r="AC519" s="109">
        <v>160.1</v>
      </c>
      <c r="AD519" s="110">
        <v>-109.8</v>
      </c>
      <c r="AE519" s="110">
        <v>3.94</v>
      </c>
      <c r="AF519" s="110">
        <v>-0.76</v>
      </c>
      <c r="AG519" s="110">
        <v>109.8</v>
      </c>
      <c r="AH519" s="110">
        <v>-110</v>
      </c>
      <c r="AI519" s="110">
        <v>3.7</v>
      </c>
      <c r="AJ519" s="109">
        <v>-0.35</v>
      </c>
      <c r="AK519" s="113" t="s">
        <v>59</v>
      </c>
      <c r="AL519" s="107" t="s">
        <v>559</v>
      </c>
      <c r="AN519" s="107">
        <v>0.95799999999999996</v>
      </c>
      <c r="AO519" s="48">
        <f t="shared" ref="AO519" si="641">(HOUR(H519)*60*60+MINUTE(H519)*60+SECOND(H519))/5.2*AA519/W519*AN519</f>
        <v>53223470.645653836</v>
      </c>
      <c r="AP519" s="156">
        <f t="shared" ref="AP519" si="642">AO519*0.7</f>
        <v>37256429.45195768</v>
      </c>
      <c r="AQ519" s="161">
        <f t="shared" ref="AQ519" si="643">AP519+AQ518</f>
        <v>19134626500.10458</v>
      </c>
      <c r="AR519" s="163">
        <f t="shared" ref="AR519" si="644">H519+AR518</f>
        <v>8.7009722221861594</v>
      </c>
      <c r="AS519" s="49">
        <f t="shared" ref="AS519" si="645">I519*(HOUR(H519)*60+MINUTE(H519))/60/(7*24)</f>
        <v>0.10967261904761905</v>
      </c>
      <c r="AT519" s="165">
        <f t="shared" ref="AT519" si="646">AS519+AT518</f>
        <v>58.381106150793649</v>
      </c>
      <c r="AU519" s="254">
        <f t="shared" si="635"/>
        <v>203951.3982</v>
      </c>
      <c r="AV519" s="255">
        <f t="shared" si="636"/>
        <v>500326.00180000003</v>
      </c>
      <c r="AW519" s="256">
        <f t="shared" si="637"/>
        <v>0.40763701559833659</v>
      </c>
    </row>
    <row r="520" spans="1:70">
      <c r="A520" s="108">
        <v>518</v>
      </c>
      <c r="F520" s="45">
        <v>43139.531412037039</v>
      </c>
      <c r="G520" s="45">
        <v>43139.537442129629</v>
      </c>
      <c r="H520" s="53">
        <f>G520-F520</f>
        <v>6.0300925906631164E-3</v>
      </c>
      <c r="I520" s="86">
        <v>50.27</v>
      </c>
      <c r="J520" s="109" t="s">
        <v>260</v>
      </c>
      <c r="K520" s="88" t="s">
        <v>72</v>
      </c>
      <c r="L520" s="88" t="s">
        <v>73</v>
      </c>
      <c r="M520" s="88">
        <v>-369</v>
      </c>
      <c r="N520" s="108">
        <v>1</v>
      </c>
      <c r="O520" s="108">
        <v>200</v>
      </c>
      <c r="P520" s="88">
        <v>348</v>
      </c>
      <c r="Q520" s="88" t="s">
        <v>75</v>
      </c>
      <c r="R520" s="88" t="s">
        <v>348</v>
      </c>
      <c r="S520" s="110">
        <v>10980</v>
      </c>
      <c r="T520" s="110">
        <v>962</v>
      </c>
      <c r="U520" s="88">
        <v>983</v>
      </c>
      <c r="V520" s="90">
        <v>1500</v>
      </c>
      <c r="W520" s="111">
        <v>10</v>
      </c>
      <c r="X520" s="110">
        <v>48737</v>
      </c>
      <c r="Y520" s="110">
        <v>839463</v>
      </c>
      <c r="Z520" s="110">
        <v>7123676</v>
      </c>
      <c r="AA520" s="110">
        <v>2168040</v>
      </c>
      <c r="AB520" s="112">
        <v>4982067</v>
      </c>
      <c r="AC520" s="109">
        <v>160.1</v>
      </c>
      <c r="AD520" s="110">
        <v>-109.8</v>
      </c>
      <c r="AE520" s="110">
        <v>3.94</v>
      </c>
      <c r="AF520" s="110">
        <v>-0.76</v>
      </c>
      <c r="AG520" s="110">
        <v>109.8</v>
      </c>
      <c r="AH520" s="110">
        <v>-110</v>
      </c>
      <c r="AI520" s="110">
        <v>3.7</v>
      </c>
      <c r="AJ520" s="109">
        <v>-0.35</v>
      </c>
      <c r="AK520" s="113" t="s">
        <v>59</v>
      </c>
      <c r="AL520" s="107" t="s">
        <v>559</v>
      </c>
      <c r="AN520" s="107">
        <v>0.96099999999999997</v>
      </c>
      <c r="AO520" s="48">
        <f t="shared" ref="AO520" si="647">(HOUR(H520)*60*60+MINUTE(H520)*60+SECOND(H520))/5.2*AA520/W520*AN520</f>
        <v>20874931.446923077</v>
      </c>
      <c r="AP520" s="156">
        <f t="shared" ref="AP520" si="648">AO520*0.7</f>
        <v>14612452.012846153</v>
      </c>
      <c r="AQ520" s="161">
        <f t="shared" ref="AQ520" si="649">AP520+AQ519</f>
        <v>19149238952.117428</v>
      </c>
      <c r="AR520" s="163">
        <f t="shared" ref="AR520" si="650">H520+AR519</f>
        <v>8.7070023147768225</v>
      </c>
      <c r="AS520" s="49">
        <f t="shared" ref="AS520" si="651">I520*(HOUR(H520)*60+MINUTE(H520))/60/(7*24)</f>
        <v>3.9896825396825403E-2</v>
      </c>
      <c r="AT520" s="165">
        <f t="shared" ref="AT520" si="652">AS520+AT519</f>
        <v>58.421002976190472</v>
      </c>
      <c r="AU520" s="254">
        <f t="shared" si="635"/>
        <v>208348.644</v>
      </c>
      <c r="AV520" s="255">
        <f t="shared" si="636"/>
        <v>506662.05600000004</v>
      </c>
      <c r="AW520" s="256">
        <f t="shared" si="637"/>
        <v>0.41121817103272479</v>
      </c>
    </row>
    <row r="521" spans="1:70">
      <c r="A521" s="108">
        <v>519</v>
      </c>
      <c r="F521" s="45">
        <v>43139.545486111114</v>
      </c>
      <c r="G521" s="45">
        <v>43139.586469907408</v>
      </c>
      <c r="H521" s="53">
        <f>G521-F521</f>
        <v>4.0983796294312924E-2</v>
      </c>
      <c r="I521" s="86">
        <v>50.34</v>
      </c>
      <c r="J521" s="109" t="s">
        <v>260</v>
      </c>
      <c r="K521" s="88" t="s">
        <v>72</v>
      </c>
      <c r="L521" s="88" t="s">
        <v>73</v>
      </c>
      <c r="M521" s="88">
        <v>-369</v>
      </c>
      <c r="N521" s="108">
        <v>1</v>
      </c>
      <c r="O521" s="108">
        <v>200</v>
      </c>
      <c r="P521" s="88">
        <v>348</v>
      </c>
      <c r="Q521" s="88" t="s">
        <v>75</v>
      </c>
      <c r="R521" s="88" t="s">
        <v>348</v>
      </c>
      <c r="S521" s="110">
        <v>10094</v>
      </c>
      <c r="T521" s="110">
        <v>889</v>
      </c>
      <c r="U521" s="88">
        <v>983</v>
      </c>
      <c r="V521" s="90">
        <v>1500</v>
      </c>
      <c r="W521" s="111">
        <v>10</v>
      </c>
      <c r="X521" s="110">
        <v>48497</v>
      </c>
      <c r="Y521" s="110">
        <v>843671</v>
      </c>
      <c r="Z521" s="110">
        <v>7035339</v>
      </c>
      <c r="AA521" s="110">
        <v>2140863</v>
      </c>
      <c r="AB521" s="112">
        <v>4920464</v>
      </c>
      <c r="AC521" s="109">
        <v>160.1</v>
      </c>
      <c r="AD521" s="110">
        <v>-109.8</v>
      </c>
      <c r="AE521" s="110">
        <v>3.94</v>
      </c>
      <c r="AF521" s="110">
        <v>-0.76</v>
      </c>
      <c r="AG521" s="110">
        <v>109.8</v>
      </c>
      <c r="AH521" s="110">
        <v>-110</v>
      </c>
      <c r="AI521" s="110">
        <v>3.7</v>
      </c>
      <c r="AJ521" s="109">
        <v>-0.35</v>
      </c>
      <c r="AK521" s="113" t="s">
        <v>59</v>
      </c>
      <c r="AL521" s="107" t="s">
        <v>181</v>
      </c>
      <c r="AN521" s="107">
        <v>0.95599999999999996</v>
      </c>
      <c r="AO521" s="48">
        <f t="shared" ref="AO521" si="653">(HOUR(H521)*60*60+MINUTE(H521)*60+SECOND(H521))/5.2*AA521/W521*AN521</f>
        <v>139370016.61823076</v>
      </c>
      <c r="AP521" s="156">
        <f t="shared" ref="AP521" si="654">AO521*0.7</f>
        <v>97559011.632761523</v>
      </c>
      <c r="AQ521" s="161">
        <f t="shared" ref="AQ521" si="655">AP521+AQ520</f>
        <v>19246797963.750191</v>
      </c>
      <c r="AR521" s="163">
        <f t="shared" ref="AR521" si="656">H521+AR520</f>
        <v>8.7479861110711354</v>
      </c>
      <c r="AS521" s="49">
        <f t="shared" ref="AS521" si="657">I521*(HOUR(H521)*60+MINUTE(H521))/60/(7*24)</f>
        <v>0.29464880952380956</v>
      </c>
      <c r="AT521" s="165">
        <f t="shared" ref="AT521" si="658">AS521+AT520</f>
        <v>58.715651785714279</v>
      </c>
      <c r="AU521" s="254">
        <f t="shared" si="635"/>
        <v>204666.50279999999</v>
      </c>
      <c r="AV521" s="255">
        <f t="shared" si="636"/>
        <v>501466.19720000005</v>
      </c>
      <c r="AW521" s="256">
        <f t="shared" si="637"/>
        <v>0.40813618932398893</v>
      </c>
    </row>
    <row r="522" spans="1:70">
      <c r="A522" s="108">
        <v>520</v>
      </c>
      <c r="F522" s="45">
        <v>43139.586608796293</v>
      </c>
      <c r="G522" s="45">
        <v>43139.627939814818</v>
      </c>
      <c r="H522" s="53">
        <f>G522-F522-'user time'!U130</f>
        <v>4.0925925932350338E-2</v>
      </c>
      <c r="I522" s="86">
        <v>50.27</v>
      </c>
      <c r="J522" s="109" t="s">
        <v>260</v>
      </c>
      <c r="K522" s="88" t="s">
        <v>72</v>
      </c>
      <c r="L522" s="88" t="s">
        <v>73</v>
      </c>
      <c r="M522" s="88">
        <v>-369</v>
      </c>
      <c r="N522" s="108">
        <v>1</v>
      </c>
      <c r="O522" s="108">
        <v>200</v>
      </c>
      <c r="P522" s="88">
        <v>348</v>
      </c>
      <c r="Q522" s="88" t="s">
        <v>75</v>
      </c>
      <c r="R522" s="88" t="s">
        <v>348</v>
      </c>
      <c r="S522" s="110">
        <v>10433</v>
      </c>
      <c r="T522" s="110">
        <v>932</v>
      </c>
      <c r="U522" s="88">
        <v>983</v>
      </c>
      <c r="V522" s="90">
        <v>1500</v>
      </c>
      <c r="W522" s="111">
        <v>10</v>
      </c>
      <c r="X522" s="110">
        <v>48433</v>
      </c>
      <c r="Y522" s="110">
        <v>841574</v>
      </c>
      <c r="Z522" s="110">
        <v>7067825</v>
      </c>
      <c r="AA522" s="110">
        <v>2144153</v>
      </c>
      <c r="AB522" s="112">
        <v>4949857</v>
      </c>
      <c r="AC522" s="109">
        <v>160.1</v>
      </c>
      <c r="AD522" s="110">
        <v>-109.8</v>
      </c>
      <c r="AE522" s="110">
        <v>3.94</v>
      </c>
      <c r="AF522" s="110">
        <v>-0.76</v>
      </c>
      <c r="AG522" s="110">
        <v>109.8</v>
      </c>
      <c r="AH522" s="110">
        <v>-110</v>
      </c>
      <c r="AI522" s="110">
        <v>3.7</v>
      </c>
      <c r="AJ522" s="109">
        <v>-0.35</v>
      </c>
      <c r="AK522" s="113" t="s">
        <v>59</v>
      </c>
      <c r="AL522" s="107" t="s">
        <v>181</v>
      </c>
      <c r="AN522" s="107">
        <v>0.95499999999999996</v>
      </c>
      <c r="AO522" s="48">
        <f t="shared" ref="AO522" si="659">(HOUR(H522)*60*60+MINUTE(H522)*60+SECOND(H522))/5.2*AA522/W522*AN522</f>
        <v>139241295.81999999</v>
      </c>
      <c r="AP522" s="156">
        <f t="shared" ref="AP522" si="660">AO522*0.7</f>
        <v>97468907.073999986</v>
      </c>
      <c r="AQ522" s="161">
        <f t="shared" ref="AQ522" si="661">AP522+AQ521</f>
        <v>19344266870.824192</v>
      </c>
      <c r="AR522" s="163">
        <f t="shared" ref="AR522" si="662">H522+AR521</f>
        <v>8.7889120370034863</v>
      </c>
      <c r="AS522" s="49">
        <f t="shared" ref="AS522" si="663">I522*(HOUR(H522)*60+MINUTE(H522))/60/(7*24)</f>
        <v>0.28925198412698416</v>
      </c>
      <c r="AT522" s="165">
        <f t="shared" ref="AT522" si="664">AS522+AT521</f>
        <v>59.004903769841263</v>
      </c>
      <c r="AU522" s="254">
        <f t="shared" si="635"/>
        <v>204766.61149999997</v>
      </c>
      <c r="AV522" s="255">
        <f t="shared" si="636"/>
        <v>504634.3885</v>
      </c>
      <c r="AW522" s="256">
        <f t="shared" si="637"/>
        <v>0.40577221086469806</v>
      </c>
    </row>
    <row r="523" spans="1:70">
      <c r="A523" s="108">
        <v>521</v>
      </c>
      <c r="F523" s="45">
        <v>43139.628078703703</v>
      </c>
      <c r="G523" s="45">
        <v>43139.671979166669</v>
      </c>
      <c r="H523" s="53">
        <f>G523-F523-'user time'!U131</f>
        <v>4.0995370373528739E-2</v>
      </c>
      <c r="I523" s="86">
        <v>50.23</v>
      </c>
      <c r="J523" s="109" t="s">
        <v>260</v>
      </c>
      <c r="K523" s="88" t="s">
        <v>72</v>
      </c>
      <c r="L523" s="88" t="s">
        <v>73</v>
      </c>
      <c r="M523" s="88">
        <v>-369</v>
      </c>
      <c r="N523" s="108">
        <v>1</v>
      </c>
      <c r="O523" s="108">
        <v>200</v>
      </c>
      <c r="P523" s="88">
        <v>348</v>
      </c>
      <c r="Q523" s="88" t="s">
        <v>75</v>
      </c>
      <c r="R523" s="88" t="s">
        <v>348</v>
      </c>
      <c r="S523" s="110">
        <v>10402</v>
      </c>
      <c r="T523" s="110">
        <v>922</v>
      </c>
      <c r="U523" s="88">
        <v>983</v>
      </c>
      <c r="V523" s="90">
        <v>1500</v>
      </c>
      <c r="W523" s="111">
        <v>10</v>
      </c>
      <c r="X523" s="110">
        <v>48507</v>
      </c>
      <c r="Y523" s="110">
        <v>843234</v>
      </c>
      <c r="Z523" s="110">
        <v>7041390</v>
      </c>
      <c r="AA523" s="110">
        <v>2138094</v>
      </c>
      <c r="AB523" s="112">
        <v>4929673</v>
      </c>
      <c r="AC523" s="109">
        <v>160.1</v>
      </c>
      <c r="AD523" s="110">
        <v>-109.8</v>
      </c>
      <c r="AE523" s="110">
        <v>3.94</v>
      </c>
      <c r="AF523" s="110">
        <v>-0.76</v>
      </c>
      <c r="AG523" s="110">
        <v>109.8</v>
      </c>
      <c r="AH523" s="110">
        <v>-110</v>
      </c>
      <c r="AI523" s="110">
        <v>3.7</v>
      </c>
      <c r="AJ523" s="109">
        <v>-0.35</v>
      </c>
      <c r="AK523" s="113" t="s">
        <v>59</v>
      </c>
      <c r="AL523" s="107" t="s">
        <v>181</v>
      </c>
      <c r="AN523" s="107">
        <v>0.95599999999999996</v>
      </c>
      <c r="AO523" s="48">
        <f t="shared" ref="AO523" si="665">(HOUR(H523)*60*60+MINUTE(H523)*60+SECOND(H523))/5.2*AA523/W523*AN523</f>
        <v>139229062.9670769</v>
      </c>
      <c r="AP523" s="156">
        <f t="shared" ref="AP523" si="666">AO523*0.7</f>
        <v>97460344.076953828</v>
      </c>
      <c r="AQ523" s="161">
        <f t="shared" ref="AQ523" si="667">AP523+AQ522</f>
        <v>19441727214.901146</v>
      </c>
      <c r="AR523" s="163">
        <f t="shared" ref="AR523" si="668">H523+AR522</f>
        <v>8.8299074073770143</v>
      </c>
      <c r="AS523" s="49">
        <f t="shared" ref="AS523" si="669">I523*(HOUR(H523)*60+MINUTE(H523))/60/(7*24)</f>
        <v>0.29400496031746026</v>
      </c>
      <c r="AT523" s="165">
        <f t="shared" ref="AT523" si="670">AS523+AT522</f>
        <v>59.298908730158722</v>
      </c>
      <c r="AU523" s="254">
        <f t="shared" si="635"/>
        <v>204401.78639999998</v>
      </c>
      <c r="AV523" s="255">
        <f t="shared" si="636"/>
        <v>502374.91359999997</v>
      </c>
      <c r="AW523" s="256">
        <f t="shared" si="637"/>
        <v>0.4068710058296191</v>
      </c>
    </row>
    <row r="524" spans="1:70">
      <c r="A524" s="108">
        <v>522</v>
      </c>
      <c r="F524" s="45">
        <v>43139.672048611108</v>
      </c>
      <c r="G524" s="45">
        <v>43139.714583333334</v>
      </c>
      <c r="H524" s="53">
        <f>G524-F524-SUM('user time'!U132:U134)</f>
        <v>4.1469907411449514E-2</v>
      </c>
      <c r="I524" s="86">
        <v>50.31</v>
      </c>
      <c r="J524" s="109" t="s">
        <v>260</v>
      </c>
      <c r="K524" s="88" t="s">
        <v>72</v>
      </c>
      <c r="L524" s="88" t="s">
        <v>73</v>
      </c>
      <c r="M524" s="88">
        <v>-369</v>
      </c>
      <c r="N524" s="108">
        <v>1</v>
      </c>
      <c r="O524" s="108">
        <v>200</v>
      </c>
      <c r="P524" s="88">
        <v>348</v>
      </c>
      <c r="Q524" s="88" t="s">
        <v>75</v>
      </c>
      <c r="R524" s="88" t="s">
        <v>348</v>
      </c>
      <c r="S524" s="110">
        <v>10000</v>
      </c>
      <c r="T524" s="110">
        <v>927</v>
      </c>
      <c r="U524" s="88">
        <v>983</v>
      </c>
      <c r="V524" s="90">
        <v>1500</v>
      </c>
      <c r="W524" s="111">
        <v>10</v>
      </c>
      <c r="X524" s="110">
        <v>48434</v>
      </c>
      <c r="Y524" s="110">
        <v>842800</v>
      </c>
      <c r="Z524" s="110">
        <v>7002403</v>
      </c>
      <c r="AA524" s="110">
        <v>2131683</v>
      </c>
      <c r="AB524" s="112">
        <v>4897617</v>
      </c>
      <c r="AC524" s="109">
        <v>160.1</v>
      </c>
      <c r="AD524" s="110">
        <v>-109.8</v>
      </c>
      <c r="AE524" s="110">
        <v>3.94</v>
      </c>
      <c r="AF524" s="110">
        <v>-0.76</v>
      </c>
      <c r="AG524" s="110">
        <v>109.8</v>
      </c>
      <c r="AH524" s="110">
        <v>-110</v>
      </c>
      <c r="AI524" s="110">
        <v>3.7</v>
      </c>
      <c r="AJ524" s="109">
        <v>-0.35</v>
      </c>
      <c r="AK524" s="113" t="s">
        <v>59</v>
      </c>
      <c r="AL524" s="107" t="s">
        <v>181</v>
      </c>
      <c r="AN524" s="107">
        <v>0.95199999999999996</v>
      </c>
      <c r="AO524" s="48">
        <f t="shared" ref="AO524:AO525" si="671">(HOUR(H524)*60*60+MINUTE(H524)*60+SECOND(H524))/5.2*AA524/W524*AN524</f>
        <v>139830861.92169228</v>
      </c>
      <c r="AP524" s="156">
        <f t="shared" ref="AP524:AP525" si="672">AO524*0.7</f>
        <v>97881603.345184594</v>
      </c>
      <c r="AQ524" s="161">
        <f>AP524+AQ523</f>
        <v>19539608818.24633</v>
      </c>
      <c r="AR524" s="163">
        <f t="shared" ref="AR524:AR525" si="673">H524+AR523</f>
        <v>8.8713773147884645</v>
      </c>
      <c r="AS524" s="49">
        <f t="shared" ref="AS524:AS525" si="674">I524*(HOUR(H524)*60+MINUTE(H524))/60/(7*24)</f>
        <v>0.29447321428571427</v>
      </c>
      <c r="AT524" s="165">
        <f t="shared" ref="AT524:AT525" si="675">AS524+AT523</f>
        <v>59.593381944444438</v>
      </c>
      <c r="AU524" s="254">
        <f t="shared" si="635"/>
        <v>202936.22159999999</v>
      </c>
      <c r="AV524" s="255">
        <f t="shared" si="636"/>
        <v>499993.77840000001</v>
      </c>
      <c r="AW524" s="256">
        <f t="shared" si="637"/>
        <v>0.4058774936148285</v>
      </c>
    </row>
    <row r="525" spans="1:70">
      <c r="A525" s="108">
        <v>523</v>
      </c>
      <c r="F525" s="45">
        <v>43139.714699074073</v>
      </c>
      <c r="G525" s="45">
        <v>43139.757939814815</v>
      </c>
      <c r="H525" s="53">
        <f>G525-F525</f>
        <v>4.3240740742476191E-2</v>
      </c>
      <c r="I525" s="86">
        <v>50.18</v>
      </c>
      <c r="J525" s="109" t="s">
        <v>260</v>
      </c>
      <c r="K525" s="88" t="s">
        <v>72</v>
      </c>
      <c r="L525" s="88" t="s">
        <v>73</v>
      </c>
      <c r="M525" s="88">
        <v>-369</v>
      </c>
      <c r="N525" s="108">
        <v>1</v>
      </c>
      <c r="O525" s="108">
        <v>200</v>
      </c>
      <c r="P525" s="88">
        <v>348</v>
      </c>
      <c r="Q525" s="88" t="s">
        <v>75</v>
      </c>
      <c r="R525" s="88" t="s">
        <v>348</v>
      </c>
      <c r="S525" s="110">
        <v>10000</v>
      </c>
      <c r="T525" s="110">
        <v>924</v>
      </c>
      <c r="U525" s="88">
        <v>983</v>
      </c>
      <c r="V525" s="90">
        <v>1500</v>
      </c>
      <c r="W525" s="111">
        <v>10</v>
      </c>
      <c r="X525" s="110">
        <v>48317</v>
      </c>
      <c r="Y525" s="110">
        <v>841682</v>
      </c>
      <c r="Z525" s="110">
        <v>7038932</v>
      </c>
      <c r="AA525" s="110">
        <v>2141101</v>
      </c>
      <c r="AB525" s="112">
        <v>4924623</v>
      </c>
      <c r="AC525" s="109">
        <v>160.1</v>
      </c>
      <c r="AD525" s="110">
        <v>-109.8</v>
      </c>
      <c r="AE525" s="110">
        <v>3.94</v>
      </c>
      <c r="AF525" s="110">
        <v>-0.76</v>
      </c>
      <c r="AG525" s="110">
        <v>109.8</v>
      </c>
      <c r="AH525" s="110">
        <v>-110</v>
      </c>
      <c r="AI525" s="110">
        <v>3.71</v>
      </c>
      <c r="AJ525" s="109">
        <v>-0.35</v>
      </c>
      <c r="AK525" s="113" t="s">
        <v>59</v>
      </c>
      <c r="AL525" s="107" t="s">
        <v>613</v>
      </c>
      <c r="AN525" s="107">
        <v>0.95599999999999996</v>
      </c>
      <c r="AO525" s="48">
        <f t="shared" si="671"/>
        <v>147061357.48492309</v>
      </c>
      <c r="AP525" s="156">
        <f t="shared" si="672"/>
        <v>102942950.23944616</v>
      </c>
      <c r="AQ525" s="161">
        <f t="shared" ref="AQ525" si="676">AP525+AQ524</f>
        <v>19642551768.485775</v>
      </c>
      <c r="AR525" s="163">
        <f t="shared" si="673"/>
        <v>8.9146180555309407</v>
      </c>
      <c r="AS525" s="49">
        <f t="shared" si="674"/>
        <v>0.30864682539682536</v>
      </c>
      <c r="AT525" s="165">
        <f t="shared" si="675"/>
        <v>59.902028769841266</v>
      </c>
      <c r="AU525" s="254">
        <f t="shared" si="635"/>
        <v>204689.2556</v>
      </c>
      <c r="AV525" s="255">
        <f t="shared" si="636"/>
        <v>501883.14439999999</v>
      </c>
      <c r="AW525" s="256">
        <f t="shared" si="637"/>
        <v>0.40784245871557506</v>
      </c>
    </row>
    <row r="526" spans="1:70">
      <c r="A526" s="108">
        <v>524</v>
      </c>
      <c r="F526" s="45">
        <v>43139.758032407408</v>
      </c>
      <c r="G526" s="45">
        <v>43139.800312500003</v>
      </c>
      <c r="H526" s="53">
        <f>G526-F526</f>
        <v>4.2280092595319729E-2</v>
      </c>
      <c r="I526" s="86">
        <v>50.16</v>
      </c>
      <c r="J526" s="109" t="s">
        <v>260</v>
      </c>
      <c r="K526" s="88" t="s">
        <v>72</v>
      </c>
      <c r="L526" s="88" t="s">
        <v>73</v>
      </c>
      <c r="M526" s="88">
        <v>-369</v>
      </c>
      <c r="N526" s="108">
        <v>1</v>
      </c>
      <c r="O526" s="108">
        <v>200</v>
      </c>
      <c r="P526" s="88">
        <v>348</v>
      </c>
      <c r="Q526" s="88" t="s">
        <v>75</v>
      </c>
      <c r="R526" s="88" t="s">
        <v>348</v>
      </c>
      <c r="S526" s="110">
        <v>10000</v>
      </c>
      <c r="T526" s="110">
        <v>906</v>
      </c>
      <c r="U526" s="88">
        <v>983</v>
      </c>
      <c r="V526" s="90">
        <v>1500</v>
      </c>
      <c r="W526" s="111">
        <v>10</v>
      </c>
      <c r="X526" s="110">
        <v>48600</v>
      </c>
      <c r="Y526" s="110">
        <v>842631</v>
      </c>
      <c r="Z526" s="110">
        <v>7019143</v>
      </c>
      <c r="AA526" s="110">
        <v>2147254</v>
      </c>
      <c r="AB526" s="112">
        <v>4898609</v>
      </c>
      <c r="AC526" s="109">
        <v>160.1</v>
      </c>
      <c r="AD526" s="110">
        <v>-109.8</v>
      </c>
      <c r="AE526" s="110">
        <v>3.94</v>
      </c>
      <c r="AF526" s="110">
        <v>-0.76</v>
      </c>
      <c r="AG526" s="110">
        <v>109.8</v>
      </c>
      <c r="AH526" s="110">
        <v>-110</v>
      </c>
      <c r="AI526" s="110">
        <v>3.71</v>
      </c>
      <c r="AJ526" s="109">
        <v>-0.35</v>
      </c>
      <c r="AK526" s="113" t="s">
        <v>59</v>
      </c>
      <c r="AL526" s="107" t="s">
        <v>816</v>
      </c>
      <c r="AN526" s="107">
        <f>AN525</f>
        <v>0.95599999999999996</v>
      </c>
      <c r="AO526" s="48">
        <f t="shared" ref="AO526:AO539" si="677">(HOUR(H526)*60*60+MINUTE(H526)*60+SECOND(H526))/5.2*AA526/W526*AN526</f>
        <v>144207431.38600001</v>
      </c>
      <c r="AP526" s="156">
        <f t="shared" ref="AP526:AP539" si="678">AO526*0.7</f>
        <v>100945201.9702</v>
      </c>
      <c r="AQ526" s="161">
        <f t="shared" ref="AQ526:AQ539" si="679">AP526+AQ525</f>
        <v>19743496970.455975</v>
      </c>
      <c r="AR526" s="163">
        <f t="shared" ref="AR526:AR539" si="680">H526+AR525</f>
        <v>8.9568981481262604</v>
      </c>
      <c r="AS526" s="49">
        <f t="shared" ref="AS526:AS539" si="681">I526*(HOUR(H526)*60+MINUTE(H526))/60/(7*24)</f>
        <v>0.29857142857142854</v>
      </c>
      <c r="AT526" s="165">
        <f t="shared" ref="AT526:AT539" si="682">AS526+AT525</f>
        <v>60.200600198412694</v>
      </c>
      <c r="AU526" s="254">
        <f t="shared" si="635"/>
        <v>205277.48239999998</v>
      </c>
      <c r="AV526" s="255">
        <f t="shared" si="636"/>
        <v>499308.81760000001</v>
      </c>
      <c r="AW526" s="256">
        <f t="shared" si="637"/>
        <v>0.41112328716063112</v>
      </c>
    </row>
    <row r="527" spans="1:70">
      <c r="A527" s="108">
        <v>525</v>
      </c>
      <c r="F527" s="45">
        <v>43139.800405092596</v>
      </c>
      <c r="G527" s="45">
        <v>43139.843298611115</v>
      </c>
      <c r="H527" s="53">
        <f>G527-F527-'user time'!U135-'user time'!U136</f>
        <v>4.2025462963566684E-2</v>
      </c>
      <c r="I527" s="86">
        <v>50.23</v>
      </c>
      <c r="J527" s="109" t="s">
        <v>260</v>
      </c>
      <c r="K527" s="88" t="s">
        <v>72</v>
      </c>
      <c r="L527" s="88" t="s">
        <v>73</v>
      </c>
      <c r="M527" s="88">
        <v>-369</v>
      </c>
      <c r="N527" s="108">
        <v>1</v>
      </c>
      <c r="O527" s="108">
        <v>200</v>
      </c>
      <c r="P527" s="88">
        <v>348</v>
      </c>
      <c r="Q527" s="88" t="s">
        <v>75</v>
      </c>
      <c r="R527" s="88" t="s">
        <v>348</v>
      </c>
      <c r="S527" s="110">
        <v>10000</v>
      </c>
      <c r="T527" s="110">
        <v>912</v>
      </c>
      <c r="U527" s="88">
        <v>983</v>
      </c>
      <c r="V527" s="90">
        <v>1500</v>
      </c>
      <c r="W527" s="111">
        <v>10</v>
      </c>
      <c r="X527" s="110">
        <v>48043</v>
      </c>
      <c r="Y527" s="110">
        <v>842719</v>
      </c>
      <c r="Z527" s="110">
        <v>6940003</v>
      </c>
      <c r="AA527" s="110">
        <v>2134065</v>
      </c>
      <c r="AB527" s="112">
        <v>4832400</v>
      </c>
      <c r="AC527" s="109">
        <v>160.1</v>
      </c>
      <c r="AD527" s="110">
        <v>-109.8</v>
      </c>
      <c r="AE527" s="110">
        <v>3.94</v>
      </c>
      <c r="AF527" s="110">
        <v>-0.75</v>
      </c>
      <c r="AG527" s="110">
        <v>109.8</v>
      </c>
      <c r="AH527" s="110">
        <v>-110</v>
      </c>
      <c r="AI527" s="110">
        <v>3.71</v>
      </c>
      <c r="AJ527" s="109">
        <v>-0.34</v>
      </c>
      <c r="AK527" s="113" t="s">
        <v>59</v>
      </c>
      <c r="AL527" s="107" t="s">
        <v>181</v>
      </c>
      <c r="AM527" s="114" t="s">
        <v>619</v>
      </c>
      <c r="AN527" s="107">
        <v>0.96</v>
      </c>
      <c r="AO527" s="48">
        <f t="shared" si="677"/>
        <v>143054584.89230767</v>
      </c>
      <c r="AP527" s="156">
        <f t="shared" si="678"/>
        <v>100138209.42461537</v>
      </c>
      <c r="AQ527" s="161">
        <f t="shared" si="679"/>
        <v>19843635179.880589</v>
      </c>
      <c r="AR527" s="163">
        <f t="shared" si="680"/>
        <v>8.9989236110898272</v>
      </c>
      <c r="AS527" s="49">
        <f t="shared" si="681"/>
        <v>0.29898809523809522</v>
      </c>
      <c r="AT527" s="165">
        <f t="shared" si="682"/>
        <v>60.499588293650788</v>
      </c>
      <c r="AU527" s="254">
        <f t="shared" si="635"/>
        <v>204870.24</v>
      </c>
      <c r="AV527" s="255">
        <f t="shared" si="636"/>
        <v>491776.26</v>
      </c>
      <c r="AW527" s="256">
        <f t="shared" si="637"/>
        <v>0.4165923747518841</v>
      </c>
    </row>
    <row r="528" spans="1:70">
      <c r="A528" s="108">
        <v>526</v>
      </c>
      <c r="F528" s="45">
        <v>43139.843564814815</v>
      </c>
      <c r="G528" s="45">
        <v>43139.886319444442</v>
      </c>
      <c r="H528" s="53">
        <f>G528-F528-'user time'!U137-'user time'!U138</f>
        <v>4.2199074071314513E-2</v>
      </c>
      <c r="I528" s="86">
        <v>50.3</v>
      </c>
      <c r="J528" s="109" t="s">
        <v>260</v>
      </c>
      <c r="K528" s="88" t="s">
        <v>72</v>
      </c>
      <c r="L528" s="88" t="s">
        <v>73</v>
      </c>
      <c r="M528" s="88">
        <v>-369</v>
      </c>
      <c r="N528" s="108">
        <v>1</v>
      </c>
      <c r="O528" s="108">
        <v>200</v>
      </c>
      <c r="P528" s="88">
        <v>348</v>
      </c>
      <c r="Q528" s="88" t="s">
        <v>75</v>
      </c>
      <c r="R528" s="88" t="s">
        <v>348</v>
      </c>
      <c r="S528" s="110">
        <v>10000</v>
      </c>
      <c r="T528" s="110">
        <v>921</v>
      </c>
      <c r="U528" s="88">
        <v>983</v>
      </c>
      <c r="V528" s="90">
        <v>1500</v>
      </c>
      <c r="W528" s="111">
        <v>10</v>
      </c>
      <c r="X528" s="110">
        <v>48661</v>
      </c>
      <c r="Y528" s="110">
        <v>845083</v>
      </c>
      <c r="Z528" s="110">
        <v>6894739</v>
      </c>
      <c r="AA528" s="110">
        <v>2133088</v>
      </c>
      <c r="AB528" s="112">
        <v>4788251</v>
      </c>
      <c r="AC528" s="109">
        <v>160.1</v>
      </c>
      <c r="AD528" s="110">
        <v>-109.8</v>
      </c>
      <c r="AE528" s="110">
        <v>3.94</v>
      </c>
      <c r="AF528" s="110">
        <v>-0.75</v>
      </c>
      <c r="AG528" s="110">
        <v>109.8</v>
      </c>
      <c r="AH528" s="110">
        <v>-110</v>
      </c>
      <c r="AI528" s="110">
        <v>3.7</v>
      </c>
      <c r="AJ528" s="109">
        <v>-0.34</v>
      </c>
      <c r="AK528" s="113" t="s">
        <v>59</v>
      </c>
      <c r="AL528" s="107" t="s">
        <v>181</v>
      </c>
      <c r="AN528" s="107">
        <v>0.95799999999999996</v>
      </c>
      <c r="AO528" s="48">
        <f t="shared" si="677"/>
        <v>143280669.5458461</v>
      </c>
      <c r="AP528" s="156">
        <f t="shared" si="678"/>
        <v>100296468.68209226</v>
      </c>
      <c r="AQ528" s="161">
        <f t="shared" si="679"/>
        <v>19943931648.562679</v>
      </c>
      <c r="AR528" s="163">
        <f t="shared" si="680"/>
        <v>9.0411226851611417</v>
      </c>
      <c r="AS528" s="49">
        <f t="shared" si="681"/>
        <v>0.2994047619047619</v>
      </c>
      <c r="AT528" s="165">
        <f t="shared" si="682"/>
        <v>60.798993055555549</v>
      </c>
      <c r="AU528" s="254">
        <f t="shared" si="635"/>
        <v>204349.83039999998</v>
      </c>
      <c r="AV528" s="255">
        <f t="shared" si="636"/>
        <v>487784.06959999999</v>
      </c>
      <c r="AW528" s="256">
        <f t="shared" si="637"/>
        <v>0.4189350229653338</v>
      </c>
    </row>
    <row r="529" spans="1:49">
      <c r="A529" s="108">
        <v>527</v>
      </c>
      <c r="F529" s="45">
        <v>43139.886342592596</v>
      </c>
      <c r="G529" s="45">
        <v>43139.929305555554</v>
      </c>
      <c r="H529" s="53">
        <f>G529-F529-SUM('user time'!U139:U141)</f>
        <v>4.2222222217231375E-2</v>
      </c>
      <c r="I529" s="86">
        <v>50.41</v>
      </c>
      <c r="J529" s="109" t="s">
        <v>260</v>
      </c>
      <c r="K529" s="88" t="s">
        <v>72</v>
      </c>
      <c r="L529" s="88" t="s">
        <v>73</v>
      </c>
      <c r="M529" s="88">
        <v>-369</v>
      </c>
      <c r="N529" s="108">
        <v>1</v>
      </c>
      <c r="O529" s="108">
        <v>200</v>
      </c>
      <c r="P529" s="88">
        <v>348</v>
      </c>
      <c r="Q529" s="88" t="s">
        <v>75</v>
      </c>
      <c r="R529" s="88" t="s">
        <v>348</v>
      </c>
      <c r="S529" s="110">
        <v>10000</v>
      </c>
      <c r="T529" s="110">
        <v>923</v>
      </c>
      <c r="U529" s="88">
        <v>983</v>
      </c>
      <c r="V529" s="90">
        <v>1500</v>
      </c>
      <c r="W529" s="111">
        <v>10</v>
      </c>
      <c r="X529" s="110">
        <v>48599</v>
      </c>
      <c r="Y529" s="110">
        <v>845562</v>
      </c>
      <c r="Z529" s="110">
        <v>6902158</v>
      </c>
      <c r="AA529" s="110">
        <v>2137331</v>
      </c>
      <c r="AB529" s="112">
        <v>4790577</v>
      </c>
      <c r="AC529" s="109">
        <v>160.1</v>
      </c>
      <c r="AD529" s="110">
        <v>-109.8</v>
      </c>
      <c r="AE529" s="110">
        <v>3.94</v>
      </c>
      <c r="AF529" s="110">
        <v>-0.75</v>
      </c>
      <c r="AG529" s="110">
        <v>109.8</v>
      </c>
      <c r="AH529" s="110">
        <v>-110</v>
      </c>
      <c r="AI529" s="110">
        <v>3.7</v>
      </c>
      <c r="AJ529" s="109">
        <v>-0.34</v>
      </c>
      <c r="AK529" s="113" t="s">
        <v>59</v>
      </c>
      <c r="AL529" s="107" t="s">
        <v>181</v>
      </c>
      <c r="AN529" s="107">
        <v>0.95899999999999996</v>
      </c>
      <c r="AO529" s="48">
        <f t="shared" si="677"/>
        <v>143794368.55753845</v>
      </c>
      <c r="AP529" s="156">
        <f t="shared" si="678"/>
        <v>100656057.9902769</v>
      </c>
      <c r="AQ529" s="161">
        <f t="shared" si="679"/>
        <v>20044587706.552956</v>
      </c>
      <c r="AR529" s="163">
        <f t="shared" si="680"/>
        <v>9.0833449073783736</v>
      </c>
      <c r="AS529" s="49">
        <f t="shared" si="681"/>
        <v>0.30005952380952378</v>
      </c>
      <c r="AT529" s="165">
        <f t="shared" si="682"/>
        <v>61.099052579365072</v>
      </c>
      <c r="AU529" s="254">
        <f t="shared" si="635"/>
        <v>204970.0429</v>
      </c>
      <c r="AV529" s="255">
        <f t="shared" si="636"/>
        <v>487820.75710000005</v>
      </c>
      <c r="AW529" s="256">
        <f t="shared" si="637"/>
        <v>0.42017491038820737</v>
      </c>
    </row>
    <row r="530" spans="1:49">
      <c r="A530" s="108">
        <v>528</v>
      </c>
      <c r="F530" s="45">
        <v>43139.929328703707</v>
      </c>
      <c r="G530" s="45">
        <v>43139.97074074074</v>
      </c>
      <c r="H530" s="53">
        <f>G530-F530-'user time'!U142</f>
        <v>4.0983796292555885E-2</v>
      </c>
      <c r="I530" s="86">
        <v>50.29</v>
      </c>
      <c r="J530" s="109" t="s">
        <v>260</v>
      </c>
      <c r="K530" s="88" t="s">
        <v>72</v>
      </c>
      <c r="L530" s="88" t="s">
        <v>73</v>
      </c>
      <c r="M530" s="88">
        <v>-369</v>
      </c>
      <c r="N530" s="108">
        <v>1</v>
      </c>
      <c r="O530" s="108">
        <v>200</v>
      </c>
      <c r="P530" s="88">
        <v>348</v>
      </c>
      <c r="Q530" s="88" t="s">
        <v>75</v>
      </c>
      <c r="R530" s="88" t="s">
        <v>348</v>
      </c>
      <c r="S530" s="110">
        <v>10000</v>
      </c>
      <c r="T530" s="110">
        <v>923</v>
      </c>
      <c r="U530" s="88">
        <v>983</v>
      </c>
      <c r="V530" s="90">
        <v>1500</v>
      </c>
      <c r="W530" s="111">
        <v>10</v>
      </c>
      <c r="X530" s="110">
        <v>48235</v>
      </c>
      <c r="Y530" s="110">
        <v>847673</v>
      </c>
      <c r="Z530" s="110">
        <v>6861330</v>
      </c>
      <c r="AA530" s="110">
        <v>2134783</v>
      </c>
      <c r="AB530" s="112">
        <v>4752162</v>
      </c>
      <c r="AC530" s="109">
        <v>160.1</v>
      </c>
      <c r="AD530" s="110">
        <v>-109.8</v>
      </c>
      <c r="AE530" s="110">
        <v>3.94</v>
      </c>
      <c r="AF530" s="110">
        <v>-0.76</v>
      </c>
      <c r="AG530" s="110">
        <v>109.8</v>
      </c>
      <c r="AH530" s="110">
        <v>-110</v>
      </c>
      <c r="AI530" s="110">
        <v>3.7</v>
      </c>
      <c r="AJ530" s="109">
        <v>-0.35</v>
      </c>
      <c r="AK530" s="113" t="s">
        <v>59</v>
      </c>
      <c r="AL530" s="107" t="s">
        <v>624</v>
      </c>
      <c r="AN530" s="107">
        <v>0.95899999999999996</v>
      </c>
      <c r="AO530" s="48">
        <f t="shared" si="677"/>
        <v>139410320.62071154</v>
      </c>
      <c r="AP530" s="156">
        <f t="shared" si="678"/>
        <v>97587224.434498072</v>
      </c>
      <c r="AQ530" s="161">
        <f t="shared" si="679"/>
        <v>20142174930.987453</v>
      </c>
      <c r="AR530" s="163">
        <f t="shared" si="680"/>
        <v>9.1243287036709297</v>
      </c>
      <c r="AS530" s="49">
        <f t="shared" si="681"/>
        <v>0.29435615079365079</v>
      </c>
      <c r="AT530" s="165">
        <f t="shared" si="682"/>
        <v>61.393408730158725</v>
      </c>
      <c r="AU530" s="254">
        <f t="shared" si="635"/>
        <v>204725.68969999999</v>
      </c>
      <c r="AV530" s="255">
        <f t="shared" si="636"/>
        <v>483968.81030000001</v>
      </c>
      <c r="AW530" s="256">
        <f t="shared" si="637"/>
        <v>0.4230142218732974</v>
      </c>
    </row>
    <row r="531" spans="1:49">
      <c r="A531" s="108">
        <v>529</v>
      </c>
      <c r="F531" s="45">
        <v>43139.98096064815</v>
      </c>
      <c r="G531" s="45">
        <v>43140.019976851851</v>
      </c>
      <c r="H531" s="53">
        <f>G531-F531-'user time'!U144</f>
        <v>3.868055555200911E-2</v>
      </c>
      <c r="I531" s="86">
        <v>50.19</v>
      </c>
      <c r="J531" s="109" t="s">
        <v>260</v>
      </c>
      <c r="K531" s="88" t="s">
        <v>72</v>
      </c>
      <c r="L531" s="88" t="s">
        <v>73</v>
      </c>
      <c r="M531" s="88">
        <v>-369</v>
      </c>
      <c r="N531" s="108">
        <v>1</v>
      </c>
      <c r="O531" s="108">
        <v>200</v>
      </c>
      <c r="P531" s="88">
        <v>348</v>
      </c>
      <c r="Q531" s="88" t="s">
        <v>75</v>
      </c>
      <c r="R531" s="88" t="s">
        <v>348</v>
      </c>
      <c r="S531" s="110">
        <v>10000</v>
      </c>
      <c r="T531" s="110">
        <v>918</v>
      </c>
      <c r="U531" s="88">
        <v>983</v>
      </c>
      <c r="V531" s="90">
        <v>1500</v>
      </c>
      <c r="W531" s="111">
        <v>10</v>
      </c>
      <c r="X531" s="110">
        <v>48860</v>
      </c>
      <c r="Y531" s="110">
        <v>847151</v>
      </c>
      <c r="Z531" s="110">
        <v>6773835</v>
      </c>
      <c r="AA531" s="110">
        <v>2120762</v>
      </c>
      <c r="AB531" s="112">
        <v>4678751</v>
      </c>
      <c r="AC531" s="109">
        <v>160.1</v>
      </c>
      <c r="AD531" s="110">
        <v>-109.8</v>
      </c>
      <c r="AE531" s="110">
        <v>3.94</v>
      </c>
      <c r="AF531" s="110">
        <v>-0.76</v>
      </c>
      <c r="AG531" s="110">
        <v>109.8</v>
      </c>
      <c r="AH531" s="110">
        <v>-110</v>
      </c>
      <c r="AI531" s="110">
        <v>3.7</v>
      </c>
      <c r="AJ531" s="109">
        <v>-0.34</v>
      </c>
      <c r="AK531" s="113" t="s">
        <v>59</v>
      </c>
      <c r="AL531" s="107" t="s">
        <v>624</v>
      </c>
      <c r="AN531" s="107">
        <v>0.95899999999999996</v>
      </c>
      <c r="AO531" s="48">
        <f t="shared" si="677"/>
        <v>130711452.94684613</v>
      </c>
      <c r="AP531" s="156">
        <f t="shared" si="678"/>
        <v>91498017.062792286</v>
      </c>
      <c r="AQ531" s="161">
        <f t="shared" si="679"/>
        <v>20233672948.050247</v>
      </c>
      <c r="AR531" s="163">
        <f t="shared" si="680"/>
        <v>9.1630092592229389</v>
      </c>
      <c r="AS531" s="49">
        <f t="shared" si="681"/>
        <v>0.27385416666666668</v>
      </c>
      <c r="AT531" s="165">
        <f t="shared" si="682"/>
        <v>61.667262896825392</v>
      </c>
      <c r="AU531" s="254">
        <f t="shared" si="635"/>
        <v>203381.07579999999</v>
      </c>
      <c r="AV531" s="255">
        <f t="shared" si="636"/>
        <v>476570.2242</v>
      </c>
      <c r="AW531" s="256">
        <f t="shared" si="637"/>
        <v>0.42675993058821066</v>
      </c>
    </row>
    <row r="532" spans="1:49">
      <c r="A532" s="108">
        <v>530</v>
      </c>
      <c r="F532" s="45">
        <v>43140.02957175926</v>
      </c>
      <c r="G532" s="45">
        <v>43140.070844907408</v>
      </c>
      <c r="H532" s="53">
        <f>G532-F532-'user time'!U149</f>
        <v>4.0844907407579872E-2</v>
      </c>
      <c r="I532" s="86">
        <v>50.29</v>
      </c>
      <c r="J532" s="109" t="s">
        <v>260</v>
      </c>
      <c r="K532" s="88" t="s">
        <v>72</v>
      </c>
      <c r="L532" s="88" t="s">
        <v>73</v>
      </c>
      <c r="M532" s="88">
        <v>-369</v>
      </c>
      <c r="N532" s="108">
        <v>1</v>
      </c>
      <c r="O532" s="108">
        <v>200</v>
      </c>
      <c r="P532" s="88">
        <v>348</v>
      </c>
      <c r="Q532" s="88" t="s">
        <v>75</v>
      </c>
      <c r="R532" s="88" t="s">
        <v>348</v>
      </c>
      <c r="S532" s="110">
        <v>10300</v>
      </c>
      <c r="T532" s="110">
        <v>904</v>
      </c>
      <c r="U532" s="88">
        <v>983</v>
      </c>
      <c r="V532" s="90">
        <v>1500</v>
      </c>
      <c r="W532" s="111">
        <f>W531</f>
        <v>10</v>
      </c>
      <c r="AA532" s="110">
        <f>AA531</f>
        <v>2120762</v>
      </c>
      <c r="AB532" s="112">
        <f>AB531</f>
        <v>4678751</v>
      </c>
      <c r="AC532" s="109">
        <v>160.1</v>
      </c>
      <c r="AD532" s="110">
        <v>-109.8</v>
      </c>
      <c r="AE532" s="110">
        <v>3.94</v>
      </c>
      <c r="AF532" s="110">
        <v>-0.75</v>
      </c>
      <c r="AG532" s="110">
        <v>109.8</v>
      </c>
      <c r="AH532" s="110">
        <v>-110</v>
      </c>
      <c r="AI532" s="110">
        <v>3.69</v>
      </c>
      <c r="AJ532" s="109">
        <v>-0.35</v>
      </c>
      <c r="AK532" s="113" t="s">
        <v>59</v>
      </c>
      <c r="AL532" s="107" t="s">
        <v>181</v>
      </c>
      <c r="AN532" s="107">
        <v>0.96199999999999997</v>
      </c>
      <c r="AO532" s="48">
        <f t="shared" si="677"/>
        <v>138457128.31299996</v>
      </c>
      <c r="AP532" s="156">
        <f t="shared" si="678"/>
        <v>96919989.819099963</v>
      </c>
      <c r="AQ532" s="161">
        <f t="shared" si="679"/>
        <v>20330592937.869347</v>
      </c>
      <c r="AR532" s="163">
        <f t="shared" si="680"/>
        <v>9.2038541666305189</v>
      </c>
      <c r="AS532" s="49">
        <f t="shared" si="681"/>
        <v>0.28936706349206348</v>
      </c>
      <c r="AT532" s="165">
        <f t="shared" si="682"/>
        <v>61.956629960317457</v>
      </c>
      <c r="AU532" s="254">
        <f t="shared" si="635"/>
        <v>204017.30439999999</v>
      </c>
      <c r="AV532" s="255">
        <f t="shared" si="636"/>
        <v>475933.99559999997</v>
      </c>
      <c r="AW532" s="256">
        <f t="shared" si="637"/>
        <v>0.42866722336739083</v>
      </c>
    </row>
    <row r="533" spans="1:49">
      <c r="A533" s="108">
        <v>531</v>
      </c>
      <c r="F533" s="45">
        <v>43140.070868055554</v>
      </c>
      <c r="G533" s="45">
        <v>43140.098506944443</v>
      </c>
      <c r="H533" s="53">
        <f>G533-F533-'user time'!U150</f>
        <v>2.7337962962833612E-2</v>
      </c>
      <c r="I533" s="86">
        <v>50.25</v>
      </c>
      <c r="J533" s="109" t="s">
        <v>260</v>
      </c>
      <c r="K533" s="88" t="s">
        <v>72</v>
      </c>
      <c r="L533" s="88" t="s">
        <v>73</v>
      </c>
      <c r="M533" s="88">
        <v>-369</v>
      </c>
      <c r="N533" s="108">
        <v>1</v>
      </c>
      <c r="O533" s="108">
        <v>200</v>
      </c>
      <c r="P533" s="88">
        <v>348</v>
      </c>
      <c r="Q533" s="88" t="s">
        <v>75</v>
      </c>
      <c r="R533" s="88" t="s">
        <v>348</v>
      </c>
      <c r="S533" s="110">
        <v>10300</v>
      </c>
      <c r="T533" s="110">
        <v>908</v>
      </c>
      <c r="U533" s="88">
        <v>983</v>
      </c>
      <c r="V533" s="90">
        <v>1500</v>
      </c>
      <c r="W533" s="111">
        <v>10</v>
      </c>
      <c r="X533" s="110">
        <v>48547</v>
      </c>
      <c r="Y533" s="110">
        <v>845864</v>
      </c>
      <c r="Z533" s="110">
        <v>6747766</v>
      </c>
      <c r="AA533" s="110">
        <v>2122027</v>
      </c>
      <c r="AB533" s="112">
        <v>4651338</v>
      </c>
      <c r="AC533" s="109">
        <v>160.1</v>
      </c>
      <c r="AD533" s="110">
        <v>-109.8</v>
      </c>
      <c r="AE533" s="110">
        <v>3.94</v>
      </c>
      <c r="AF533" s="110">
        <v>-0.76</v>
      </c>
      <c r="AG533" s="110">
        <v>109.8</v>
      </c>
      <c r="AH533" s="110">
        <v>-110</v>
      </c>
      <c r="AI533" s="110">
        <v>3.69</v>
      </c>
      <c r="AJ533" s="109">
        <v>-0.35</v>
      </c>
      <c r="AK533" s="113" t="s">
        <v>59</v>
      </c>
      <c r="AL533" s="107" t="s">
        <v>630</v>
      </c>
      <c r="AN533" s="107">
        <v>0.96299999999999997</v>
      </c>
      <c r="AO533" s="48">
        <f t="shared" si="677"/>
        <v>92822602.814653844</v>
      </c>
      <c r="AP533" s="156">
        <f t="shared" si="678"/>
        <v>64975821.970257685</v>
      </c>
      <c r="AQ533" s="161">
        <f t="shared" si="679"/>
        <v>20395568759.839603</v>
      </c>
      <c r="AR533" s="163">
        <f t="shared" si="680"/>
        <v>9.231192129593353</v>
      </c>
      <c r="AS533" s="49">
        <f t="shared" si="681"/>
        <v>0.19441964285714286</v>
      </c>
      <c r="AT533" s="165">
        <f t="shared" si="682"/>
        <v>62.151049603174599</v>
      </c>
      <c r="AU533" s="254">
        <f t="shared" si="635"/>
        <v>204351.20010000002</v>
      </c>
      <c r="AV533" s="255">
        <f t="shared" si="636"/>
        <v>472985.29989999998</v>
      </c>
      <c r="AW533" s="256">
        <f t="shared" si="637"/>
        <v>0.43204556281813533</v>
      </c>
    </row>
    <row r="534" spans="1:49">
      <c r="A534" s="108">
        <v>532</v>
      </c>
      <c r="F534" s="45">
        <v>43140.108263888891</v>
      </c>
      <c r="G534" s="45">
        <v>43140.14916666667</v>
      </c>
      <c r="H534" s="53">
        <f>G534-F534-'user time'!U152-'user time'!U153</f>
        <v>4.0173611112016533E-2</v>
      </c>
      <c r="I534" s="86">
        <v>50.34</v>
      </c>
      <c r="J534" s="109" t="s">
        <v>260</v>
      </c>
      <c r="K534" s="88" t="s">
        <v>72</v>
      </c>
      <c r="L534" s="88" t="s">
        <v>73</v>
      </c>
      <c r="M534" s="88">
        <v>-369</v>
      </c>
      <c r="N534" s="108">
        <v>1</v>
      </c>
      <c r="O534" s="108">
        <v>200</v>
      </c>
      <c r="P534" s="88">
        <v>348</v>
      </c>
      <c r="Q534" s="88" t="s">
        <v>75</v>
      </c>
      <c r="R534" s="88" t="s">
        <v>348</v>
      </c>
      <c r="S534" s="110">
        <v>10400</v>
      </c>
      <c r="T534" s="110">
        <v>906</v>
      </c>
      <c r="U534" s="88">
        <v>983</v>
      </c>
      <c r="V534" s="90">
        <v>1500</v>
      </c>
      <c r="W534" s="111">
        <v>10</v>
      </c>
      <c r="X534" s="110">
        <v>48760</v>
      </c>
      <c r="Y534" s="110">
        <v>843307</v>
      </c>
      <c r="Z534" s="110">
        <v>6994833</v>
      </c>
      <c r="AA534" s="110">
        <v>2126819</v>
      </c>
      <c r="AB534" s="112">
        <v>4896259</v>
      </c>
      <c r="AC534" s="109">
        <v>160.1</v>
      </c>
      <c r="AD534" s="110">
        <v>-109.8</v>
      </c>
      <c r="AE534" s="110">
        <v>3.94</v>
      </c>
      <c r="AF534" s="110">
        <v>-0.76</v>
      </c>
      <c r="AG534" s="110">
        <v>109.8</v>
      </c>
      <c r="AH534" s="110">
        <v>-110</v>
      </c>
      <c r="AI534" s="110">
        <v>3.69</v>
      </c>
      <c r="AJ534" s="109">
        <v>-0.35</v>
      </c>
      <c r="AK534" s="113" t="s">
        <v>59</v>
      </c>
      <c r="AL534" s="107" t="s">
        <v>181</v>
      </c>
      <c r="AN534" s="107">
        <v>0.95899999999999996</v>
      </c>
      <c r="AO534" s="48">
        <f t="shared" si="677"/>
        <v>136144596.35174999</v>
      </c>
      <c r="AP534" s="156">
        <f t="shared" si="678"/>
        <v>95301217.446224988</v>
      </c>
      <c r="AQ534" s="161">
        <f t="shared" si="679"/>
        <v>20490869977.285828</v>
      </c>
      <c r="AR534" s="163">
        <f t="shared" si="680"/>
        <v>9.2713657407053702</v>
      </c>
      <c r="AS534" s="49">
        <f t="shared" si="681"/>
        <v>0.28466071428571427</v>
      </c>
      <c r="AT534" s="165">
        <f t="shared" si="682"/>
        <v>62.435710317460313</v>
      </c>
      <c r="AU534" s="254">
        <f t="shared" si="635"/>
        <v>203961.94209999999</v>
      </c>
      <c r="AV534" s="255">
        <f t="shared" si="636"/>
        <v>498345.8579</v>
      </c>
      <c r="AW534" s="256">
        <f t="shared" si="637"/>
        <v>0.40927789178279428</v>
      </c>
    </row>
    <row r="535" spans="1:49">
      <c r="A535" s="108">
        <v>533</v>
      </c>
      <c r="F535" s="45">
        <v>43140.149212962962</v>
      </c>
      <c r="G535" s="45">
        <v>43140.190625000003</v>
      </c>
      <c r="H535" s="53">
        <f>G535-F535-'user time'!U154</f>
        <v>4.1041666670202231E-2</v>
      </c>
      <c r="I535" s="86">
        <v>50.24</v>
      </c>
      <c r="J535" s="109" t="s">
        <v>260</v>
      </c>
      <c r="K535" s="88" t="s">
        <v>72</v>
      </c>
      <c r="L535" s="88" t="s">
        <v>73</v>
      </c>
      <c r="M535" s="88">
        <v>-369</v>
      </c>
      <c r="N535" s="108">
        <v>1</v>
      </c>
      <c r="O535" s="108">
        <v>200</v>
      </c>
      <c r="P535" s="88">
        <v>348</v>
      </c>
      <c r="Q535" s="88" t="s">
        <v>75</v>
      </c>
      <c r="R535" s="88" t="s">
        <v>348</v>
      </c>
      <c r="S535" s="110">
        <v>10300</v>
      </c>
      <c r="T535" s="110">
        <v>915</v>
      </c>
      <c r="U535" s="88">
        <v>983</v>
      </c>
      <c r="V535" s="90">
        <v>1500</v>
      </c>
      <c r="W535" s="111">
        <v>10</v>
      </c>
      <c r="X535" s="110">
        <v>48738</v>
      </c>
      <c r="Y535" s="110">
        <v>843666</v>
      </c>
      <c r="Z535" s="110">
        <v>6936350</v>
      </c>
      <c r="AA535" s="110">
        <v>2125304</v>
      </c>
      <c r="AB535" s="112">
        <v>4838299</v>
      </c>
      <c r="AC535" s="109">
        <v>160.1</v>
      </c>
      <c r="AD535" s="110">
        <v>-109.8</v>
      </c>
      <c r="AE535" s="110">
        <v>3.94</v>
      </c>
      <c r="AF535" s="110">
        <v>-0.76</v>
      </c>
      <c r="AG535" s="110">
        <v>109.8</v>
      </c>
      <c r="AH535" s="110">
        <v>-110</v>
      </c>
      <c r="AI535" s="110">
        <v>3.69</v>
      </c>
      <c r="AJ535" s="109">
        <v>-0.35</v>
      </c>
      <c r="AK535" s="113" t="s">
        <v>59</v>
      </c>
      <c r="AL535" s="107" t="s">
        <v>181</v>
      </c>
      <c r="AN535" s="107">
        <v>0.95799999999999996</v>
      </c>
      <c r="AO535" s="48">
        <f t="shared" si="677"/>
        <v>138842350.16676924</v>
      </c>
      <c r="AP535" s="156">
        <f t="shared" si="678"/>
        <v>97189645.116738454</v>
      </c>
      <c r="AQ535" s="161">
        <f t="shared" si="679"/>
        <v>20588059622.402565</v>
      </c>
      <c r="AR535" s="163">
        <f t="shared" si="680"/>
        <v>9.3124074073755718</v>
      </c>
      <c r="AS535" s="49">
        <f t="shared" si="681"/>
        <v>0.29406349206349208</v>
      </c>
      <c r="AT535" s="165">
        <f t="shared" si="682"/>
        <v>62.729773809523806</v>
      </c>
      <c r="AU535" s="254">
        <f t="shared" si="635"/>
        <v>203604.12319999997</v>
      </c>
      <c r="AV535" s="255">
        <f t="shared" si="636"/>
        <v>492756.17680000002</v>
      </c>
      <c r="AW535" s="256">
        <f t="shared" si="637"/>
        <v>0.41319446165489437</v>
      </c>
    </row>
    <row r="536" spans="1:49">
      <c r="A536" s="108">
        <v>534</v>
      </c>
      <c r="F536" s="45">
        <v>43140.190682870372</v>
      </c>
      <c r="G536" s="45">
        <v>43140.247812499998</v>
      </c>
      <c r="H536" s="53">
        <f>G536-F536-'user time'!U155</f>
        <v>3.9803240736817097E-2</v>
      </c>
      <c r="I536" s="86">
        <v>50.2</v>
      </c>
      <c r="J536" s="109" t="s">
        <v>260</v>
      </c>
      <c r="K536" s="88" t="s">
        <v>72</v>
      </c>
      <c r="L536" s="88" t="s">
        <v>73</v>
      </c>
      <c r="M536" s="88">
        <v>-369</v>
      </c>
      <c r="N536" s="108">
        <v>1</v>
      </c>
      <c r="O536" s="108">
        <v>200</v>
      </c>
      <c r="P536" s="88">
        <v>348</v>
      </c>
      <c r="Q536" s="88" t="s">
        <v>75</v>
      </c>
      <c r="R536" s="88" t="s">
        <v>348</v>
      </c>
      <c r="S536" s="110">
        <v>10300</v>
      </c>
      <c r="T536" s="110">
        <v>919</v>
      </c>
      <c r="U536" s="88">
        <v>983</v>
      </c>
      <c r="V536" s="90">
        <v>1500</v>
      </c>
      <c r="W536" s="111">
        <v>10</v>
      </c>
      <c r="X536" s="110">
        <v>48383</v>
      </c>
      <c r="Y536" s="110">
        <v>844978</v>
      </c>
      <c r="Z536" s="110">
        <v>6889126</v>
      </c>
      <c r="AA536" s="110">
        <v>2136239</v>
      </c>
      <c r="AB536" s="112">
        <v>4779537</v>
      </c>
      <c r="AC536" s="109">
        <v>160.1</v>
      </c>
      <c r="AD536" s="110">
        <v>-109.8</v>
      </c>
      <c r="AE536" s="110">
        <v>3.94</v>
      </c>
      <c r="AF536" s="110">
        <v>-0.76</v>
      </c>
      <c r="AG536" s="110">
        <v>109.8</v>
      </c>
      <c r="AH536" s="110">
        <v>-110</v>
      </c>
      <c r="AI536" s="110">
        <v>3.69</v>
      </c>
      <c r="AJ536" s="109">
        <v>-0.35</v>
      </c>
      <c r="AK536" s="113" t="s">
        <v>59</v>
      </c>
      <c r="AL536" s="107" t="s">
        <v>635</v>
      </c>
      <c r="AN536" s="107">
        <v>0.95699999999999996</v>
      </c>
      <c r="AO536" s="48">
        <f t="shared" si="677"/>
        <v>135204332.8153269</v>
      </c>
      <c r="AP536" s="156">
        <f t="shared" si="678"/>
        <v>94643032.97072883</v>
      </c>
      <c r="AQ536" s="161">
        <f t="shared" si="679"/>
        <v>20682702655.373295</v>
      </c>
      <c r="AR536" s="163">
        <f t="shared" si="680"/>
        <v>9.3522106481123881</v>
      </c>
      <c r="AS536" s="49">
        <f t="shared" si="681"/>
        <v>0.28386904761904763</v>
      </c>
      <c r="AT536" s="165">
        <f t="shared" si="682"/>
        <v>63.013642857142855</v>
      </c>
      <c r="AU536" s="254">
        <f t="shared" si="635"/>
        <v>204438.0723</v>
      </c>
      <c r="AV536" s="255">
        <f t="shared" si="636"/>
        <v>487139.52770000004</v>
      </c>
      <c r="AW536" s="256">
        <f t="shared" si="637"/>
        <v>0.41967046539056696</v>
      </c>
    </row>
    <row r="537" spans="1:49">
      <c r="A537" s="108">
        <v>535</v>
      </c>
      <c r="F537" s="45">
        <v>43140.247893518521</v>
      </c>
      <c r="G537" s="45">
        <v>43140.289189814815</v>
      </c>
      <c r="H537" s="53">
        <f>G537-F537-SUM('user time'!U156:U158)</f>
        <v>4.0150462961270617E-2</v>
      </c>
      <c r="I537" s="86">
        <v>50.33</v>
      </c>
      <c r="J537" s="109" t="s">
        <v>260</v>
      </c>
      <c r="K537" s="88" t="s">
        <v>72</v>
      </c>
      <c r="L537" s="88" t="s">
        <v>73</v>
      </c>
      <c r="M537" s="88">
        <v>-369</v>
      </c>
      <c r="N537" s="108">
        <v>1</v>
      </c>
      <c r="O537" s="108">
        <v>200</v>
      </c>
      <c r="P537" s="88">
        <v>348</v>
      </c>
      <c r="Q537" s="88" t="s">
        <v>75</v>
      </c>
      <c r="R537" s="88" t="s">
        <v>348</v>
      </c>
      <c r="S537" s="110">
        <v>10400</v>
      </c>
      <c r="T537" s="110">
        <v>927</v>
      </c>
      <c r="U537" s="88">
        <v>983</v>
      </c>
      <c r="V537" s="90">
        <v>1500</v>
      </c>
      <c r="W537" s="111">
        <v>10</v>
      </c>
      <c r="X537" s="110">
        <v>48331</v>
      </c>
      <c r="Y537" s="110">
        <v>838276</v>
      </c>
      <c r="Z537" s="110">
        <v>7073339</v>
      </c>
      <c r="AA537" s="110">
        <v>2109597</v>
      </c>
      <c r="AB537" s="112">
        <v>4991826</v>
      </c>
      <c r="AC537" s="109">
        <v>160.1</v>
      </c>
      <c r="AD537" s="110">
        <v>-109.8</v>
      </c>
      <c r="AE537" s="110">
        <v>3.94</v>
      </c>
      <c r="AF537" s="110">
        <v>-0.76</v>
      </c>
      <c r="AG537" s="110">
        <v>109.8</v>
      </c>
      <c r="AH537" s="110">
        <v>-110</v>
      </c>
      <c r="AI537" s="110">
        <v>3.69</v>
      </c>
      <c r="AJ537" s="109">
        <v>-0.35</v>
      </c>
      <c r="AK537" s="113" t="s">
        <v>59</v>
      </c>
      <c r="AL537" s="107" t="s">
        <v>181</v>
      </c>
      <c r="AN537" s="107">
        <v>0.95299999999999996</v>
      </c>
      <c r="AO537" s="48">
        <f t="shared" si="677"/>
        <v>134119941.71786539</v>
      </c>
      <c r="AP537" s="156">
        <f t="shared" si="678"/>
        <v>93883959.202505767</v>
      </c>
      <c r="AQ537" s="161">
        <f t="shared" si="679"/>
        <v>20776586614.575802</v>
      </c>
      <c r="AR537" s="163">
        <f t="shared" si="680"/>
        <v>9.392361111073658</v>
      </c>
      <c r="AS537" s="49">
        <f t="shared" si="681"/>
        <v>0.28460416666666666</v>
      </c>
      <c r="AT537" s="165">
        <f t="shared" si="682"/>
        <v>63.298247023809523</v>
      </c>
      <c r="AU537" s="254">
        <f t="shared" si="635"/>
        <v>201044.59410000002</v>
      </c>
      <c r="AV537" s="255">
        <f t="shared" si="636"/>
        <v>509097.7059</v>
      </c>
      <c r="AW537" s="256">
        <f t="shared" si="637"/>
        <v>0.39490375181437254</v>
      </c>
    </row>
    <row r="538" spans="1:49">
      <c r="A538" s="108">
        <v>536</v>
      </c>
      <c r="F538" s="45">
        <v>43140.289236111108</v>
      </c>
      <c r="G538" s="45">
        <v>43140.330266203702</v>
      </c>
      <c r="H538" s="53">
        <f>G538-F538-'user time'!U159</f>
        <v>4.0555555557118539E-2</v>
      </c>
      <c r="I538" s="86">
        <v>50.3</v>
      </c>
      <c r="J538" s="109" t="s">
        <v>260</v>
      </c>
      <c r="K538" s="88" t="s">
        <v>72</v>
      </c>
      <c r="L538" s="88" t="s">
        <v>73</v>
      </c>
      <c r="M538" s="88">
        <v>-369</v>
      </c>
      <c r="N538" s="108">
        <v>1</v>
      </c>
      <c r="O538" s="108">
        <v>200</v>
      </c>
      <c r="P538" s="88">
        <v>348</v>
      </c>
      <c r="Q538" s="88" t="s">
        <v>75</v>
      </c>
      <c r="R538" s="88" t="s">
        <v>348</v>
      </c>
      <c r="S538" s="110">
        <v>10300</v>
      </c>
      <c r="T538" s="110">
        <v>927</v>
      </c>
      <c r="U538" s="88">
        <v>983</v>
      </c>
      <c r="V538" s="90">
        <v>1500</v>
      </c>
      <c r="W538" s="111">
        <v>10</v>
      </c>
      <c r="X538" s="110">
        <v>48625</v>
      </c>
      <c r="Y538" s="110">
        <v>837994</v>
      </c>
      <c r="Z538" s="110">
        <v>7079673</v>
      </c>
      <c r="AA538" s="110">
        <v>2109334</v>
      </c>
      <c r="AB538" s="112">
        <v>4998236</v>
      </c>
      <c r="AC538" s="109">
        <v>160.1</v>
      </c>
      <c r="AD538" s="110">
        <v>-109.8</v>
      </c>
      <c r="AE538" s="110">
        <v>3.94</v>
      </c>
      <c r="AF538" s="110">
        <v>-0.76</v>
      </c>
      <c r="AG538" s="110">
        <v>109.8</v>
      </c>
      <c r="AH538" s="110">
        <v>-110</v>
      </c>
      <c r="AI538" s="110">
        <v>3.69</v>
      </c>
      <c r="AJ538" s="109">
        <v>-0.35</v>
      </c>
      <c r="AK538" s="113" t="s">
        <v>59</v>
      </c>
      <c r="AL538" s="107" t="s">
        <v>181</v>
      </c>
      <c r="AN538" s="107">
        <v>0.95099999999999996</v>
      </c>
      <c r="AO538" s="48">
        <f t="shared" si="677"/>
        <v>135171963.95261535</v>
      </c>
      <c r="AP538" s="156">
        <f t="shared" si="678"/>
        <v>94620374.766830742</v>
      </c>
      <c r="AQ538" s="161">
        <f t="shared" si="679"/>
        <v>20871206989.342632</v>
      </c>
      <c r="AR538" s="163">
        <f t="shared" si="680"/>
        <v>9.432916666630776</v>
      </c>
      <c r="AS538" s="49">
        <f t="shared" si="681"/>
        <v>0.28942460317460317</v>
      </c>
      <c r="AT538" s="165">
        <f t="shared" si="682"/>
        <v>63.587671626984125</v>
      </c>
      <c r="AU538" s="254">
        <f t="shared" si="635"/>
        <v>200597.66339999999</v>
      </c>
      <c r="AV538" s="255">
        <f t="shared" si="636"/>
        <v>510159.33659999998</v>
      </c>
      <c r="AW538" s="256">
        <f t="shared" si="637"/>
        <v>0.39320590452563325</v>
      </c>
    </row>
    <row r="539" spans="1:49">
      <c r="A539" s="108">
        <v>537</v>
      </c>
      <c r="F539" s="45">
        <v>43140.330324074072</v>
      </c>
      <c r="G539" s="45">
        <v>43140.371631944443</v>
      </c>
      <c r="H539" s="53">
        <f>G539-F539-'user time'!U160-'user time'!U161</f>
        <v>4.0405092593605862E-2</v>
      </c>
      <c r="I539" s="86">
        <v>50.33</v>
      </c>
      <c r="J539" s="109" t="s">
        <v>260</v>
      </c>
      <c r="K539" s="88" t="s">
        <v>72</v>
      </c>
      <c r="L539" s="88" t="s">
        <v>73</v>
      </c>
      <c r="M539" s="88">
        <v>-369</v>
      </c>
      <c r="N539" s="108">
        <v>1</v>
      </c>
      <c r="O539" s="108">
        <v>200</v>
      </c>
      <c r="P539" s="88">
        <v>348</v>
      </c>
      <c r="Q539" s="88" t="s">
        <v>75</v>
      </c>
      <c r="R539" s="88" t="s">
        <v>348</v>
      </c>
      <c r="S539" s="110">
        <v>10300</v>
      </c>
      <c r="T539" s="110">
        <v>922</v>
      </c>
      <c r="U539" s="88">
        <v>983</v>
      </c>
      <c r="V539" s="90">
        <v>1500</v>
      </c>
      <c r="W539" s="111">
        <v>10</v>
      </c>
      <c r="X539" s="110">
        <v>48723</v>
      </c>
      <c r="Y539" s="110">
        <v>838087</v>
      </c>
      <c r="Z539" s="110">
        <v>7069275</v>
      </c>
      <c r="AA539" s="110">
        <v>2109877</v>
      </c>
      <c r="AB539" s="112">
        <v>4987286</v>
      </c>
      <c r="AC539" s="109">
        <v>160.1</v>
      </c>
      <c r="AD539" s="110">
        <v>-109.9</v>
      </c>
      <c r="AE539" s="110">
        <v>3.94</v>
      </c>
      <c r="AF539" s="110">
        <v>-0.76</v>
      </c>
      <c r="AG539" s="110">
        <v>109.8</v>
      </c>
      <c r="AH539" s="110">
        <v>-110</v>
      </c>
      <c r="AI539" s="110">
        <v>3.69</v>
      </c>
      <c r="AJ539" s="109">
        <v>-0.35</v>
      </c>
      <c r="AK539" s="113" t="s">
        <v>59</v>
      </c>
      <c r="AL539" s="107" t="s">
        <v>181</v>
      </c>
      <c r="AN539" s="107">
        <v>0.95399999999999996</v>
      </c>
      <c r="AO539" s="48">
        <f t="shared" si="677"/>
        <v>135130074.98226923</v>
      </c>
      <c r="AP539" s="156">
        <f t="shared" si="678"/>
        <v>94591052.48758845</v>
      </c>
      <c r="AQ539" s="161">
        <f t="shared" si="679"/>
        <v>20965798041.830219</v>
      </c>
      <c r="AR539" s="163">
        <f t="shared" si="680"/>
        <v>9.4733217592243815</v>
      </c>
      <c r="AS539" s="49">
        <f t="shared" si="681"/>
        <v>0.28959722222222223</v>
      </c>
      <c r="AT539" s="165">
        <f t="shared" si="682"/>
        <v>63.877268849206345</v>
      </c>
      <c r="AU539" s="254">
        <f t="shared" si="635"/>
        <v>201282.26579999999</v>
      </c>
      <c r="AV539" s="255">
        <f t="shared" si="636"/>
        <v>508434.03419999999</v>
      </c>
      <c r="AW539" s="256">
        <f t="shared" si="637"/>
        <v>0.39588668787035342</v>
      </c>
    </row>
    <row r="540" spans="1:49">
      <c r="A540" s="108">
        <v>538</v>
      </c>
      <c r="F540" s="45">
        <v>43140.371678240743</v>
      </c>
      <c r="G540" s="45">
        <v>43140.413657407407</v>
      </c>
      <c r="H540" s="53">
        <f>G540-F540-'user time'!U162-'user time'!U163</f>
        <v>4.09837962941621E-2</v>
      </c>
      <c r="I540" s="86">
        <v>50.34</v>
      </c>
      <c r="J540" s="109" t="s">
        <v>260</v>
      </c>
      <c r="K540" s="88" t="s">
        <v>72</v>
      </c>
      <c r="L540" s="88" t="s">
        <v>73</v>
      </c>
      <c r="M540" s="88">
        <v>-369</v>
      </c>
      <c r="N540" s="108">
        <v>1</v>
      </c>
      <c r="O540" s="108">
        <v>200</v>
      </c>
      <c r="P540" s="88">
        <v>348</v>
      </c>
      <c r="Q540" s="88" t="s">
        <v>75</v>
      </c>
      <c r="R540" s="88" t="s">
        <v>348</v>
      </c>
      <c r="S540" s="110">
        <v>9777</v>
      </c>
      <c r="T540" s="110">
        <v>907</v>
      </c>
      <c r="U540" s="88">
        <v>983</v>
      </c>
      <c r="V540" s="90">
        <v>1500</v>
      </c>
      <c r="W540" s="111">
        <v>10</v>
      </c>
      <c r="X540" s="110">
        <v>48641</v>
      </c>
      <c r="Y540" s="110">
        <v>840342</v>
      </c>
      <c r="Z540" s="110">
        <v>7084457</v>
      </c>
      <c r="AA540" s="110">
        <v>2119384</v>
      </c>
      <c r="AB540" s="112">
        <v>4992320</v>
      </c>
      <c r="AC540" s="109">
        <v>160.1</v>
      </c>
      <c r="AD540" s="110">
        <v>-109.9</v>
      </c>
      <c r="AE540" s="110">
        <v>3.94</v>
      </c>
      <c r="AF540" s="110">
        <v>-0.76</v>
      </c>
      <c r="AG540" s="110">
        <v>109.8</v>
      </c>
      <c r="AH540" s="110">
        <v>-110</v>
      </c>
      <c r="AI540" s="110">
        <v>3.69</v>
      </c>
      <c r="AJ540" s="109">
        <v>-0.35</v>
      </c>
      <c r="AK540" s="113" t="s">
        <v>59</v>
      </c>
      <c r="AL540" s="107" t="s">
        <v>181</v>
      </c>
      <c r="AN540" s="107">
        <v>0.95299999999999996</v>
      </c>
      <c r="AO540" s="48">
        <f t="shared" ref="AO540" si="683">(HOUR(H540)*60*60+MINUTE(H540)*60+SECOND(H540))/5.2*AA540/W540*AN540</f>
        <v>137538769.67369232</v>
      </c>
      <c r="AP540" s="156">
        <f t="shared" ref="AP540" si="684">AO540*0.7</f>
        <v>96277138.771584615</v>
      </c>
      <c r="AQ540" s="161">
        <f t="shared" ref="AQ540" si="685">AP540+AQ539</f>
        <v>21062075180.601803</v>
      </c>
      <c r="AR540" s="163">
        <f t="shared" ref="AR540" si="686">H540+AR539</f>
        <v>9.5143055555185434</v>
      </c>
      <c r="AS540" s="49">
        <f t="shared" ref="AS540" si="687">I540*(HOUR(H540)*60+MINUTE(H540))/60/(7*24)</f>
        <v>0.29464880952380956</v>
      </c>
      <c r="AT540" s="165">
        <f t="shared" ref="AT540" si="688">AS540+AT539</f>
        <v>64.171917658730152</v>
      </c>
      <c r="AU540" s="254">
        <f t="shared" si="635"/>
        <v>201977.29519999999</v>
      </c>
      <c r="AV540" s="255">
        <f t="shared" si="636"/>
        <v>509193.10480000003</v>
      </c>
      <c r="AW540" s="256">
        <f t="shared" si="637"/>
        <v>0.39666148912077726</v>
      </c>
    </row>
    <row r="541" spans="1:49">
      <c r="A541" s="108">
        <v>539</v>
      </c>
      <c r="F541" s="45">
        <v>43140.413703703707</v>
      </c>
      <c r="G541" s="45">
        <v>43140.455729166664</v>
      </c>
      <c r="H541" s="53">
        <f>G541-F541-SUM('user time'!U164:U166)</f>
        <v>4.0787037031173146E-2</v>
      </c>
      <c r="I541" s="86">
        <v>50.38</v>
      </c>
      <c r="J541" s="109" t="s">
        <v>260</v>
      </c>
      <c r="K541" s="88" t="s">
        <v>72</v>
      </c>
      <c r="L541" s="88" t="s">
        <v>73</v>
      </c>
      <c r="M541" s="88">
        <v>-369</v>
      </c>
      <c r="N541" s="108">
        <v>1</v>
      </c>
      <c r="O541" s="108">
        <v>200</v>
      </c>
      <c r="P541" s="88">
        <v>348</v>
      </c>
      <c r="Q541" s="88" t="s">
        <v>75</v>
      </c>
      <c r="R541" s="88" t="s">
        <v>348</v>
      </c>
      <c r="S541" s="110">
        <v>10307</v>
      </c>
      <c r="T541" s="110">
        <v>927</v>
      </c>
      <c r="U541" s="88">
        <v>983</v>
      </c>
      <c r="V541" s="90">
        <v>1500</v>
      </c>
      <c r="W541" s="111">
        <v>10</v>
      </c>
      <c r="X541" s="110">
        <v>48561</v>
      </c>
      <c r="Y541" s="110">
        <v>838926</v>
      </c>
      <c r="Z541" s="110">
        <v>7060245</v>
      </c>
      <c r="AA541" s="110">
        <v>2114336</v>
      </c>
      <c r="AB541" s="112">
        <v>4973538</v>
      </c>
      <c r="AC541" s="109">
        <v>160.1</v>
      </c>
      <c r="AD541" s="110">
        <v>-109.9</v>
      </c>
      <c r="AE541" s="110">
        <v>3.94</v>
      </c>
      <c r="AF541" s="110">
        <v>-0.76</v>
      </c>
      <c r="AG541" s="110">
        <v>109.8</v>
      </c>
      <c r="AH541" s="110">
        <v>-110</v>
      </c>
      <c r="AI541" s="110">
        <v>3.69</v>
      </c>
      <c r="AJ541" s="109">
        <v>-0.35</v>
      </c>
      <c r="AK541" s="113" t="s">
        <v>59</v>
      </c>
      <c r="AL541" s="107" t="s">
        <v>181</v>
      </c>
      <c r="AN541" s="107">
        <v>0.95399999999999996</v>
      </c>
      <c r="AO541" s="48">
        <f t="shared" ref="AO541:AO542" si="689">(HOUR(H541)*60*60+MINUTE(H541)*60+SECOND(H541))/5.2*AA541/W541*AN541</f>
        <v>136695725.78953844</v>
      </c>
      <c r="AP541" s="156">
        <f t="shared" ref="AP541:AP542" si="690">AO541*0.7</f>
        <v>95687008.052676901</v>
      </c>
      <c r="AQ541" s="161">
        <f t="shared" ref="AQ541:AQ542" si="691">AP541+AQ540</f>
        <v>21157762188.65448</v>
      </c>
      <c r="AR541" s="163">
        <f t="shared" ref="AR541:AR542" si="692">H541+AR540</f>
        <v>9.5550925925497161</v>
      </c>
      <c r="AS541" s="49">
        <f t="shared" ref="AS541:AS542" si="693">I541*(HOUR(H541)*60+MINUTE(H541))/60/(7*24)</f>
        <v>0.28988492063492061</v>
      </c>
      <c r="AT541" s="165">
        <f t="shared" ref="AT541:AT542" si="694">AS541+AT540</f>
        <v>64.46180257936507</v>
      </c>
      <c r="AU541" s="254">
        <f t="shared" si="635"/>
        <v>201707.6544</v>
      </c>
      <c r="AV541" s="255">
        <f t="shared" si="636"/>
        <v>507079.74560000002</v>
      </c>
      <c r="AW541" s="256">
        <f t="shared" si="637"/>
        <v>0.39778290525355187</v>
      </c>
    </row>
    <row r="542" spans="1:49">
      <c r="A542" s="108">
        <v>540</v>
      </c>
      <c r="F542" s="45">
        <v>43140.455775462964</v>
      </c>
      <c r="G542" s="45">
        <v>43140.497488425928</v>
      </c>
      <c r="H542" s="53">
        <f>G542-F542-'user time'!U167-'user time'!U168</f>
        <v>4.091435185297293E-2</v>
      </c>
      <c r="I542" s="86">
        <v>50.33</v>
      </c>
      <c r="J542" s="109" t="s">
        <v>260</v>
      </c>
      <c r="K542" s="88" t="s">
        <v>72</v>
      </c>
      <c r="L542" s="88" t="s">
        <v>73</v>
      </c>
      <c r="M542" s="88">
        <v>-369</v>
      </c>
      <c r="N542" s="108">
        <v>1</v>
      </c>
      <c r="O542" s="108">
        <v>200</v>
      </c>
      <c r="P542" s="88">
        <v>348</v>
      </c>
      <c r="Q542" s="88" t="s">
        <v>75</v>
      </c>
      <c r="R542" s="88" t="s">
        <v>348</v>
      </c>
      <c r="S542" s="110">
        <v>10253</v>
      </c>
      <c r="T542" s="110">
        <v>921</v>
      </c>
      <c r="U542" s="88">
        <v>983</v>
      </c>
      <c r="V542" s="90">
        <v>1500</v>
      </c>
      <c r="W542" s="111">
        <v>10</v>
      </c>
      <c r="X542" s="110">
        <v>48524</v>
      </c>
      <c r="Y542" s="110">
        <v>839885</v>
      </c>
      <c r="Z542" s="110">
        <v>7076874</v>
      </c>
      <c r="AA542" s="110">
        <v>2121366</v>
      </c>
      <c r="AB542" s="112">
        <v>4982795</v>
      </c>
      <c r="AC542" s="109">
        <v>160.1</v>
      </c>
      <c r="AD542" s="110">
        <v>-109.9</v>
      </c>
      <c r="AE542" s="110">
        <v>3.94</v>
      </c>
      <c r="AF542" s="110">
        <v>-0.76</v>
      </c>
      <c r="AG542" s="110">
        <v>109.8</v>
      </c>
      <c r="AH542" s="110">
        <v>-110</v>
      </c>
      <c r="AI542" s="110">
        <v>3.69</v>
      </c>
      <c r="AJ542" s="109">
        <v>-0.35</v>
      </c>
      <c r="AK542" s="113" t="s">
        <v>59</v>
      </c>
      <c r="AL542" s="107" t="s">
        <v>181</v>
      </c>
      <c r="AN542" s="107">
        <v>0.95599999999999996</v>
      </c>
      <c r="AO542" s="48">
        <f t="shared" si="689"/>
        <v>137866760.43000001</v>
      </c>
      <c r="AP542" s="156">
        <f t="shared" si="690"/>
        <v>96506732.300999999</v>
      </c>
      <c r="AQ542" s="161">
        <f t="shared" si="691"/>
        <v>21254268920.955479</v>
      </c>
      <c r="AR542" s="163">
        <f t="shared" si="692"/>
        <v>9.5960069444026885</v>
      </c>
      <c r="AS542" s="49">
        <f t="shared" si="693"/>
        <v>0.28959722222222223</v>
      </c>
      <c r="AT542" s="165">
        <f t="shared" si="694"/>
        <v>64.751399801587297</v>
      </c>
      <c r="AU542" s="254">
        <f t="shared" si="635"/>
        <v>202802.58960000001</v>
      </c>
      <c r="AV542" s="255">
        <f t="shared" si="636"/>
        <v>507613.51040000003</v>
      </c>
      <c r="AW542" s="256">
        <f t="shared" si="637"/>
        <v>0.3995216546545251</v>
      </c>
    </row>
    <row r="543" spans="1:49">
      <c r="A543" s="108">
        <v>541</v>
      </c>
      <c r="F543" s="45">
        <v>43140.497546296298</v>
      </c>
      <c r="G543" s="45">
        <v>43140.538888888892</v>
      </c>
      <c r="H543" s="53">
        <f>G543-F543-'user time'!U169</f>
        <v>4.1018518520372638E-2</v>
      </c>
      <c r="I543" s="86">
        <v>50.23</v>
      </c>
      <c r="J543" s="109" t="s">
        <v>260</v>
      </c>
      <c r="K543" s="88" t="s">
        <v>72</v>
      </c>
      <c r="L543" s="88" t="s">
        <v>73</v>
      </c>
      <c r="M543" s="88">
        <v>-369</v>
      </c>
      <c r="N543" s="108">
        <v>1</v>
      </c>
      <c r="O543" s="108">
        <v>200</v>
      </c>
      <c r="P543" s="88">
        <v>348</v>
      </c>
      <c r="Q543" s="88" t="s">
        <v>75</v>
      </c>
      <c r="R543" s="88" t="s">
        <v>348</v>
      </c>
      <c r="S543" s="110">
        <v>10287</v>
      </c>
      <c r="T543" s="110">
        <v>923</v>
      </c>
      <c r="U543" s="88">
        <v>983</v>
      </c>
      <c r="V543" s="90">
        <v>1500</v>
      </c>
      <c r="W543" s="111">
        <v>10</v>
      </c>
      <c r="X543" s="110">
        <v>48363</v>
      </c>
      <c r="Y543" s="110">
        <v>837917</v>
      </c>
      <c r="Z543" s="110">
        <v>7025265</v>
      </c>
      <c r="AA543" s="110">
        <v>2109008</v>
      </c>
      <c r="AB543" s="112">
        <v>4943906</v>
      </c>
      <c r="AC543" s="109">
        <v>160.1</v>
      </c>
      <c r="AD543" s="110">
        <v>-109.9</v>
      </c>
      <c r="AE543" s="110">
        <v>3.94</v>
      </c>
      <c r="AF543" s="110">
        <v>-0.76</v>
      </c>
      <c r="AG543" s="110">
        <v>109.8</v>
      </c>
      <c r="AH543" s="110">
        <v>-110</v>
      </c>
      <c r="AI543" s="110">
        <v>3.69</v>
      </c>
      <c r="AJ543" s="109">
        <v>-0.34</v>
      </c>
      <c r="AK543" s="113" t="s">
        <v>59</v>
      </c>
      <c r="AL543" s="107" t="s">
        <v>181</v>
      </c>
      <c r="AN543" s="107">
        <v>0.95099999999999996</v>
      </c>
      <c r="AO543" s="48">
        <f t="shared" ref="AO543:AO544" si="695">(HOUR(H543)*60*60+MINUTE(H543)*60+SECOND(H543))/5.2*AA543/W543*AN543</f>
        <v>136693893.43753847</v>
      </c>
      <c r="AP543" s="156">
        <f t="shared" ref="AP543:AP544" si="696">AO543*0.7</f>
        <v>95685725.406276926</v>
      </c>
      <c r="AQ543" s="161">
        <f t="shared" ref="AQ543:AQ544" si="697">AP543+AQ542</f>
        <v>21349954646.361755</v>
      </c>
      <c r="AR543" s="163">
        <f t="shared" ref="AR543:AR544" si="698">H543+AR542</f>
        <v>9.6370254629230612</v>
      </c>
      <c r="AS543" s="49">
        <f t="shared" ref="AS543:AS544" si="699">I543*(HOUR(H543)*60+MINUTE(H543))/60/(7*24)</f>
        <v>0.29400496031746026</v>
      </c>
      <c r="AT543" s="165">
        <f t="shared" ref="AT543:AT544" si="700">AS543+AT542</f>
        <v>65.045404761904763</v>
      </c>
      <c r="AU543" s="254">
        <f t="shared" si="635"/>
        <v>200566.66079999998</v>
      </c>
      <c r="AV543" s="255">
        <f t="shared" si="636"/>
        <v>504724.73920000001</v>
      </c>
      <c r="AW543" s="256">
        <f t="shared" si="637"/>
        <v>0.39737830390066203</v>
      </c>
    </row>
    <row r="544" spans="1:49">
      <c r="A544" s="108">
        <v>542</v>
      </c>
      <c r="F544" s="45">
        <v>43140.538935185185</v>
      </c>
      <c r="G544" s="45">
        <v>43140.581585648149</v>
      </c>
      <c r="H544" s="53">
        <f>G544-F544-'user time'!U170-'user time'!U171</f>
        <v>3.9513888890883031E-2</v>
      </c>
      <c r="I544" s="86">
        <v>50.2</v>
      </c>
      <c r="J544" s="109" t="s">
        <v>260</v>
      </c>
      <c r="K544" s="88" t="s">
        <v>72</v>
      </c>
      <c r="L544" s="88" t="s">
        <v>73</v>
      </c>
      <c r="M544" s="88">
        <v>-369</v>
      </c>
      <c r="N544" s="108">
        <v>1</v>
      </c>
      <c r="O544" s="108">
        <v>200</v>
      </c>
      <c r="P544" s="88">
        <v>348</v>
      </c>
      <c r="Q544" s="88" t="s">
        <v>75</v>
      </c>
      <c r="R544" s="88" t="s">
        <v>348</v>
      </c>
      <c r="S544" s="110">
        <v>10168</v>
      </c>
      <c r="T544" s="110">
        <v>912</v>
      </c>
      <c r="U544" s="88">
        <v>983</v>
      </c>
      <c r="V544" s="90">
        <v>1500</v>
      </c>
      <c r="W544" s="111">
        <v>10</v>
      </c>
      <c r="X544" s="110">
        <v>48416</v>
      </c>
      <c r="Y544" s="110">
        <v>837165</v>
      </c>
      <c r="Z544" s="110">
        <v>7032618</v>
      </c>
      <c r="AA544" s="110">
        <v>2100921</v>
      </c>
      <c r="AB544" s="112">
        <v>4959209</v>
      </c>
      <c r="AC544" s="109">
        <v>160.1</v>
      </c>
      <c r="AD544" s="110">
        <v>-109.8</v>
      </c>
      <c r="AE544" s="110">
        <v>3.94</v>
      </c>
      <c r="AF544" s="110">
        <v>-0.76</v>
      </c>
      <c r="AG544" s="110">
        <v>109.8</v>
      </c>
      <c r="AH544" s="110">
        <v>-110</v>
      </c>
      <c r="AI544" s="110">
        <v>3.7</v>
      </c>
      <c r="AJ544" s="109">
        <v>-0.35</v>
      </c>
      <c r="AK544" s="113" t="s">
        <v>59</v>
      </c>
      <c r="AL544" s="107" t="s">
        <v>181</v>
      </c>
      <c r="AN544" s="107">
        <v>0.95199999999999996</v>
      </c>
      <c r="AO544" s="48">
        <f t="shared" si="695"/>
        <v>131312733.99784617</v>
      </c>
      <c r="AP544" s="156">
        <f t="shared" si="696"/>
        <v>91918913.798492312</v>
      </c>
      <c r="AQ544" s="161">
        <f t="shared" si="697"/>
        <v>21441873560.160248</v>
      </c>
      <c r="AR544" s="163">
        <f t="shared" si="698"/>
        <v>9.6765393518139433</v>
      </c>
      <c r="AS544" s="49">
        <f t="shared" si="699"/>
        <v>0.27888888888888891</v>
      </c>
      <c r="AT544" s="165">
        <f t="shared" si="700"/>
        <v>65.324293650793649</v>
      </c>
      <c r="AU544" s="254">
        <f t="shared" si="635"/>
        <v>200007.67919999998</v>
      </c>
      <c r="AV544" s="255">
        <f t="shared" si="636"/>
        <v>506005.32080000004</v>
      </c>
      <c r="AW544" s="256">
        <f t="shared" si="637"/>
        <v>0.39526793687423212</v>
      </c>
    </row>
    <row r="545" spans="1:49">
      <c r="A545" s="108">
        <v>543</v>
      </c>
      <c r="F545" s="45">
        <v>43140.581620370373</v>
      </c>
      <c r="G545" s="45">
        <v>43140.621724537035</v>
      </c>
      <c r="H545" s="53">
        <f>G545-F545-SUM('user time'!U172:U176)</f>
        <v>3.7673611107230665E-2</v>
      </c>
      <c r="I545" s="86">
        <v>50.27</v>
      </c>
      <c r="J545" s="109" t="s">
        <v>260</v>
      </c>
      <c r="K545" s="88" t="s">
        <v>72</v>
      </c>
      <c r="L545" s="88" t="s">
        <v>73</v>
      </c>
      <c r="M545" s="88">
        <v>-369</v>
      </c>
      <c r="N545" s="108">
        <v>1</v>
      </c>
      <c r="O545" s="108">
        <v>200</v>
      </c>
      <c r="P545" s="88">
        <v>348</v>
      </c>
      <c r="Q545" s="88" t="s">
        <v>75</v>
      </c>
      <c r="R545" s="88" t="s">
        <v>348</v>
      </c>
      <c r="S545" s="110">
        <v>10302</v>
      </c>
      <c r="T545" s="110">
        <v>899</v>
      </c>
      <c r="U545" s="88">
        <v>983</v>
      </c>
      <c r="V545" s="90">
        <v>1500</v>
      </c>
      <c r="W545" s="111">
        <v>10</v>
      </c>
      <c r="X545" s="110">
        <v>47943</v>
      </c>
      <c r="Y545" s="110">
        <v>839534</v>
      </c>
      <c r="Z545" s="110">
        <v>7052863</v>
      </c>
      <c r="AA545" s="110">
        <v>2108919</v>
      </c>
      <c r="AB545" s="112">
        <v>4971596</v>
      </c>
      <c r="AC545" s="109">
        <v>160.1</v>
      </c>
      <c r="AD545" s="110">
        <v>-109.8</v>
      </c>
      <c r="AE545" s="110">
        <v>3.94</v>
      </c>
      <c r="AF545" s="110">
        <v>-0.76</v>
      </c>
      <c r="AG545" s="110">
        <v>109.8</v>
      </c>
      <c r="AH545" s="110">
        <v>-110</v>
      </c>
      <c r="AI545" s="110">
        <v>3.7</v>
      </c>
      <c r="AJ545" s="109">
        <v>-0.35</v>
      </c>
      <c r="AK545" s="113" t="s">
        <v>59</v>
      </c>
      <c r="AL545" s="107" t="s">
        <v>181</v>
      </c>
      <c r="AN545" s="107">
        <v>0.95299999999999996</v>
      </c>
      <c r="AO545" s="48">
        <f t="shared" ref="AO545" si="701">(HOUR(H545)*60*60+MINUTE(H545)*60+SECOND(H545))/5.2*AA545/W545*AN545</f>
        <v>125805737.91894229</v>
      </c>
      <c r="AP545" s="156">
        <f t="shared" ref="AP545" si="702">AO545*0.7</f>
        <v>88064016.543259591</v>
      </c>
      <c r="AQ545" s="161">
        <f t="shared" ref="AQ545" si="703">AP545+AQ544</f>
        <v>21529937576.703506</v>
      </c>
      <c r="AR545" s="163">
        <f t="shared" ref="AR545" si="704">H545+AR544</f>
        <v>9.7142129629211738</v>
      </c>
      <c r="AS545" s="49">
        <f t="shared" ref="AS545" si="705">I545*(HOUR(H545)*60+MINUTE(H545))/60/(7*24)</f>
        <v>0.26930357142857148</v>
      </c>
      <c r="AT545" s="165">
        <f t="shared" ref="AT545" si="706">AS545+AT544</f>
        <v>65.593597222222215</v>
      </c>
      <c r="AU545" s="254">
        <f t="shared" si="635"/>
        <v>200979.98069999999</v>
      </c>
      <c r="AV545" s="255">
        <f t="shared" si="636"/>
        <v>507071.51929999999</v>
      </c>
      <c r="AW545" s="256">
        <f t="shared" si="637"/>
        <v>0.39635430713491465</v>
      </c>
    </row>
    <row r="546" spans="1:49">
      <c r="A546" s="108">
        <v>544</v>
      </c>
      <c r="F546" s="45">
        <v>43140.624699074076</v>
      </c>
      <c r="G546" s="45">
        <v>43140.643263888887</v>
      </c>
      <c r="H546" s="53">
        <f>G546-F546-'user time'!U178</f>
        <v>1.8217592588593456E-2</v>
      </c>
      <c r="I546" s="86">
        <v>50.2</v>
      </c>
      <c r="J546" s="109" t="s">
        <v>260</v>
      </c>
      <c r="K546" s="88" t="s">
        <v>72</v>
      </c>
      <c r="L546" s="88" t="s">
        <v>73</v>
      </c>
      <c r="M546" s="88">
        <v>-369</v>
      </c>
      <c r="N546" s="108">
        <v>1</v>
      </c>
      <c r="O546" s="108">
        <v>200</v>
      </c>
      <c r="P546" s="88">
        <v>348</v>
      </c>
      <c r="Q546" s="88" t="s">
        <v>75</v>
      </c>
      <c r="R546" s="88" t="s">
        <v>348</v>
      </c>
      <c r="S546" s="110">
        <v>10279</v>
      </c>
      <c r="T546" s="110">
        <v>914</v>
      </c>
      <c r="U546" s="88">
        <v>983</v>
      </c>
      <c r="V546" s="90">
        <v>1500</v>
      </c>
      <c r="W546" s="111">
        <v>10</v>
      </c>
      <c r="X546" s="110">
        <v>48496</v>
      </c>
      <c r="Y546" s="110">
        <v>840046</v>
      </c>
      <c r="Z546" s="110">
        <v>7073319</v>
      </c>
      <c r="AA546" s="110">
        <v>2114304</v>
      </c>
      <c r="AB546" s="112">
        <v>4987356</v>
      </c>
      <c r="AC546" s="109">
        <v>160.1</v>
      </c>
      <c r="AD546" s="110">
        <v>-109.8</v>
      </c>
      <c r="AE546" s="110">
        <v>3.94</v>
      </c>
      <c r="AF546" s="110">
        <v>-0.76</v>
      </c>
      <c r="AG546" s="110">
        <v>109.8</v>
      </c>
      <c r="AH546" s="110">
        <v>-110</v>
      </c>
      <c r="AI546" s="110">
        <v>3.71</v>
      </c>
      <c r="AJ546" s="109">
        <v>-0.35</v>
      </c>
      <c r="AK546" s="113" t="s">
        <v>59</v>
      </c>
      <c r="AL546" s="107" t="s">
        <v>459</v>
      </c>
      <c r="AN546" s="107">
        <v>0.95099999999999996</v>
      </c>
      <c r="AO546" s="48">
        <f t="shared" ref="AO546:AO547" si="707">(HOUR(H546)*60*60+MINUTE(H546)*60+SECOND(H546))/5.2*AA546/W546*AN546</f>
        <v>60862436.26338461</v>
      </c>
      <c r="AP546" s="156">
        <f t="shared" ref="AP546:AP547" si="708">AO546*0.7</f>
        <v>42603705.384369224</v>
      </c>
      <c r="AQ546" s="161">
        <f t="shared" ref="AQ546:AQ547" si="709">AP546+AQ545</f>
        <v>21572541282.087875</v>
      </c>
      <c r="AR546" s="163">
        <f t="shared" ref="AR546:AR547" si="710">H546+AR545</f>
        <v>9.732430555509767</v>
      </c>
      <c r="AS546" s="49">
        <f t="shared" ref="AS546:AS547" si="711">I546*(HOUR(H546)*60+MINUTE(H546))/60/(7*24)</f>
        <v>0.12948412698412698</v>
      </c>
      <c r="AT546" s="165">
        <f t="shared" ref="AT546:AT547" si="712">AS546+AT545</f>
        <v>65.723081349206339</v>
      </c>
      <c r="AU546" s="254">
        <f t="shared" si="635"/>
        <v>201070.31039999999</v>
      </c>
      <c r="AV546" s="255">
        <f t="shared" si="636"/>
        <v>509095.68959999998</v>
      </c>
      <c r="AW546" s="256">
        <f t="shared" si="637"/>
        <v>0.39495582953763042</v>
      </c>
    </row>
    <row r="547" spans="1:49">
      <c r="A547" s="108">
        <v>545</v>
      </c>
      <c r="F547" s="45">
        <v>43140.644120370373</v>
      </c>
      <c r="G547" s="45">
        <v>43140.684560185182</v>
      </c>
      <c r="H547" s="53">
        <f>G547-F547-SUM('user time'!U179:U181)</f>
        <v>3.9201388883434607E-2</v>
      </c>
      <c r="I547" s="86">
        <v>50.22</v>
      </c>
      <c r="J547" s="109" t="s">
        <v>260</v>
      </c>
      <c r="K547" s="88" t="s">
        <v>72</v>
      </c>
      <c r="L547" s="88" t="s">
        <v>73</v>
      </c>
      <c r="M547" s="88">
        <v>-369</v>
      </c>
      <c r="N547" s="108">
        <v>1</v>
      </c>
      <c r="O547" s="108">
        <v>200</v>
      </c>
      <c r="P547" s="88">
        <v>348</v>
      </c>
      <c r="Q547" s="88" t="s">
        <v>75</v>
      </c>
      <c r="R547" s="88" t="s">
        <v>348</v>
      </c>
      <c r="S547" s="110">
        <v>10024</v>
      </c>
      <c r="T547" s="110">
        <v>872</v>
      </c>
      <c r="U547" s="88">
        <v>983</v>
      </c>
      <c r="V547" s="90">
        <v>1500</v>
      </c>
      <c r="W547" s="111">
        <v>10</v>
      </c>
      <c r="X547" s="110">
        <v>48571</v>
      </c>
      <c r="Y547" s="110">
        <v>840466</v>
      </c>
      <c r="Z547" s="110">
        <v>7065018</v>
      </c>
      <c r="AA547" s="110">
        <v>2114322</v>
      </c>
      <c r="AB547" s="112">
        <v>4978116</v>
      </c>
      <c r="AC547" s="109">
        <v>160.1</v>
      </c>
      <c r="AD547" s="110">
        <v>-109.8</v>
      </c>
      <c r="AE547" s="110">
        <v>3.94</v>
      </c>
      <c r="AF547" s="110">
        <v>-0.76</v>
      </c>
      <c r="AG547" s="110">
        <v>109.8</v>
      </c>
      <c r="AH547" s="110">
        <v>-110</v>
      </c>
      <c r="AI547" s="110">
        <v>3.71</v>
      </c>
      <c r="AJ547" s="109">
        <v>-0.34</v>
      </c>
      <c r="AK547" s="113" t="s">
        <v>59</v>
      </c>
      <c r="AL547" s="107" t="s">
        <v>181</v>
      </c>
      <c r="AN547" s="107">
        <v>0.95199999999999996</v>
      </c>
      <c r="AO547" s="48">
        <f t="shared" si="707"/>
        <v>131105203.8563077</v>
      </c>
      <c r="AP547" s="156">
        <f t="shared" si="708"/>
        <v>91773642.699415386</v>
      </c>
      <c r="AQ547" s="161">
        <f t="shared" si="709"/>
        <v>21664314924.787292</v>
      </c>
      <c r="AR547" s="163">
        <f t="shared" si="710"/>
        <v>9.7716319443932012</v>
      </c>
      <c r="AS547" s="49">
        <f t="shared" si="711"/>
        <v>0.27899999999999997</v>
      </c>
      <c r="AT547" s="165">
        <f t="shared" si="712"/>
        <v>66.002081349206335</v>
      </c>
      <c r="AU547" s="254">
        <f t="shared" si="635"/>
        <v>201283.45439999999</v>
      </c>
      <c r="AV547" s="255">
        <f t="shared" si="636"/>
        <v>507960.3456</v>
      </c>
      <c r="AW547" s="256">
        <f t="shared" si="637"/>
        <v>0.39625820429396919</v>
      </c>
    </row>
    <row r="548" spans="1:49">
      <c r="A548" s="108">
        <v>546</v>
      </c>
      <c r="F548" s="45">
        <v>43140.684583333335</v>
      </c>
      <c r="G548" s="45">
        <v>43140.731423611112</v>
      </c>
      <c r="H548" s="53">
        <f>G548-F548-'user time'!U182</f>
        <v>4.6168981480640636E-2</v>
      </c>
      <c r="I548" s="86">
        <v>50.22</v>
      </c>
      <c r="J548" s="109" t="s">
        <v>260</v>
      </c>
      <c r="K548" s="88" t="s">
        <v>72</v>
      </c>
      <c r="L548" s="88" t="s">
        <v>73</v>
      </c>
      <c r="M548" s="88">
        <v>-369</v>
      </c>
      <c r="N548" s="108">
        <v>1</v>
      </c>
      <c r="O548" s="108">
        <v>200</v>
      </c>
      <c r="P548" s="88">
        <v>348</v>
      </c>
      <c r="Q548" s="88" t="s">
        <v>75</v>
      </c>
      <c r="R548" s="88" t="s">
        <v>348</v>
      </c>
      <c r="S548" s="110">
        <v>10000</v>
      </c>
      <c r="T548" s="110">
        <v>914</v>
      </c>
      <c r="U548" s="88">
        <v>983</v>
      </c>
      <c r="V548" s="90">
        <v>1500</v>
      </c>
      <c r="W548" s="111">
        <v>10</v>
      </c>
      <c r="X548" s="110">
        <v>48681</v>
      </c>
      <c r="Y548" s="110">
        <v>837649</v>
      </c>
      <c r="Z548" s="110">
        <v>7081993</v>
      </c>
      <c r="AA548" s="110">
        <v>2104811</v>
      </c>
      <c r="AB548" s="112">
        <v>5005396</v>
      </c>
      <c r="AC548" s="109">
        <v>160.1</v>
      </c>
      <c r="AD548" s="110">
        <v>-109.8</v>
      </c>
      <c r="AE548" s="110">
        <v>3.94</v>
      </c>
      <c r="AF548" s="110">
        <v>-0.76</v>
      </c>
      <c r="AG548" s="110">
        <v>109.8</v>
      </c>
      <c r="AH548" s="110">
        <v>-110</v>
      </c>
      <c r="AI548" s="110">
        <v>3.71</v>
      </c>
      <c r="AJ548" s="109">
        <v>-0.35</v>
      </c>
      <c r="AK548" s="113" t="s">
        <v>59</v>
      </c>
      <c r="AL548" s="107" t="s">
        <v>648</v>
      </c>
      <c r="AN548" s="107">
        <v>0.95199999999999996</v>
      </c>
      <c r="AO548" s="48">
        <f t="shared" ref="AO548" si="713">(HOUR(H548)*60*60+MINUTE(H548)*60+SECOND(H548))/5.2*AA548/W548*AN548</f>
        <v>153713052.0616923</v>
      </c>
      <c r="AP548" s="156">
        <f t="shared" ref="AP548" si="714">AO548*0.7</f>
        <v>107599136.4431846</v>
      </c>
      <c r="AQ548" s="161">
        <f t="shared" ref="AQ548" si="715">AP548+AQ547</f>
        <v>21771914061.230476</v>
      </c>
      <c r="AR548" s="163">
        <f t="shared" ref="AR548" si="716">H548+AR547</f>
        <v>9.8178009258738417</v>
      </c>
      <c r="AS548" s="49">
        <f t="shared" ref="AS548" si="717">I548*(HOUR(H548)*60+MINUTE(H548))/60/(7*24)</f>
        <v>0.32882142857142854</v>
      </c>
      <c r="AT548" s="165">
        <f t="shared" ref="AT548" si="718">AS548+AT547</f>
        <v>66.330902777777766</v>
      </c>
      <c r="AU548" s="254">
        <f t="shared" si="635"/>
        <v>200378.00719999999</v>
      </c>
      <c r="AV548" s="255">
        <f t="shared" si="636"/>
        <v>510642.69279999996</v>
      </c>
      <c r="AW548" s="256">
        <f t="shared" si="637"/>
        <v>0.39240355345392303</v>
      </c>
    </row>
    <row r="549" spans="1:49">
      <c r="A549" s="108">
        <v>547</v>
      </c>
      <c r="F549" s="45">
        <v>43140.750821759262</v>
      </c>
      <c r="G549" s="45">
        <v>43140.792766203704</v>
      </c>
      <c r="H549" s="53">
        <f>G549-F549-'user time'!U184</f>
        <v>4.1493055552580538E-2</v>
      </c>
      <c r="I549" s="86">
        <v>50.13</v>
      </c>
      <c r="J549" s="109" t="s">
        <v>260</v>
      </c>
      <c r="K549" s="88" t="s">
        <v>72</v>
      </c>
      <c r="L549" s="88" t="s">
        <v>73</v>
      </c>
      <c r="M549" s="88">
        <v>-369</v>
      </c>
      <c r="N549" s="108">
        <v>1</v>
      </c>
      <c r="O549" s="108">
        <v>200</v>
      </c>
      <c r="P549" s="88">
        <v>348</v>
      </c>
      <c r="Q549" s="88" t="s">
        <v>75</v>
      </c>
      <c r="R549" s="88" t="s">
        <v>348</v>
      </c>
      <c r="S549" s="110">
        <v>10000</v>
      </c>
      <c r="T549" s="110">
        <v>914</v>
      </c>
      <c r="U549" s="88">
        <v>983</v>
      </c>
      <c r="V549" s="90">
        <v>1500</v>
      </c>
      <c r="W549" s="111">
        <v>10</v>
      </c>
      <c r="X549" s="110">
        <v>48731</v>
      </c>
      <c r="Y549" s="110">
        <v>838644</v>
      </c>
      <c r="Z549" s="110">
        <v>7055557</v>
      </c>
      <c r="AA549" s="110">
        <v>2106196</v>
      </c>
      <c r="AB549" s="112">
        <v>4977635</v>
      </c>
      <c r="AC549" s="109">
        <v>160.1</v>
      </c>
      <c r="AD549" s="110">
        <v>-109.8</v>
      </c>
      <c r="AE549" s="110">
        <v>3.94</v>
      </c>
      <c r="AF549" s="110">
        <v>-0.76</v>
      </c>
      <c r="AG549" s="110">
        <v>109.8</v>
      </c>
      <c r="AH549" s="110">
        <v>-110</v>
      </c>
      <c r="AI549" s="110">
        <v>3.71</v>
      </c>
      <c r="AJ549" s="109">
        <v>-0.34</v>
      </c>
      <c r="AK549" s="113" t="s">
        <v>59</v>
      </c>
      <c r="AL549" s="107" t="s">
        <v>624</v>
      </c>
      <c r="AN549" s="107">
        <v>0.95299999999999996</v>
      </c>
      <c r="AO549" s="48">
        <f t="shared" ref="AO549:AO561" si="719">(HOUR(H549)*60*60+MINUTE(H549)*60+SECOND(H549))/5.2*AA549/W549*AN549</f>
        <v>138381330.09576923</v>
      </c>
      <c r="AP549" s="156">
        <f t="shared" ref="AP549:AP561" si="720">AO549*0.7</f>
        <v>96866931.067038447</v>
      </c>
      <c r="AQ549" s="161">
        <f t="shared" ref="AQ549:AQ561" si="721">AP549+AQ548</f>
        <v>21868780992.297516</v>
      </c>
      <c r="AR549" s="163">
        <f t="shared" ref="AR549:AR561" si="722">H549+AR548</f>
        <v>9.859293981426422</v>
      </c>
      <c r="AS549" s="49">
        <f t="shared" ref="AS549:AS561" si="723">I549*(HOUR(H549)*60+MINUTE(H549))/60/(7*24)</f>
        <v>0.29341964285714284</v>
      </c>
      <c r="AT549" s="165">
        <f t="shared" ref="AT549:AT561" si="724">AS549+AT548</f>
        <v>66.624322420634911</v>
      </c>
      <c r="AU549" s="254">
        <f t="shared" si="635"/>
        <v>200720.47879999998</v>
      </c>
      <c r="AV549" s="255">
        <f t="shared" si="636"/>
        <v>507662.62119999999</v>
      </c>
      <c r="AW549" s="256">
        <f t="shared" si="637"/>
        <v>0.39538163815476907</v>
      </c>
    </row>
    <row r="550" spans="1:49">
      <c r="A550" s="108">
        <v>548</v>
      </c>
      <c r="F550" s="45">
        <v>43140.804108796299</v>
      </c>
      <c r="G550" s="45">
        <v>43140.846203703702</v>
      </c>
      <c r="H550" s="53">
        <f>G550-F550</f>
        <v>4.2094907403225079E-2</v>
      </c>
      <c r="I550" s="86">
        <v>50.34</v>
      </c>
      <c r="J550" s="109" t="s">
        <v>260</v>
      </c>
      <c r="K550" s="88" t="s">
        <v>72</v>
      </c>
      <c r="L550" s="88" t="s">
        <v>73</v>
      </c>
      <c r="M550" s="88">
        <v>-369</v>
      </c>
      <c r="N550" s="108">
        <v>1</v>
      </c>
      <c r="O550" s="108">
        <v>200</v>
      </c>
      <c r="P550" s="88">
        <v>348</v>
      </c>
      <c r="Q550" s="88" t="s">
        <v>75</v>
      </c>
      <c r="R550" s="88" t="s">
        <v>348</v>
      </c>
      <c r="S550" s="110">
        <v>10000</v>
      </c>
      <c r="T550" s="110">
        <v>914</v>
      </c>
      <c r="U550" s="88">
        <v>983</v>
      </c>
      <c r="V550" s="90">
        <v>1500</v>
      </c>
      <c r="W550" s="111">
        <v>10</v>
      </c>
      <c r="X550" s="110">
        <v>48972</v>
      </c>
      <c r="Y550" s="110">
        <v>838682</v>
      </c>
      <c r="Z550" s="110">
        <v>7054520</v>
      </c>
      <c r="AA550" s="110">
        <v>2116400</v>
      </c>
      <c r="AB550" s="112">
        <v>4965952</v>
      </c>
      <c r="AC550" s="109">
        <v>160.1</v>
      </c>
      <c r="AD550" s="110">
        <v>-109.8</v>
      </c>
      <c r="AE550" s="110">
        <v>3.94</v>
      </c>
      <c r="AF550" s="110">
        <v>-0.76</v>
      </c>
      <c r="AG550" s="110">
        <v>109.8</v>
      </c>
      <c r="AH550" s="110">
        <v>-110</v>
      </c>
      <c r="AI550" s="110">
        <v>3.71</v>
      </c>
      <c r="AJ550" s="109">
        <v>-0.35</v>
      </c>
      <c r="AK550" s="113" t="s">
        <v>59</v>
      </c>
      <c r="AL550" s="107" t="s">
        <v>181</v>
      </c>
      <c r="AN550" s="107">
        <v>0.95099999999999996</v>
      </c>
      <c r="AO550" s="48">
        <f t="shared" si="719"/>
        <v>140772630.90000001</v>
      </c>
      <c r="AP550" s="156">
        <f t="shared" si="720"/>
        <v>98540841.629999995</v>
      </c>
      <c r="AQ550" s="161">
        <f t="shared" si="721"/>
        <v>21967321833.927517</v>
      </c>
      <c r="AR550" s="163">
        <f t="shared" si="722"/>
        <v>9.9013888888296471</v>
      </c>
      <c r="AS550" s="49">
        <f t="shared" si="723"/>
        <v>0.29964285714285716</v>
      </c>
      <c r="AT550" s="165">
        <f t="shared" si="724"/>
        <v>66.923965277777768</v>
      </c>
      <c r="AU550" s="254">
        <f t="shared" si="635"/>
        <v>201269.63999999998</v>
      </c>
      <c r="AV550" s="255">
        <f t="shared" si="636"/>
        <v>506965.56</v>
      </c>
      <c r="AW550" s="256">
        <f t="shared" si="637"/>
        <v>0.39700850685005107</v>
      </c>
    </row>
    <row r="551" spans="1:49">
      <c r="A551" s="108">
        <v>549</v>
      </c>
      <c r="F551" s="45">
        <v>43140.846666666665</v>
      </c>
      <c r="G551" s="45">
        <v>43140.889502314814</v>
      </c>
      <c r="H551" s="53">
        <f>G551-F551-'user time'!U187-'user time'!U188</f>
        <v>4.2199074075701781E-2</v>
      </c>
      <c r="I551" s="86">
        <v>50.31</v>
      </c>
      <c r="J551" s="109" t="s">
        <v>260</v>
      </c>
      <c r="K551" s="88" t="s">
        <v>72</v>
      </c>
      <c r="L551" s="88" t="s">
        <v>73</v>
      </c>
      <c r="M551" s="88">
        <v>-369</v>
      </c>
      <c r="N551" s="108">
        <v>1</v>
      </c>
      <c r="O551" s="108">
        <v>200</v>
      </c>
      <c r="P551" s="88">
        <v>348</v>
      </c>
      <c r="Q551" s="88" t="s">
        <v>75</v>
      </c>
      <c r="R551" s="88" t="s">
        <v>348</v>
      </c>
      <c r="S551" s="110">
        <v>10000</v>
      </c>
      <c r="T551" s="110">
        <v>911</v>
      </c>
      <c r="U551" s="88">
        <v>983</v>
      </c>
      <c r="V551" s="90">
        <v>1500</v>
      </c>
      <c r="W551" s="111">
        <v>10</v>
      </c>
      <c r="X551" s="110">
        <v>48520</v>
      </c>
      <c r="Y551" s="110">
        <v>839980</v>
      </c>
      <c r="Z551" s="110">
        <v>7052167</v>
      </c>
      <c r="AA551" s="110">
        <v>2110896</v>
      </c>
      <c r="AB551" s="112">
        <v>4969525</v>
      </c>
      <c r="AC551" s="109">
        <v>160.1</v>
      </c>
      <c r="AD551" s="110">
        <v>-109.9</v>
      </c>
      <c r="AE551" s="110">
        <v>3.94</v>
      </c>
      <c r="AF551" s="110">
        <v>-0.76</v>
      </c>
      <c r="AG551" s="110">
        <v>109.8</v>
      </c>
      <c r="AH551" s="110">
        <v>-110</v>
      </c>
      <c r="AI551" s="110">
        <v>3.7</v>
      </c>
      <c r="AJ551" s="109">
        <v>-0.35</v>
      </c>
      <c r="AK551" s="113" t="s">
        <v>59</v>
      </c>
      <c r="AL551" s="107" t="s">
        <v>181</v>
      </c>
      <c r="AN551" s="107">
        <v>0.95399999999999996</v>
      </c>
      <c r="AO551" s="48">
        <f t="shared" si="719"/>
        <v>141197995.81661537</v>
      </c>
      <c r="AP551" s="156">
        <f t="shared" si="720"/>
        <v>98838597.071630761</v>
      </c>
      <c r="AQ551" s="161">
        <f t="shared" si="721"/>
        <v>22066160430.999149</v>
      </c>
      <c r="AR551" s="163">
        <f t="shared" si="722"/>
        <v>9.9435879629053492</v>
      </c>
      <c r="AS551" s="49">
        <f t="shared" si="723"/>
        <v>0.29946428571428579</v>
      </c>
      <c r="AT551" s="165">
        <f t="shared" si="724"/>
        <v>67.223429563492047</v>
      </c>
      <c r="AU551" s="254">
        <f t="shared" si="635"/>
        <v>201379.47839999999</v>
      </c>
      <c r="AV551" s="255">
        <f t="shared" si="636"/>
        <v>506662.62160000001</v>
      </c>
      <c r="AW551" s="256">
        <f t="shared" si="637"/>
        <v>0.39746267005854846</v>
      </c>
    </row>
    <row r="552" spans="1:49">
      <c r="A552" s="108">
        <v>550</v>
      </c>
      <c r="F552" s="45">
        <v>43140.889525462961</v>
      </c>
      <c r="G552" s="45">
        <v>43140.931747685187</v>
      </c>
      <c r="H552" s="53">
        <f>G552-F552</f>
        <v>4.2222222225973383E-2</v>
      </c>
      <c r="I552" s="86">
        <v>50.24</v>
      </c>
      <c r="J552" s="109" t="s">
        <v>260</v>
      </c>
      <c r="K552" s="88" t="s">
        <v>72</v>
      </c>
      <c r="L552" s="88" t="s">
        <v>73</v>
      </c>
      <c r="M552" s="88">
        <v>-369</v>
      </c>
      <c r="N552" s="108">
        <v>1</v>
      </c>
      <c r="O552" s="108">
        <v>200</v>
      </c>
      <c r="P552" s="88">
        <v>348</v>
      </c>
      <c r="Q552" s="88" t="s">
        <v>75</v>
      </c>
      <c r="R552" s="88" t="s">
        <v>348</v>
      </c>
      <c r="S552" s="110">
        <v>10000</v>
      </c>
      <c r="T552" s="110">
        <v>913</v>
      </c>
      <c r="U552" s="88">
        <v>983</v>
      </c>
      <c r="V552" s="90">
        <v>1500</v>
      </c>
      <c r="W552" s="111">
        <v>10</v>
      </c>
      <c r="X552" s="110">
        <v>48402</v>
      </c>
      <c r="Y552" s="110">
        <v>839671</v>
      </c>
      <c r="Z552" s="110">
        <v>7038945</v>
      </c>
      <c r="AA552" s="110">
        <v>2107197</v>
      </c>
      <c r="AB552" s="112">
        <v>4959882</v>
      </c>
      <c r="AC552" s="109">
        <v>160.1</v>
      </c>
      <c r="AD552" s="110">
        <v>-109.9</v>
      </c>
      <c r="AE552" s="110">
        <v>3.94</v>
      </c>
      <c r="AF552" s="110">
        <v>-0.76</v>
      </c>
      <c r="AG552" s="110">
        <v>109.8</v>
      </c>
      <c r="AH552" s="110">
        <v>-110</v>
      </c>
      <c r="AI552" s="110">
        <v>3.7</v>
      </c>
      <c r="AJ552" s="109">
        <v>-0.35</v>
      </c>
      <c r="AK552" s="113" t="s">
        <v>59</v>
      </c>
      <c r="AL552" s="107" t="s">
        <v>181</v>
      </c>
      <c r="AN552" s="107">
        <v>0.95399999999999996</v>
      </c>
      <c r="AO552" s="48">
        <f t="shared" si="719"/>
        <v>141027887.34276921</v>
      </c>
      <c r="AP552" s="156">
        <f t="shared" si="720"/>
        <v>98719521.139938444</v>
      </c>
      <c r="AQ552" s="161">
        <f t="shared" si="721"/>
        <v>22164879952.139088</v>
      </c>
      <c r="AR552" s="163">
        <f t="shared" si="722"/>
        <v>9.9858101851313226</v>
      </c>
      <c r="AS552" s="49">
        <f t="shared" si="723"/>
        <v>0.29904761904761906</v>
      </c>
      <c r="AT552" s="165">
        <f t="shared" si="724"/>
        <v>67.52247718253966</v>
      </c>
      <c r="AU552" s="254">
        <f t="shared" si="635"/>
        <v>201026.5938</v>
      </c>
      <c r="AV552" s="255">
        <f t="shared" si="636"/>
        <v>505681.30619999999</v>
      </c>
      <c r="AW552" s="256">
        <f t="shared" si="637"/>
        <v>0.39753613854274611</v>
      </c>
    </row>
    <row r="553" spans="1:49">
      <c r="A553" s="108">
        <v>551</v>
      </c>
      <c r="F553" s="45">
        <v>43140.931770833333</v>
      </c>
      <c r="G553" s="45">
        <v>43140.965104166666</v>
      </c>
      <c r="H553" s="53">
        <f>G553-F553</f>
        <v>3.3333333332848269E-2</v>
      </c>
      <c r="I553" s="86">
        <v>50.2</v>
      </c>
      <c r="J553" s="109" t="s">
        <v>260</v>
      </c>
      <c r="K553" s="88" t="s">
        <v>72</v>
      </c>
      <c r="L553" s="88" t="s">
        <v>73</v>
      </c>
      <c r="M553" s="88">
        <v>-369</v>
      </c>
      <c r="N553" s="108">
        <v>1</v>
      </c>
      <c r="O553" s="108">
        <v>200</v>
      </c>
      <c r="P553" s="88">
        <v>348</v>
      </c>
      <c r="Q553" s="88" t="s">
        <v>75</v>
      </c>
      <c r="R553" s="88" t="s">
        <v>348</v>
      </c>
      <c r="S553" s="110">
        <v>10000</v>
      </c>
      <c r="T553" s="110">
        <v>913</v>
      </c>
      <c r="U553" s="88">
        <v>983</v>
      </c>
      <c r="V553" s="90">
        <v>1500</v>
      </c>
      <c r="W553" s="111">
        <v>10</v>
      </c>
      <c r="X553" s="110">
        <v>48503</v>
      </c>
      <c r="Y553" s="110">
        <v>838777</v>
      </c>
      <c r="Z553" s="110">
        <v>7042311</v>
      </c>
      <c r="AA553" s="110">
        <v>2112105</v>
      </c>
      <c r="AB553" s="112">
        <v>4958173</v>
      </c>
      <c r="AC553" s="109">
        <v>160.1</v>
      </c>
      <c r="AD553" s="110">
        <v>-109.9</v>
      </c>
      <c r="AE553" s="110">
        <v>3.94</v>
      </c>
      <c r="AF553" s="110">
        <v>-0.76</v>
      </c>
      <c r="AG553" s="110">
        <v>109.8</v>
      </c>
      <c r="AH553" s="110">
        <v>-110</v>
      </c>
      <c r="AI553" s="110">
        <v>3.7</v>
      </c>
      <c r="AJ553" s="109">
        <v>-0.35</v>
      </c>
      <c r="AK553" s="113" t="s">
        <v>59</v>
      </c>
      <c r="AL553" s="107" t="s">
        <v>624</v>
      </c>
      <c r="AN553" s="107">
        <v>0.95399999999999996</v>
      </c>
      <c r="AO553" s="48">
        <f t="shared" si="719"/>
        <v>111597129.41538459</v>
      </c>
      <c r="AP553" s="156">
        <f t="shared" si="720"/>
        <v>78117990.590769202</v>
      </c>
      <c r="AQ553" s="161">
        <f t="shared" si="721"/>
        <v>22242997942.729858</v>
      </c>
      <c r="AR553" s="163">
        <f t="shared" si="722"/>
        <v>10.019143518464171</v>
      </c>
      <c r="AS553" s="49">
        <f t="shared" si="723"/>
        <v>0.23904761904761906</v>
      </c>
      <c r="AT553" s="165">
        <f t="shared" si="724"/>
        <v>67.761524801587285</v>
      </c>
      <c r="AU553" s="254">
        <f t="shared" si="635"/>
        <v>201494.81699999998</v>
      </c>
      <c r="AV553" s="255">
        <f t="shared" si="636"/>
        <v>505532.98300000001</v>
      </c>
      <c r="AW553" s="256">
        <f t="shared" si="637"/>
        <v>0.39857897264044584</v>
      </c>
    </row>
    <row r="554" spans="1:49">
      <c r="A554" s="108">
        <v>552</v>
      </c>
      <c r="F554" s="45">
        <v>43140.978587962964</v>
      </c>
      <c r="G554" s="45">
        <v>43141.020601851851</v>
      </c>
      <c r="H554" s="53">
        <f>G554-F554</f>
        <v>4.2013888887595385E-2</v>
      </c>
      <c r="I554" s="86">
        <v>50.33</v>
      </c>
      <c r="J554" s="109" t="s">
        <v>260</v>
      </c>
      <c r="K554" s="88" t="s">
        <v>72</v>
      </c>
      <c r="L554" s="88" t="s">
        <v>73</v>
      </c>
      <c r="M554" s="88">
        <v>-369</v>
      </c>
      <c r="N554" s="108">
        <v>1</v>
      </c>
      <c r="O554" s="108">
        <v>200</v>
      </c>
      <c r="P554" s="88">
        <v>348</v>
      </c>
      <c r="Q554" s="88" t="s">
        <v>75</v>
      </c>
      <c r="R554" s="88" t="s">
        <v>348</v>
      </c>
      <c r="S554" s="110">
        <v>10000</v>
      </c>
      <c r="T554" s="110">
        <v>911</v>
      </c>
      <c r="U554" s="88">
        <v>983</v>
      </c>
      <c r="V554" s="90">
        <v>1500</v>
      </c>
      <c r="W554" s="111">
        <v>10</v>
      </c>
      <c r="X554" s="110">
        <v>48537</v>
      </c>
      <c r="Y554" s="110">
        <v>840248</v>
      </c>
      <c r="Z554" s="110">
        <v>7035094</v>
      </c>
      <c r="AA554" s="110">
        <v>2108991</v>
      </c>
      <c r="AB554" s="112">
        <v>4953976</v>
      </c>
      <c r="AC554" s="109">
        <v>160.1</v>
      </c>
      <c r="AD554" s="110">
        <v>-109.8</v>
      </c>
      <c r="AE554" s="110">
        <v>3.94</v>
      </c>
      <c r="AF554" s="110">
        <v>-0.76</v>
      </c>
      <c r="AG554" s="110">
        <v>109.8</v>
      </c>
      <c r="AH554" s="110">
        <v>-110</v>
      </c>
      <c r="AI554" s="110">
        <v>3.7</v>
      </c>
      <c r="AJ554" s="109">
        <v>-0.34</v>
      </c>
      <c r="AK554" s="113" t="s">
        <v>59</v>
      </c>
      <c r="AL554" s="107" t="s">
        <v>181</v>
      </c>
      <c r="AN554" s="107">
        <v>0.95499999999999996</v>
      </c>
      <c r="AO554" s="48">
        <f t="shared" si="719"/>
        <v>140598724.04134616</v>
      </c>
      <c r="AP554" s="156">
        <f t="shared" si="720"/>
        <v>98419106.828942314</v>
      </c>
      <c r="AQ554" s="161">
        <f t="shared" si="721"/>
        <v>22341417049.5588</v>
      </c>
      <c r="AR554" s="163">
        <f t="shared" si="722"/>
        <v>10.061157407351766</v>
      </c>
      <c r="AS554" s="49">
        <f t="shared" si="723"/>
        <v>0.29958333333333331</v>
      </c>
      <c r="AT554" s="165">
        <f t="shared" si="724"/>
        <v>68.061108134920616</v>
      </c>
      <c r="AU554" s="254">
        <f t="shared" si="635"/>
        <v>201408.64050000001</v>
      </c>
      <c r="AV554" s="255">
        <f t="shared" si="636"/>
        <v>504888.05949999997</v>
      </c>
      <c r="AW554" s="256">
        <f t="shared" si="637"/>
        <v>0.39891741686158855</v>
      </c>
    </row>
    <row r="555" spans="1:49">
      <c r="A555" s="108">
        <v>553</v>
      </c>
      <c r="F555" s="45">
        <v>43141.020624999997</v>
      </c>
      <c r="G555" s="45">
        <v>43141.061979166669</v>
      </c>
      <c r="H555" s="53">
        <f>G555-F555-'user time'!U193</f>
        <v>4.0960648152707752E-2</v>
      </c>
      <c r="I555" s="86">
        <v>50.28</v>
      </c>
      <c r="J555" s="109" t="s">
        <v>260</v>
      </c>
      <c r="K555" s="88" t="s">
        <v>72</v>
      </c>
      <c r="L555" s="88" t="s">
        <v>73</v>
      </c>
      <c r="M555" s="88">
        <v>-369</v>
      </c>
      <c r="N555" s="108">
        <v>1</v>
      </c>
      <c r="O555" s="108">
        <v>200</v>
      </c>
      <c r="P555" s="88">
        <v>348</v>
      </c>
      <c r="Q555" s="88" t="s">
        <v>75</v>
      </c>
      <c r="R555" s="88" t="s">
        <v>348</v>
      </c>
      <c r="S555" s="110">
        <v>10000</v>
      </c>
      <c r="T555" s="110">
        <v>865</v>
      </c>
      <c r="U555" s="88">
        <v>983</v>
      </c>
      <c r="V555" s="90">
        <v>1500</v>
      </c>
      <c r="W555" s="111">
        <v>10</v>
      </c>
      <c r="X555" s="110">
        <v>48673</v>
      </c>
      <c r="Y555" s="110">
        <v>837421</v>
      </c>
      <c r="Z555" s="110">
        <v>7020251</v>
      </c>
      <c r="AA555" s="110">
        <v>2103354</v>
      </c>
      <c r="AB555" s="112">
        <v>4945482</v>
      </c>
      <c r="AC555" s="109">
        <v>160.1</v>
      </c>
      <c r="AD555" s="110">
        <v>-109.9</v>
      </c>
      <c r="AE555" s="110">
        <v>3.94</v>
      </c>
      <c r="AF555" s="110">
        <v>-0.76</v>
      </c>
      <c r="AG555" s="110">
        <v>109.8</v>
      </c>
      <c r="AH555" s="110">
        <v>-110</v>
      </c>
      <c r="AI555" s="110">
        <v>3.69</v>
      </c>
      <c r="AJ555" s="109">
        <v>-0.35</v>
      </c>
      <c r="AK555" s="113" t="s">
        <v>59</v>
      </c>
      <c r="AL555" s="107" t="s">
        <v>181</v>
      </c>
      <c r="AN555" s="107">
        <v>0.95299999999999996</v>
      </c>
      <c r="AO555" s="48">
        <f t="shared" si="719"/>
        <v>136421396.63688463</v>
      </c>
      <c r="AP555" s="156">
        <f t="shared" si="720"/>
        <v>95494977.645819232</v>
      </c>
      <c r="AQ555" s="161">
        <f t="shared" si="721"/>
        <v>22436912027.20462</v>
      </c>
      <c r="AR555" s="163">
        <f t="shared" si="722"/>
        <v>10.102118055504475</v>
      </c>
      <c r="AS555" s="49">
        <f t="shared" si="723"/>
        <v>0.28930952380952385</v>
      </c>
      <c r="AT555" s="165">
        <f t="shared" si="724"/>
        <v>68.350417658730137</v>
      </c>
      <c r="AU555" s="254">
        <f t="shared" si="635"/>
        <v>200449.63619999998</v>
      </c>
      <c r="AV555" s="255">
        <f t="shared" si="636"/>
        <v>504433.96380000003</v>
      </c>
      <c r="AW555" s="256">
        <f t="shared" si="637"/>
        <v>0.39737537633265918</v>
      </c>
    </row>
    <row r="556" spans="1:49">
      <c r="A556" s="108">
        <v>554</v>
      </c>
      <c r="F556" s="45">
        <v>43141.062002314815</v>
      </c>
      <c r="G556" s="45">
        <v>43141.103067129632</v>
      </c>
      <c r="H556" s="53">
        <f>G556-F556-'user time'!U194</f>
        <v>4.082175926166301E-2</v>
      </c>
      <c r="I556" s="86">
        <v>50.34</v>
      </c>
      <c r="J556" s="109" t="s">
        <v>260</v>
      </c>
      <c r="K556" s="88" t="s">
        <v>72</v>
      </c>
      <c r="L556" s="88" t="s">
        <v>73</v>
      </c>
      <c r="M556" s="88">
        <v>-369</v>
      </c>
      <c r="N556" s="108">
        <v>1</v>
      </c>
      <c r="O556" s="108">
        <v>200</v>
      </c>
      <c r="P556" s="88">
        <v>348</v>
      </c>
      <c r="Q556" s="88" t="s">
        <v>75</v>
      </c>
      <c r="R556" s="88" t="s">
        <v>348</v>
      </c>
      <c r="S556" s="110">
        <v>10300</v>
      </c>
      <c r="T556" s="110">
        <v>914</v>
      </c>
      <c r="U556" s="88">
        <v>983</v>
      </c>
      <c r="V556" s="90">
        <v>1500</v>
      </c>
      <c r="W556" s="111">
        <v>10</v>
      </c>
      <c r="X556" s="110">
        <v>48809</v>
      </c>
      <c r="Y556" s="110">
        <v>838646</v>
      </c>
      <c r="Z556" s="110">
        <v>7036365</v>
      </c>
      <c r="AA556" s="110">
        <v>2110932</v>
      </c>
      <c r="AB556" s="112">
        <v>4954063</v>
      </c>
      <c r="AC556" s="109">
        <v>160.1</v>
      </c>
      <c r="AD556" s="110">
        <v>-109.8</v>
      </c>
      <c r="AE556" s="110">
        <v>3.94</v>
      </c>
      <c r="AF556" s="110">
        <v>-0.76</v>
      </c>
      <c r="AG556" s="110">
        <v>109.8</v>
      </c>
      <c r="AH556" s="110">
        <v>-110</v>
      </c>
      <c r="AI556" s="110">
        <v>3.69</v>
      </c>
      <c r="AJ556" s="109">
        <v>-0.35</v>
      </c>
      <c r="AK556" s="113" t="s">
        <v>59</v>
      </c>
      <c r="AL556" s="107" t="s">
        <v>181</v>
      </c>
      <c r="AN556" s="107">
        <v>0.95499999999999996</v>
      </c>
      <c r="AO556" s="48">
        <f t="shared" si="719"/>
        <v>136735011.37730765</v>
      </c>
      <c r="AP556" s="156">
        <f t="shared" si="720"/>
        <v>95714507.964115351</v>
      </c>
      <c r="AQ556" s="161">
        <f t="shared" si="721"/>
        <v>22532626535.168736</v>
      </c>
      <c r="AR556" s="163">
        <f t="shared" si="722"/>
        <v>10.142939814766137</v>
      </c>
      <c r="AS556" s="49">
        <f t="shared" si="723"/>
        <v>0.28965476190476191</v>
      </c>
      <c r="AT556" s="165">
        <f t="shared" si="724"/>
        <v>68.640072420634894</v>
      </c>
      <c r="AU556" s="254">
        <f t="shared" si="635"/>
        <v>201594.00599999999</v>
      </c>
      <c r="AV556" s="255">
        <f t="shared" si="636"/>
        <v>504905.49400000001</v>
      </c>
      <c r="AW556" s="256">
        <f t="shared" si="637"/>
        <v>0.39927077125447163</v>
      </c>
    </row>
    <row r="557" spans="1:49">
      <c r="A557" s="108">
        <v>555</v>
      </c>
      <c r="F557" s="45">
        <v>43141.103090277778</v>
      </c>
      <c r="G557" s="45">
        <v>43141.172013888892</v>
      </c>
      <c r="H557" s="53">
        <f>G557-F557-SUM('user time'!U195:U198)</f>
        <v>4.0347222224970919E-2</v>
      </c>
      <c r="I557" s="86">
        <v>50.26</v>
      </c>
      <c r="J557" s="109" t="s">
        <v>260</v>
      </c>
      <c r="K557" s="88" t="s">
        <v>72</v>
      </c>
      <c r="L557" s="88" t="s">
        <v>73</v>
      </c>
      <c r="M557" s="88">
        <v>-369</v>
      </c>
      <c r="N557" s="108">
        <v>1</v>
      </c>
      <c r="O557" s="108">
        <v>200</v>
      </c>
      <c r="P557" s="88">
        <v>348</v>
      </c>
      <c r="Q557" s="88" t="s">
        <v>75</v>
      </c>
      <c r="R557" s="88" t="s">
        <v>348</v>
      </c>
      <c r="S557" s="110">
        <v>10300</v>
      </c>
      <c r="T557" s="110">
        <v>930</v>
      </c>
      <c r="U557" s="88">
        <v>983</v>
      </c>
      <c r="V557" s="90">
        <v>1500</v>
      </c>
      <c r="W557" s="111">
        <v>10</v>
      </c>
      <c r="X557" s="110">
        <v>48167</v>
      </c>
      <c r="Y557" s="110">
        <v>840951</v>
      </c>
      <c r="Z557" s="110">
        <v>7022329</v>
      </c>
      <c r="AA557" s="110">
        <v>2105339</v>
      </c>
      <c r="AB557" s="112">
        <v>4945611</v>
      </c>
      <c r="AC557" s="109">
        <v>160.1</v>
      </c>
      <c r="AD557" s="110">
        <v>-109.8</v>
      </c>
      <c r="AE557" s="110">
        <v>3.94</v>
      </c>
      <c r="AF557" s="110">
        <v>-0.76</v>
      </c>
      <c r="AG557" s="110">
        <v>109.8</v>
      </c>
      <c r="AH557" s="110">
        <v>-110</v>
      </c>
      <c r="AI557" s="110">
        <v>3.69</v>
      </c>
      <c r="AJ557" s="109">
        <v>-0.35</v>
      </c>
      <c r="AK557" s="113" t="s">
        <v>59</v>
      </c>
      <c r="AL557" s="107" t="s">
        <v>181</v>
      </c>
      <c r="AN557" s="107">
        <v>0.95399999999999996</v>
      </c>
      <c r="AO557" s="48">
        <f t="shared" si="719"/>
        <v>134646307.94838461</v>
      </c>
      <c r="AP557" s="156">
        <f t="shared" si="720"/>
        <v>94252415.563869223</v>
      </c>
      <c r="AQ557" s="161">
        <f t="shared" si="721"/>
        <v>22626878950.732605</v>
      </c>
      <c r="AR557" s="163">
        <f t="shared" si="722"/>
        <v>10.183287036991109</v>
      </c>
      <c r="AS557" s="49">
        <f t="shared" si="723"/>
        <v>0.28919444444444442</v>
      </c>
      <c r="AT557" s="165">
        <f t="shared" si="724"/>
        <v>68.929266865079342</v>
      </c>
      <c r="AU557" s="254">
        <f t="shared" si="635"/>
        <v>200849.3406</v>
      </c>
      <c r="AV557" s="255">
        <f t="shared" si="636"/>
        <v>504245.6594</v>
      </c>
      <c r="AW557" s="256">
        <f t="shared" si="637"/>
        <v>0.39831644924616677</v>
      </c>
    </row>
    <row r="558" spans="1:49">
      <c r="A558" s="108">
        <v>556</v>
      </c>
      <c r="F558" s="45">
        <v>43141.172048611108</v>
      </c>
      <c r="G558" s="45">
        <v>43141.213125000002</v>
      </c>
      <c r="H558" s="53">
        <f>G558-F558-'user time'!U199</f>
        <v>4.0798611116220435E-2</v>
      </c>
      <c r="I558" s="86">
        <v>50.26</v>
      </c>
      <c r="J558" s="109" t="s">
        <v>260</v>
      </c>
      <c r="K558" s="88" t="s">
        <v>72</v>
      </c>
      <c r="L558" s="88" t="s">
        <v>73</v>
      </c>
      <c r="M558" s="88">
        <v>-369</v>
      </c>
      <c r="N558" s="108">
        <v>1</v>
      </c>
      <c r="O558" s="108">
        <v>200</v>
      </c>
      <c r="P558" s="88">
        <v>348</v>
      </c>
      <c r="Q558" s="88" t="s">
        <v>75</v>
      </c>
      <c r="R558" s="88" t="s">
        <v>348</v>
      </c>
      <c r="S558" s="110">
        <v>10300</v>
      </c>
      <c r="T558" s="110">
        <v>915</v>
      </c>
      <c r="U558" s="88">
        <v>983</v>
      </c>
      <c r="V558" s="90">
        <v>1500</v>
      </c>
      <c r="W558" s="111">
        <v>10</v>
      </c>
      <c r="X558" s="110">
        <v>48696</v>
      </c>
      <c r="Y558" s="110">
        <v>840887</v>
      </c>
      <c r="Z558" s="110">
        <v>7041779</v>
      </c>
      <c r="AA558" s="110">
        <v>2116353</v>
      </c>
      <c r="AB558" s="112">
        <v>4952970</v>
      </c>
      <c r="AC558" s="109">
        <v>160.1</v>
      </c>
      <c r="AD558" s="110">
        <v>-109.8</v>
      </c>
      <c r="AE558" s="110">
        <v>3.94</v>
      </c>
      <c r="AF558" s="110">
        <v>-0.75</v>
      </c>
      <c r="AG558" s="110">
        <v>109.8</v>
      </c>
      <c r="AH558" s="110">
        <v>-110</v>
      </c>
      <c r="AI558" s="110">
        <v>3.69</v>
      </c>
      <c r="AJ558" s="109">
        <v>-0.35</v>
      </c>
      <c r="AK558" s="113" t="s">
        <v>59</v>
      </c>
      <c r="AL558" s="107" t="s">
        <v>181</v>
      </c>
      <c r="AN558" s="107">
        <v>0.95599999999999996</v>
      </c>
      <c r="AO558" s="48">
        <f t="shared" si="719"/>
        <v>137151884.12884614</v>
      </c>
      <c r="AP558" s="156">
        <f t="shared" si="720"/>
        <v>96006318.890192285</v>
      </c>
      <c r="AQ558" s="161">
        <f t="shared" si="721"/>
        <v>22722885269.622799</v>
      </c>
      <c r="AR558" s="163">
        <f t="shared" si="722"/>
        <v>10.22408564810733</v>
      </c>
      <c r="AS558" s="49">
        <f t="shared" si="723"/>
        <v>0.28919444444444442</v>
      </c>
      <c r="AT558" s="165">
        <f t="shared" si="724"/>
        <v>69.218461309523789</v>
      </c>
      <c r="AU558" s="254">
        <f t="shared" si="635"/>
        <v>202323.34679999997</v>
      </c>
      <c r="AV558" s="255">
        <f t="shared" si="636"/>
        <v>504608.95319999999</v>
      </c>
      <c r="AW558" s="256">
        <f t="shared" si="637"/>
        <v>0.40095076695916215</v>
      </c>
    </row>
    <row r="559" spans="1:49">
      <c r="A559" s="108">
        <v>557</v>
      </c>
      <c r="F559" s="45">
        <v>43141.213171296295</v>
      </c>
      <c r="G559" s="45">
        <v>43141.254374999997</v>
      </c>
      <c r="H559" s="53">
        <f>G559-F559-'user time'!U200</f>
        <v>4.0937499998490945E-2</v>
      </c>
      <c r="I559" s="86">
        <v>50.24</v>
      </c>
      <c r="J559" s="109" t="s">
        <v>260</v>
      </c>
      <c r="K559" s="88" t="s">
        <v>72</v>
      </c>
      <c r="L559" s="88" t="s">
        <v>73</v>
      </c>
      <c r="M559" s="88">
        <v>-369</v>
      </c>
      <c r="N559" s="108">
        <v>1</v>
      </c>
      <c r="O559" s="108">
        <v>200</v>
      </c>
      <c r="P559" s="88">
        <v>348</v>
      </c>
      <c r="Q559" s="88" t="s">
        <v>75</v>
      </c>
      <c r="R559" s="88" t="s">
        <v>348</v>
      </c>
      <c r="S559" s="110">
        <v>10300</v>
      </c>
      <c r="T559" s="110">
        <v>907</v>
      </c>
      <c r="U559" s="88">
        <v>983</v>
      </c>
      <c r="V559" s="90">
        <v>1500</v>
      </c>
      <c r="W559" s="111">
        <v>10</v>
      </c>
      <c r="X559" s="110">
        <v>48566</v>
      </c>
      <c r="Y559" s="110">
        <v>841034</v>
      </c>
      <c r="Z559" s="110">
        <v>7003941</v>
      </c>
      <c r="AA559" s="110">
        <v>2104560</v>
      </c>
      <c r="AB559" s="112">
        <v>4928212</v>
      </c>
      <c r="AC559" s="109">
        <v>160.19999999999999</v>
      </c>
      <c r="AD559" s="110">
        <v>-109.8</v>
      </c>
      <c r="AE559" s="110">
        <v>3.94</v>
      </c>
      <c r="AF559" s="110">
        <v>-0.75</v>
      </c>
      <c r="AG559" s="110">
        <v>109.8</v>
      </c>
      <c r="AH559" s="110">
        <v>-110</v>
      </c>
      <c r="AI559" s="110">
        <v>3.69</v>
      </c>
      <c r="AJ559" s="109">
        <v>-0.35</v>
      </c>
      <c r="AK559" s="113" t="s">
        <v>59</v>
      </c>
      <c r="AL559" s="107" t="s">
        <v>181</v>
      </c>
      <c r="AN559" s="107">
        <v>0.95599999999999996</v>
      </c>
      <c r="AO559" s="48">
        <f t="shared" si="719"/>
        <v>136851928.00615382</v>
      </c>
      <c r="AP559" s="156">
        <f t="shared" si="720"/>
        <v>95796349.604307666</v>
      </c>
      <c r="AQ559" s="161">
        <f t="shared" si="721"/>
        <v>22818681619.227108</v>
      </c>
      <c r="AR559" s="163">
        <f t="shared" si="722"/>
        <v>10.26502314810582</v>
      </c>
      <c r="AS559" s="49">
        <f t="shared" si="723"/>
        <v>0.2890793650793651</v>
      </c>
      <c r="AT559" s="165">
        <f t="shared" si="724"/>
        <v>69.507540674603149</v>
      </c>
      <c r="AU559" s="254">
        <f t="shared" si="635"/>
        <v>201195.93599999999</v>
      </c>
      <c r="AV559" s="255">
        <f t="shared" si="636"/>
        <v>502081.26400000002</v>
      </c>
      <c r="AW559" s="256">
        <f t="shared" si="637"/>
        <v>0.40072384776341702</v>
      </c>
    </row>
    <row r="560" spans="1:49">
      <c r="A560" s="108">
        <v>558</v>
      </c>
      <c r="F560" s="45">
        <v>43141.25440972222</v>
      </c>
      <c r="G560" s="45">
        <v>43141.295671296299</v>
      </c>
      <c r="H560" s="53">
        <f>G560-F560-SUM('user time'!U201:U203)</f>
        <v>3.9861111115853942E-2</v>
      </c>
      <c r="I560" s="86">
        <v>50.29</v>
      </c>
      <c r="J560" s="109" t="s">
        <v>260</v>
      </c>
      <c r="K560" s="88" t="s">
        <v>72</v>
      </c>
      <c r="L560" s="88" t="s">
        <v>73</v>
      </c>
      <c r="M560" s="88">
        <v>-369</v>
      </c>
      <c r="N560" s="108">
        <v>1</v>
      </c>
      <c r="O560" s="108">
        <v>200</v>
      </c>
      <c r="P560" s="88">
        <v>348</v>
      </c>
      <c r="Q560" s="88" t="s">
        <v>75</v>
      </c>
      <c r="R560" s="88" t="s">
        <v>348</v>
      </c>
      <c r="S560" s="110">
        <v>10300</v>
      </c>
      <c r="T560" s="110">
        <v>921</v>
      </c>
      <c r="U560" s="88">
        <v>983</v>
      </c>
      <c r="V560" s="90">
        <v>1500</v>
      </c>
      <c r="W560" s="111">
        <v>10</v>
      </c>
      <c r="X560" s="110">
        <v>48250</v>
      </c>
      <c r="Y560" s="110">
        <v>838626</v>
      </c>
      <c r="Z560" s="110">
        <v>7036100</v>
      </c>
      <c r="AA560" s="110">
        <v>2118089</v>
      </c>
      <c r="AB560" s="112">
        <v>4947115</v>
      </c>
      <c r="AC560" s="109">
        <v>160.19999999999999</v>
      </c>
      <c r="AD560" s="110">
        <v>-109.8</v>
      </c>
      <c r="AE560" s="110">
        <v>3.94</v>
      </c>
      <c r="AF560" s="110">
        <v>-0.75</v>
      </c>
      <c r="AG560" s="110">
        <v>109.8</v>
      </c>
      <c r="AH560" s="110">
        <v>-110</v>
      </c>
      <c r="AI560" s="110">
        <v>3.69</v>
      </c>
      <c r="AJ560" s="109">
        <v>-0.35</v>
      </c>
      <c r="AK560" s="113" t="s">
        <v>59</v>
      </c>
      <c r="AL560" s="107" t="s">
        <v>181</v>
      </c>
      <c r="AN560" s="107">
        <v>0.95299999999999996</v>
      </c>
      <c r="AO560" s="48">
        <f t="shared" si="719"/>
        <v>133689378.57207693</v>
      </c>
      <c r="AP560" s="156">
        <f t="shared" si="720"/>
        <v>93582565.000453845</v>
      </c>
      <c r="AQ560" s="161">
        <f t="shared" si="721"/>
        <v>22912264184.227562</v>
      </c>
      <c r="AR560" s="163">
        <f t="shared" si="722"/>
        <v>10.304884259221675</v>
      </c>
      <c r="AS560" s="49">
        <f t="shared" si="723"/>
        <v>0.28437797619047617</v>
      </c>
      <c r="AT560" s="165">
        <f t="shared" si="724"/>
        <v>69.791918650793619</v>
      </c>
      <c r="AU560" s="254">
        <f t="shared" si="635"/>
        <v>201853.8817</v>
      </c>
      <c r="AV560" s="255">
        <f t="shared" si="636"/>
        <v>504666.5183</v>
      </c>
      <c r="AW560" s="256">
        <f t="shared" si="637"/>
        <v>0.39997478410090914</v>
      </c>
    </row>
    <row r="561" spans="1:70">
      <c r="A561" s="108">
        <v>559</v>
      </c>
      <c r="F561" s="45">
        <v>43141.295706018522</v>
      </c>
      <c r="G561" s="45">
        <v>43141.337372685186</v>
      </c>
      <c r="H561" s="53">
        <f>G561-F561-'user time'!U204</f>
        <v>4.119212962720431E-2</v>
      </c>
      <c r="I561" s="86">
        <v>50.3</v>
      </c>
      <c r="J561" s="109" t="s">
        <v>260</v>
      </c>
      <c r="K561" s="88" t="s">
        <v>72</v>
      </c>
      <c r="L561" s="88" t="s">
        <v>73</v>
      </c>
      <c r="M561" s="88">
        <v>-369</v>
      </c>
      <c r="N561" s="108">
        <v>1</v>
      </c>
      <c r="O561" s="108">
        <v>200</v>
      </c>
      <c r="P561" s="88">
        <v>348</v>
      </c>
      <c r="Q561" s="88" t="s">
        <v>75</v>
      </c>
      <c r="R561" s="88" t="s">
        <v>348</v>
      </c>
      <c r="S561" s="110">
        <v>10000</v>
      </c>
      <c r="T561" s="110">
        <v>910</v>
      </c>
      <c r="U561" s="88">
        <v>983</v>
      </c>
      <c r="V561" s="90">
        <v>1500</v>
      </c>
      <c r="W561" s="111">
        <v>10</v>
      </c>
      <c r="X561" s="110">
        <v>48559</v>
      </c>
      <c r="Y561" s="110">
        <v>839409</v>
      </c>
      <c r="Z561" s="110">
        <v>7050320</v>
      </c>
      <c r="AA561" s="110">
        <v>2115105</v>
      </c>
      <c r="AB561" s="112">
        <v>4964081</v>
      </c>
      <c r="AC561" s="109">
        <v>160.1</v>
      </c>
      <c r="AD561" s="110">
        <v>-109.8</v>
      </c>
      <c r="AE561" s="110">
        <v>3.94</v>
      </c>
      <c r="AF561" s="110">
        <v>-0.75</v>
      </c>
      <c r="AG561" s="110">
        <v>109.8</v>
      </c>
      <c r="AH561" s="110">
        <v>-110</v>
      </c>
      <c r="AI561" s="110">
        <v>3.69</v>
      </c>
      <c r="AJ561" s="109">
        <v>-0.34</v>
      </c>
      <c r="AK561" s="113" t="s">
        <v>59</v>
      </c>
      <c r="AL561" s="107" t="s">
        <v>181</v>
      </c>
      <c r="AN561" s="107">
        <v>0.95199999999999996</v>
      </c>
      <c r="AO561" s="48">
        <f t="shared" si="719"/>
        <v>137814059.1853846</v>
      </c>
      <c r="AP561" s="156">
        <f t="shared" si="720"/>
        <v>96469841.429769218</v>
      </c>
      <c r="AQ561" s="161">
        <f t="shared" si="721"/>
        <v>23008734025.65733</v>
      </c>
      <c r="AR561" s="163">
        <f t="shared" si="722"/>
        <v>10.346076388848878</v>
      </c>
      <c r="AS561" s="49">
        <f t="shared" si="723"/>
        <v>0.29441468253968256</v>
      </c>
      <c r="AT561" s="165">
        <f t="shared" si="724"/>
        <v>70.0863333333333</v>
      </c>
      <c r="AU561" s="254">
        <f t="shared" si="635"/>
        <v>201357.99599999998</v>
      </c>
      <c r="AV561" s="255">
        <f t="shared" si="636"/>
        <v>506560.60399999999</v>
      </c>
      <c r="AW561" s="256">
        <f t="shared" si="637"/>
        <v>0.39750030778153445</v>
      </c>
    </row>
    <row r="562" spans="1:70">
      <c r="A562" s="108">
        <v>560</v>
      </c>
      <c r="F562" s="45">
        <v>43141.337372685186</v>
      </c>
      <c r="G562" s="45">
        <v>43141.367777777778</v>
      </c>
      <c r="H562" s="53">
        <f>G562-F562-'user time'!U205-'user time'!U206</f>
        <v>2.9664351850795523E-2</v>
      </c>
      <c r="I562" s="86">
        <v>50.39</v>
      </c>
      <c r="J562" s="109" t="s">
        <v>260</v>
      </c>
      <c r="K562" s="88" t="s">
        <v>72</v>
      </c>
      <c r="L562" s="88" t="s">
        <v>73</v>
      </c>
      <c r="M562" s="88">
        <v>-369</v>
      </c>
      <c r="N562" s="108">
        <v>1</v>
      </c>
      <c r="O562" s="108">
        <v>200</v>
      </c>
      <c r="P562" s="88">
        <v>348</v>
      </c>
      <c r="Q562" s="88" t="s">
        <v>75</v>
      </c>
      <c r="R562" s="88" t="s">
        <v>348</v>
      </c>
      <c r="S562" s="110">
        <v>10000</v>
      </c>
      <c r="T562" s="110">
        <v>921</v>
      </c>
      <c r="U562" s="88">
        <v>983</v>
      </c>
      <c r="V562" s="90">
        <v>1500</v>
      </c>
      <c r="W562" s="111">
        <v>10</v>
      </c>
      <c r="X562" s="110">
        <v>49011</v>
      </c>
      <c r="Y562" s="110">
        <v>839932</v>
      </c>
      <c r="Z562" s="110">
        <v>7040507</v>
      </c>
      <c r="AA562" s="110">
        <v>2118435</v>
      </c>
      <c r="AB562" s="112">
        <v>4950099</v>
      </c>
      <c r="AC562" s="109">
        <v>160.19999999999999</v>
      </c>
      <c r="AD562" s="110">
        <v>-109.8</v>
      </c>
      <c r="AE562" s="110">
        <v>3.94</v>
      </c>
      <c r="AF562" s="110">
        <v>-0.75</v>
      </c>
      <c r="AG562" s="110">
        <v>109.8</v>
      </c>
      <c r="AH562" s="110">
        <v>-110</v>
      </c>
      <c r="AI562" s="110">
        <v>3.69</v>
      </c>
      <c r="AJ562" s="109">
        <v>-0.35</v>
      </c>
      <c r="AK562" s="113" t="s">
        <v>59</v>
      </c>
      <c r="AL562" s="107" t="s">
        <v>181</v>
      </c>
      <c r="AN562" s="107">
        <v>0.95399999999999996</v>
      </c>
      <c r="AO562" s="48">
        <f t="shared" ref="AO562" si="725">(HOUR(H562)*60*60+MINUTE(H562)*60+SECOND(H562))/5.2*AA562/W562*AN562</f>
        <v>99611339.526346132</v>
      </c>
      <c r="AP562" s="156">
        <f t="shared" ref="AP562" si="726">AO562*0.7</f>
        <v>69727937.668442294</v>
      </c>
      <c r="AQ562" s="161">
        <f t="shared" ref="AQ562" si="727">AP562+AQ561</f>
        <v>23078461963.325771</v>
      </c>
      <c r="AR562" s="163">
        <f t="shared" ref="AR562" si="728">H562+AR561</f>
        <v>10.375740740699674</v>
      </c>
      <c r="AS562" s="49">
        <f t="shared" ref="AS562" si="729">I562*(HOUR(H562)*60+MINUTE(H562))/60/(7*24)</f>
        <v>0.20995833333333336</v>
      </c>
      <c r="AT562" s="165">
        <f t="shared" ref="AT562" si="730">AS562+AT561</f>
        <v>70.296291666666633</v>
      </c>
      <c r="AU562" s="254">
        <f t="shared" si="635"/>
        <v>202098.69899999999</v>
      </c>
      <c r="AV562" s="255">
        <f t="shared" si="636"/>
        <v>504754.70100000006</v>
      </c>
      <c r="AW562" s="256">
        <f t="shared" si="637"/>
        <v>0.40038992920642452</v>
      </c>
    </row>
    <row r="563" spans="1:70" s="190" customFormat="1">
      <c r="A563" s="176">
        <v>561</v>
      </c>
      <c r="F563" s="171">
        <v>43141.368449074071</v>
      </c>
      <c r="G563" s="171">
        <v>43141.371331018519</v>
      </c>
      <c r="H563" s="251">
        <f>G563-F563</f>
        <v>2.8819444487453438E-3</v>
      </c>
      <c r="I563" s="173">
        <v>50.39</v>
      </c>
      <c r="J563" s="174" t="s">
        <v>260</v>
      </c>
      <c r="K563" s="175" t="s">
        <v>72</v>
      </c>
      <c r="L563" s="175" t="s">
        <v>73</v>
      </c>
      <c r="M563" s="175">
        <v>-369</v>
      </c>
      <c r="N563" s="176">
        <v>1</v>
      </c>
      <c r="O563" s="176">
        <v>200</v>
      </c>
      <c r="P563" s="175">
        <v>348</v>
      </c>
      <c r="Q563" s="175" t="s">
        <v>75</v>
      </c>
      <c r="R563" s="175" t="s">
        <v>421</v>
      </c>
      <c r="S563" s="177"/>
      <c r="T563" s="177"/>
      <c r="U563" s="175">
        <v>983</v>
      </c>
      <c r="V563" s="178">
        <v>1500</v>
      </c>
      <c r="W563" s="179"/>
      <c r="X563" s="177"/>
      <c r="Y563" s="177"/>
      <c r="Z563" s="177"/>
      <c r="AA563" s="177"/>
      <c r="AB563" s="180"/>
      <c r="AC563" s="174">
        <v>160.19999999999999</v>
      </c>
      <c r="AD563" s="177">
        <v>-109.8</v>
      </c>
      <c r="AE563" s="177">
        <v>3.94</v>
      </c>
      <c r="AF563" s="177">
        <v>-0.75</v>
      </c>
      <c r="AG563" s="177">
        <v>109.8</v>
      </c>
      <c r="AH563" s="177">
        <v>-110</v>
      </c>
      <c r="AI563" s="177">
        <v>3.69</v>
      </c>
      <c r="AJ563" s="174">
        <v>-0.35</v>
      </c>
      <c r="AK563" s="181"/>
      <c r="AL563" s="182" t="s">
        <v>206</v>
      </c>
      <c r="AM563" s="183"/>
      <c r="AN563" s="182"/>
      <c r="AO563" s="173"/>
      <c r="AP563" s="184"/>
      <c r="AQ563" s="185"/>
      <c r="AR563" s="186"/>
      <c r="AS563" s="187"/>
      <c r="AT563" s="188"/>
      <c r="AU563" s="187"/>
      <c r="AV563" s="187"/>
      <c r="AW563" s="177"/>
      <c r="AX563" s="177"/>
      <c r="AY563" s="177"/>
      <c r="AZ563" s="177"/>
      <c r="BA563" s="187"/>
      <c r="BB563" s="180"/>
      <c r="BC563" s="189"/>
      <c r="BD563" s="189"/>
      <c r="BE563" s="189"/>
      <c r="BF563" s="189"/>
      <c r="BG563" s="189"/>
      <c r="BH563" s="189"/>
      <c r="BI563" s="189"/>
      <c r="BJ563" s="189"/>
      <c r="BK563" s="189"/>
      <c r="BL563" s="189"/>
      <c r="BM563" s="189"/>
      <c r="BN563" s="189"/>
      <c r="BO563" s="189"/>
      <c r="BP563" s="189"/>
      <c r="BQ563" s="189"/>
      <c r="BR563" s="189"/>
    </row>
    <row r="564" spans="1:70" s="190" customFormat="1">
      <c r="A564" s="176">
        <v>562</v>
      </c>
      <c r="F564" s="171">
        <v>43141.371539351851</v>
      </c>
      <c r="G564" s="171">
        <v>43141.375011574077</v>
      </c>
      <c r="H564" s="251">
        <f>G564-F564</f>
        <v>3.4722222262644209E-3</v>
      </c>
      <c r="I564" s="173">
        <v>50.39</v>
      </c>
      <c r="J564" s="174" t="s">
        <v>260</v>
      </c>
      <c r="K564" s="175" t="s">
        <v>72</v>
      </c>
      <c r="L564" s="175" t="s">
        <v>73</v>
      </c>
      <c r="M564" s="175">
        <v>-369</v>
      </c>
      <c r="N564" s="176">
        <v>1</v>
      </c>
      <c r="O564" s="176">
        <v>200</v>
      </c>
      <c r="P564" s="175">
        <v>348</v>
      </c>
      <c r="Q564" s="175" t="s">
        <v>75</v>
      </c>
      <c r="R564" s="230" t="s">
        <v>421</v>
      </c>
      <c r="S564" s="177"/>
      <c r="T564" s="177"/>
      <c r="U564" s="175">
        <v>983</v>
      </c>
      <c r="V564" s="178">
        <v>1500</v>
      </c>
      <c r="W564" s="179"/>
      <c r="X564" s="177"/>
      <c r="Y564" s="177"/>
      <c r="Z564" s="177"/>
      <c r="AA564" s="177"/>
      <c r="AB564" s="180"/>
      <c r="AC564" s="174">
        <v>160.19999999999999</v>
      </c>
      <c r="AD564" s="177">
        <v>-109.8</v>
      </c>
      <c r="AE564" s="177">
        <v>3.94</v>
      </c>
      <c r="AF564" s="177">
        <v>-0.75</v>
      </c>
      <c r="AG564" s="177">
        <v>109.8</v>
      </c>
      <c r="AH564" s="177">
        <v>-110</v>
      </c>
      <c r="AI564" s="177">
        <v>3.69</v>
      </c>
      <c r="AJ564" s="174">
        <v>-0.35</v>
      </c>
      <c r="AK564" s="181"/>
      <c r="AL564" s="182" t="s">
        <v>207</v>
      </c>
      <c r="AM564" s="183"/>
      <c r="AN564" s="182"/>
      <c r="AO564" s="173"/>
      <c r="AP564" s="184"/>
      <c r="AQ564" s="185"/>
      <c r="AR564" s="186"/>
      <c r="AS564" s="187"/>
      <c r="AT564" s="188"/>
      <c r="AU564" s="187"/>
      <c r="AV564" s="187"/>
      <c r="AW564" s="177"/>
      <c r="AX564" s="177"/>
      <c r="AY564" s="177"/>
      <c r="AZ564" s="177"/>
      <c r="BA564" s="187"/>
      <c r="BB564" s="180"/>
      <c r="BC564" s="189"/>
      <c r="BD564" s="189"/>
      <c r="BE564" s="189"/>
      <c r="BF564" s="189"/>
      <c r="BG564" s="189"/>
      <c r="BH564" s="189"/>
      <c r="BI564" s="189"/>
      <c r="BJ564" s="189"/>
      <c r="BK564" s="189"/>
      <c r="BL564" s="189"/>
      <c r="BM564" s="189"/>
      <c r="BN564" s="189"/>
      <c r="BO564" s="189"/>
      <c r="BP564" s="189"/>
      <c r="BQ564" s="189"/>
      <c r="BR564" s="189"/>
    </row>
    <row r="565" spans="1:70" s="190" customFormat="1">
      <c r="A565" s="176">
        <v>563</v>
      </c>
      <c r="F565" s="171">
        <v>43146.020821759259</v>
      </c>
      <c r="G565" s="171">
        <v>43146.023333333331</v>
      </c>
      <c r="H565" s="251">
        <f>G565-F565</f>
        <v>2.5115740718320012E-3</v>
      </c>
      <c r="I565" s="173">
        <v>49.54</v>
      </c>
      <c r="J565" s="174" t="s">
        <v>260</v>
      </c>
      <c r="K565" s="175" t="s">
        <v>72</v>
      </c>
      <c r="L565" s="175" t="s">
        <v>73</v>
      </c>
      <c r="M565" s="175">
        <v>-369</v>
      </c>
      <c r="N565" s="176">
        <v>1</v>
      </c>
      <c r="O565" s="176">
        <v>200</v>
      </c>
      <c r="P565" s="175">
        <v>348</v>
      </c>
      <c r="Q565" s="175" t="s">
        <v>75</v>
      </c>
      <c r="R565" s="175" t="s">
        <v>673</v>
      </c>
      <c r="S565" s="177"/>
      <c r="T565" s="177"/>
      <c r="U565" s="175">
        <v>983</v>
      </c>
      <c r="V565" s="178">
        <v>1500</v>
      </c>
      <c r="W565" s="179"/>
      <c r="X565" s="177"/>
      <c r="Y565" s="177"/>
      <c r="Z565" s="177"/>
      <c r="AA565" s="177"/>
      <c r="AB565" s="180"/>
      <c r="AC565" s="174">
        <v>160.1</v>
      </c>
      <c r="AD565" s="177">
        <v>-109.9</v>
      </c>
      <c r="AE565" s="177">
        <v>3.94</v>
      </c>
      <c r="AF565" s="177">
        <v>-0.77</v>
      </c>
      <c r="AG565" s="177">
        <v>109.7</v>
      </c>
      <c r="AH565" s="177">
        <v>-110.1</v>
      </c>
      <c r="AI565" s="177">
        <v>3.7</v>
      </c>
      <c r="AJ565" s="174">
        <v>-0.33</v>
      </c>
      <c r="AK565" s="181"/>
      <c r="AL565" s="182" t="s">
        <v>664</v>
      </c>
      <c r="AM565" s="183"/>
      <c r="AN565" s="182"/>
      <c r="AO565" s="173"/>
      <c r="AP565" s="184"/>
      <c r="AQ565" s="185"/>
      <c r="AR565" s="186"/>
      <c r="AS565" s="187"/>
      <c r="AT565" s="188"/>
      <c r="AU565" s="187"/>
      <c r="AV565" s="187"/>
      <c r="AW565" s="177"/>
      <c r="AX565" s="177"/>
      <c r="AY565" s="177"/>
      <c r="AZ565" s="177"/>
      <c r="BA565" s="187"/>
      <c r="BB565" s="180"/>
      <c r="BC565" s="189"/>
      <c r="BD565" s="189"/>
      <c r="BE565" s="189"/>
      <c r="BF565" s="189"/>
      <c r="BG565" s="189"/>
      <c r="BH565" s="189"/>
      <c r="BI565" s="189"/>
      <c r="BJ565" s="189"/>
      <c r="BK565" s="189"/>
      <c r="BL565" s="189"/>
      <c r="BM565" s="189"/>
      <c r="BN565" s="189"/>
      <c r="BO565" s="189"/>
      <c r="BP565" s="189"/>
      <c r="BQ565" s="189"/>
      <c r="BR565" s="189"/>
    </row>
    <row r="566" spans="1:70" s="190" customFormat="1">
      <c r="A566" s="176">
        <v>564</v>
      </c>
      <c r="F566" s="171">
        <v>43146.023530092592</v>
      </c>
      <c r="G566" s="171">
        <v>43146.025011574071</v>
      </c>
      <c r="H566" s="251">
        <f t="shared" ref="H566:H579" si="731">G566-F566</f>
        <v>1.48148147854954E-3</v>
      </c>
      <c r="I566" s="173">
        <v>49.54</v>
      </c>
      <c r="J566" s="174" t="s">
        <v>260</v>
      </c>
      <c r="K566" s="175" t="s">
        <v>72</v>
      </c>
      <c r="L566" s="175" t="s">
        <v>73</v>
      </c>
      <c r="M566" s="175">
        <v>-369</v>
      </c>
      <c r="N566" s="176">
        <v>1</v>
      </c>
      <c r="O566" s="176">
        <v>200</v>
      </c>
      <c r="P566" s="175">
        <v>348</v>
      </c>
      <c r="Q566" s="175" t="s">
        <v>75</v>
      </c>
      <c r="R566" s="175" t="s">
        <v>674</v>
      </c>
      <c r="S566" s="177"/>
      <c r="T566" s="177"/>
      <c r="U566" s="175">
        <v>983</v>
      </c>
      <c r="V566" s="178">
        <v>1500</v>
      </c>
      <c r="W566" s="179"/>
      <c r="X566" s="177"/>
      <c r="Y566" s="177"/>
      <c r="Z566" s="177"/>
      <c r="AA566" s="177"/>
      <c r="AB566" s="180"/>
      <c r="AC566" s="174">
        <v>160.1</v>
      </c>
      <c r="AD566" s="177">
        <v>-109.9</v>
      </c>
      <c r="AE566" s="177">
        <v>3.94</v>
      </c>
      <c r="AF566" s="177">
        <v>-0.77</v>
      </c>
      <c r="AG566" s="177">
        <v>109.7</v>
      </c>
      <c r="AH566" s="177">
        <v>-110.1</v>
      </c>
      <c r="AI566" s="177">
        <v>3.7</v>
      </c>
      <c r="AJ566" s="174">
        <v>-0.33</v>
      </c>
      <c r="AK566" s="181"/>
      <c r="AL566" s="182" t="s">
        <v>206</v>
      </c>
      <c r="AM566" s="183"/>
      <c r="AN566" s="182"/>
      <c r="AO566" s="173"/>
      <c r="AP566" s="184"/>
      <c r="AQ566" s="185"/>
      <c r="AR566" s="186"/>
      <c r="AS566" s="187"/>
      <c r="AT566" s="188"/>
      <c r="AU566" s="187"/>
      <c r="AV566" s="187"/>
      <c r="AW566" s="177"/>
      <c r="AX566" s="177"/>
      <c r="AY566" s="177"/>
      <c r="AZ566" s="177"/>
      <c r="BA566" s="187"/>
      <c r="BB566" s="180"/>
      <c r="BC566" s="189"/>
      <c r="BD566" s="189"/>
      <c r="BE566" s="189"/>
      <c r="BF566" s="189"/>
      <c r="BG566" s="189"/>
      <c r="BH566" s="189"/>
      <c r="BI566" s="189"/>
      <c r="BJ566" s="189"/>
      <c r="BK566" s="189"/>
      <c r="BL566" s="189"/>
      <c r="BM566" s="189"/>
      <c r="BN566" s="189"/>
      <c r="BO566" s="189"/>
      <c r="BP566" s="189"/>
      <c r="BQ566" s="189"/>
      <c r="BR566" s="189"/>
    </row>
    <row r="567" spans="1:70" s="149" customFormat="1">
      <c r="A567" s="138">
        <v>565</v>
      </c>
      <c r="F567" s="133"/>
      <c r="G567" s="133"/>
      <c r="H567" s="253"/>
      <c r="I567" s="135"/>
      <c r="J567" s="136"/>
      <c r="K567" s="137"/>
      <c r="L567" s="137"/>
      <c r="M567" s="137"/>
      <c r="N567" s="138"/>
      <c r="O567" s="138"/>
      <c r="P567" s="137"/>
      <c r="Q567" s="137"/>
      <c r="R567" s="137"/>
      <c r="S567" s="139"/>
      <c r="T567" s="139"/>
      <c r="U567" s="137"/>
      <c r="V567" s="140"/>
      <c r="W567" s="141"/>
      <c r="X567" s="139"/>
      <c r="Y567" s="139"/>
      <c r="Z567" s="139"/>
      <c r="AA567" s="139"/>
      <c r="AB567" s="142"/>
      <c r="AC567" s="136"/>
      <c r="AD567" s="139"/>
      <c r="AE567" s="139"/>
      <c r="AF567" s="139"/>
      <c r="AG567" s="139"/>
      <c r="AH567" s="139"/>
      <c r="AI567" s="139"/>
      <c r="AJ567" s="136"/>
      <c r="AK567" s="143"/>
      <c r="AL567" s="144" t="s">
        <v>675</v>
      </c>
      <c r="AM567" s="145"/>
      <c r="AN567" s="144"/>
      <c r="AO567" s="135"/>
      <c r="AP567" s="146"/>
      <c r="AQ567" s="158"/>
      <c r="AR567" s="162"/>
      <c r="AS567" s="147"/>
      <c r="AT567" s="164"/>
      <c r="AU567" s="147"/>
      <c r="AV567" s="147"/>
      <c r="AW567" s="139"/>
      <c r="AX567" s="139"/>
      <c r="AY567" s="139"/>
      <c r="AZ567" s="139"/>
      <c r="BA567" s="147"/>
      <c r="BB567" s="142"/>
      <c r="BC567" s="148"/>
      <c r="BD567" s="148"/>
      <c r="BE567" s="148"/>
      <c r="BF567" s="148"/>
      <c r="BG567" s="148"/>
      <c r="BH567" s="148"/>
      <c r="BI567" s="148"/>
      <c r="BJ567" s="148"/>
      <c r="BK567" s="148"/>
      <c r="BL567" s="148"/>
      <c r="BM567" s="148"/>
      <c r="BN567" s="148"/>
      <c r="BO567" s="148"/>
      <c r="BP567" s="148"/>
      <c r="BQ567" s="148"/>
      <c r="BR567" s="148"/>
    </row>
    <row r="568" spans="1:70" s="190" customFormat="1">
      <c r="A568" s="176">
        <v>566</v>
      </c>
      <c r="F568" s="171">
        <v>43146.026018518518</v>
      </c>
      <c r="G568" s="171">
        <v>43146.032604166663</v>
      </c>
      <c r="H568" s="251">
        <f t="shared" si="731"/>
        <v>6.5856481451191939E-3</v>
      </c>
      <c r="I568" s="173">
        <v>49.54</v>
      </c>
      <c r="J568" s="174" t="s">
        <v>260</v>
      </c>
      <c r="K568" s="175" t="s">
        <v>72</v>
      </c>
      <c r="L568" s="175" t="s">
        <v>73</v>
      </c>
      <c r="M568" s="175">
        <v>-369</v>
      </c>
      <c r="N568" s="176">
        <v>1</v>
      </c>
      <c r="O568" s="176">
        <v>200</v>
      </c>
      <c r="P568" s="175">
        <v>348</v>
      </c>
      <c r="Q568" s="175" t="s">
        <v>75</v>
      </c>
      <c r="R568" s="175" t="s">
        <v>674</v>
      </c>
      <c r="S568" s="177"/>
      <c r="T568" s="177"/>
      <c r="U568" s="175">
        <v>983</v>
      </c>
      <c r="V568" s="178">
        <v>1500</v>
      </c>
      <c r="W568" s="179"/>
      <c r="X568" s="177"/>
      <c r="Y568" s="177"/>
      <c r="Z568" s="177"/>
      <c r="AA568" s="177"/>
      <c r="AB568" s="180"/>
      <c r="AC568" s="174">
        <v>160.1</v>
      </c>
      <c r="AD568" s="177">
        <v>-109.9</v>
      </c>
      <c r="AE568" s="177">
        <v>3.94</v>
      </c>
      <c r="AF568" s="177">
        <v>-0.77</v>
      </c>
      <c r="AG568" s="177">
        <v>109.7</v>
      </c>
      <c r="AH568" s="177">
        <v>-110.1</v>
      </c>
      <c r="AI568" s="177">
        <v>3.7</v>
      </c>
      <c r="AJ568" s="174">
        <v>-0.33</v>
      </c>
      <c r="AK568" s="181"/>
      <c r="AL568" s="182" t="s">
        <v>678</v>
      </c>
      <c r="AM568" s="183"/>
      <c r="AN568" s="182"/>
      <c r="AO568" s="173"/>
      <c r="AP568" s="184"/>
      <c r="AQ568" s="185"/>
      <c r="AR568" s="186"/>
      <c r="AS568" s="187"/>
      <c r="AT568" s="188"/>
      <c r="AU568" s="187"/>
      <c r="AV568" s="187"/>
      <c r="AW568" s="177"/>
      <c r="AX568" s="177"/>
      <c r="AY568" s="177"/>
      <c r="AZ568" s="177"/>
      <c r="BA568" s="187"/>
      <c r="BB568" s="180"/>
      <c r="BC568" s="189"/>
      <c r="BD568" s="189"/>
      <c r="BE568" s="189"/>
      <c r="BF568" s="189"/>
      <c r="BG568" s="189"/>
      <c r="BH568" s="189"/>
      <c r="BI568" s="189"/>
      <c r="BJ568" s="189"/>
      <c r="BK568" s="189"/>
      <c r="BL568" s="189"/>
      <c r="BM568" s="189"/>
      <c r="BN568" s="189"/>
      <c r="BO568" s="189"/>
      <c r="BP568" s="189"/>
      <c r="BQ568" s="189"/>
      <c r="BR568" s="189"/>
    </row>
    <row r="569" spans="1:70" s="190" customFormat="1">
      <c r="A569" s="176">
        <v>567</v>
      </c>
      <c r="F569" s="171">
        <v>43146.033136574071</v>
      </c>
      <c r="G569" s="171">
        <v>43146.034409722219</v>
      </c>
      <c r="H569" s="251">
        <f t="shared" si="731"/>
        <v>1.2731481474475004E-3</v>
      </c>
      <c r="I569" s="173">
        <v>49.54</v>
      </c>
      <c r="J569" s="174" t="s">
        <v>260</v>
      </c>
      <c r="K569" s="175" t="s">
        <v>72</v>
      </c>
      <c r="L569" s="175" t="s">
        <v>73</v>
      </c>
      <c r="M569" s="175">
        <v>-369</v>
      </c>
      <c r="N569" s="176">
        <v>1</v>
      </c>
      <c r="O569" s="176">
        <v>200</v>
      </c>
      <c r="P569" s="175">
        <v>348</v>
      </c>
      <c r="Q569" s="175" t="s">
        <v>75</v>
      </c>
      <c r="R569" s="175" t="s">
        <v>679</v>
      </c>
      <c r="S569" s="177"/>
      <c r="T569" s="177"/>
      <c r="U569" s="175">
        <v>983</v>
      </c>
      <c r="V569" s="178">
        <v>-1900</v>
      </c>
      <c r="W569" s="179"/>
      <c r="X569" s="177"/>
      <c r="Y569" s="177"/>
      <c r="Z569" s="177"/>
      <c r="AA569" s="177"/>
      <c r="AB569" s="180"/>
      <c r="AC569" s="174">
        <v>160.1</v>
      </c>
      <c r="AD569" s="177">
        <v>-109.9</v>
      </c>
      <c r="AE569" s="177">
        <v>3.94</v>
      </c>
      <c r="AF569" s="177">
        <v>-0.77</v>
      </c>
      <c r="AG569" s="177">
        <v>109.7</v>
      </c>
      <c r="AH569" s="177">
        <v>-110.1</v>
      </c>
      <c r="AI569" s="177">
        <v>3.7</v>
      </c>
      <c r="AJ569" s="174">
        <v>-0.33</v>
      </c>
      <c r="AK569" s="181"/>
      <c r="AL569" s="182" t="s">
        <v>335</v>
      </c>
      <c r="AM569" s="183"/>
      <c r="AN569" s="182"/>
      <c r="AO569" s="173"/>
      <c r="AP569" s="184"/>
      <c r="AQ569" s="185"/>
      <c r="AR569" s="186"/>
      <c r="AS569" s="187"/>
      <c r="AT569" s="188"/>
      <c r="AU569" s="187"/>
      <c r="AV569" s="187"/>
      <c r="AW569" s="177"/>
      <c r="AX569" s="177"/>
      <c r="AY569" s="177"/>
      <c r="AZ569" s="177"/>
      <c r="BA569" s="187"/>
      <c r="BB569" s="180"/>
      <c r="BC569" s="189"/>
      <c r="BD569" s="189"/>
      <c r="BE569" s="189"/>
      <c r="BF569" s="189"/>
      <c r="BG569" s="189"/>
      <c r="BH569" s="189"/>
      <c r="BI569" s="189"/>
      <c r="BJ569" s="189"/>
      <c r="BK569" s="189"/>
      <c r="BL569" s="189"/>
      <c r="BM569" s="189"/>
      <c r="BN569" s="189"/>
      <c r="BO569" s="189"/>
      <c r="BP569" s="189"/>
      <c r="BQ569" s="189"/>
      <c r="BR569" s="189"/>
    </row>
    <row r="570" spans="1:70" s="190" customFormat="1">
      <c r="A570" s="176">
        <v>568</v>
      </c>
      <c r="F570" s="171">
        <v>43146.034525462965</v>
      </c>
      <c r="G570" s="171">
        <v>43146.035798611112</v>
      </c>
      <c r="H570" s="251">
        <f t="shared" si="731"/>
        <v>1.2731481474475004E-3</v>
      </c>
      <c r="I570" s="173">
        <v>49.54</v>
      </c>
      <c r="J570" s="174" t="s">
        <v>260</v>
      </c>
      <c r="K570" s="175" t="s">
        <v>72</v>
      </c>
      <c r="L570" s="175" t="s">
        <v>73</v>
      </c>
      <c r="M570" s="175">
        <v>-369</v>
      </c>
      <c r="N570" s="176">
        <v>1</v>
      </c>
      <c r="O570" s="176">
        <v>200</v>
      </c>
      <c r="P570" s="175">
        <v>348</v>
      </c>
      <c r="Q570" s="175" t="s">
        <v>75</v>
      </c>
      <c r="R570" s="175" t="s">
        <v>679</v>
      </c>
      <c r="S570" s="177"/>
      <c r="T570" s="177"/>
      <c r="U570" s="175">
        <v>983</v>
      </c>
      <c r="V570" s="178">
        <v>-1550</v>
      </c>
      <c r="W570" s="179"/>
      <c r="X570" s="177"/>
      <c r="Y570" s="177"/>
      <c r="Z570" s="177"/>
      <c r="AA570" s="177"/>
      <c r="AB570" s="180"/>
      <c r="AC570" s="174">
        <v>160.1</v>
      </c>
      <c r="AD570" s="177">
        <v>-109.9</v>
      </c>
      <c r="AE570" s="177">
        <v>3.94</v>
      </c>
      <c r="AF570" s="177">
        <v>-0.77</v>
      </c>
      <c r="AG570" s="177">
        <v>109.7</v>
      </c>
      <c r="AH570" s="177">
        <v>-110.1</v>
      </c>
      <c r="AI570" s="177">
        <v>3.7</v>
      </c>
      <c r="AJ570" s="174">
        <v>-0.33</v>
      </c>
      <c r="AK570" s="181"/>
      <c r="AL570" s="182" t="s">
        <v>336</v>
      </c>
      <c r="AM570" s="183"/>
      <c r="AN570" s="182"/>
      <c r="AO570" s="173"/>
      <c r="AP570" s="184"/>
      <c r="AQ570" s="185"/>
      <c r="AR570" s="186"/>
      <c r="AS570" s="187"/>
      <c r="AT570" s="188"/>
      <c r="AU570" s="187"/>
      <c r="AV570" s="187"/>
      <c r="AW570" s="177"/>
      <c r="AX570" s="177"/>
      <c r="AY570" s="177"/>
      <c r="AZ570" s="177"/>
      <c r="BA570" s="187"/>
      <c r="BB570" s="180"/>
      <c r="BC570" s="189"/>
      <c r="BD570" s="189"/>
      <c r="BE570" s="189"/>
      <c r="BF570" s="189"/>
      <c r="BG570" s="189"/>
      <c r="BH570" s="189"/>
      <c r="BI570" s="189"/>
      <c r="BJ570" s="189"/>
      <c r="BK570" s="189"/>
      <c r="BL570" s="189"/>
      <c r="BM570" s="189"/>
      <c r="BN570" s="189"/>
      <c r="BO570" s="189"/>
      <c r="BP570" s="189"/>
      <c r="BQ570" s="189"/>
      <c r="BR570" s="189"/>
    </row>
    <row r="571" spans="1:70" s="190" customFormat="1">
      <c r="A571" s="176">
        <v>569</v>
      </c>
      <c r="F571" s="171">
        <v>43146.028969907406</v>
      </c>
      <c r="G571" s="171">
        <v>43146.037175925929</v>
      </c>
      <c r="H571" s="251">
        <f t="shared" si="731"/>
        <v>8.2060185231966898E-3</v>
      </c>
      <c r="I571" s="173">
        <v>49.54</v>
      </c>
      <c r="J571" s="174" t="s">
        <v>260</v>
      </c>
      <c r="K571" s="175" t="s">
        <v>72</v>
      </c>
      <c r="L571" s="175" t="s">
        <v>73</v>
      </c>
      <c r="M571" s="175">
        <v>-369</v>
      </c>
      <c r="N571" s="176">
        <v>1</v>
      </c>
      <c r="O571" s="176">
        <v>200</v>
      </c>
      <c r="P571" s="175">
        <v>348</v>
      </c>
      <c r="Q571" s="175" t="s">
        <v>75</v>
      </c>
      <c r="R571" s="175" t="s">
        <v>679</v>
      </c>
      <c r="S571" s="177"/>
      <c r="T571" s="177"/>
      <c r="U571" s="175">
        <v>983</v>
      </c>
      <c r="V571" s="178">
        <v>-1200</v>
      </c>
      <c r="W571" s="179"/>
      <c r="X571" s="177"/>
      <c r="Y571" s="177"/>
      <c r="Z571" s="177"/>
      <c r="AA571" s="177"/>
      <c r="AB571" s="180"/>
      <c r="AC571" s="174">
        <v>160.1</v>
      </c>
      <c r="AD571" s="177">
        <v>-109.9</v>
      </c>
      <c r="AE571" s="177">
        <v>3.94</v>
      </c>
      <c r="AF571" s="177">
        <v>-0.77</v>
      </c>
      <c r="AG571" s="177">
        <v>109.7</v>
      </c>
      <c r="AH571" s="177">
        <v>-110.1</v>
      </c>
      <c r="AI571" s="177">
        <v>3.7</v>
      </c>
      <c r="AJ571" s="174">
        <v>-0.33</v>
      </c>
      <c r="AK571" s="181"/>
      <c r="AL571" s="182" t="s">
        <v>337</v>
      </c>
      <c r="AM571" s="183"/>
      <c r="AN571" s="182"/>
      <c r="AO571" s="173"/>
      <c r="AP571" s="184"/>
      <c r="AQ571" s="185"/>
      <c r="AR571" s="186"/>
      <c r="AS571" s="187"/>
      <c r="AT571" s="188"/>
      <c r="AU571" s="187"/>
      <c r="AV571" s="187"/>
      <c r="AW571" s="177"/>
      <c r="AX571" s="177"/>
      <c r="AY571" s="177"/>
      <c r="AZ571" s="177"/>
      <c r="BA571" s="187"/>
      <c r="BB571" s="180"/>
      <c r="BC571" s="189"/>
      <c r="BD571" s="189"/>
      <c r="BE571" s="189"/>
      <c r="BF571" s="189"/>
      <c r="BG571" s="189"/>
      <c r="BH571" s="189"/>
      <c r="BI571" s="189"/>
      <c r="BJ571" s="189"/>
      <c r="BK571" s="189"/>
      <c r="BL571" s="189"/>
      <c r="BM571" s="189"/>
      <c r="BN571" s="189"/>
      <c r="BO571" s="189"/>
      <c r="BP571" s="189"/>
      <c r="BQ571" s="189"/>
      <c r="BR571" s="189"/>
    </row>
    <row r="572" spans="1:70" s="190" customFormat="1">
      <c r="A572" s="176">
        <v>570</v>
      </c>
      <c r="F572" s="171">
        <v>43146.037314814814</v>
      </c>
      <c r="G572" s="171">
        <v>43146.038564814815</v>
      </c>
      <c r="H572" s="251">
        <f t="shared" si="731"/>
        <v>1.2500000011641532E-3</v>
      </c>
      <c r="I572" s="173">
        <v>49.54</v>
      </c>
      <c r="J572" s="174" t="s">
        <v>260</v>
      </c>
      <c r="K572" s="175" t="s">
        <v>72</v>
      </c>
      <c r="L572" s="175" t="s">
        <v>73</v>
      </c>
      <c r="M572" s="175">
        <v>-369</v>
      </c>
      <c r="N572" s="176">
        <v>1</v>
      </c>
      <c r="O572" s="176">
        <v>200</v>
      </c>
      <c r="P572" s="175">
        <v>348</v>
      </c>
      <c r="Q572" s="175" t="s">
        <v>75</v>
      </c>
      <c r="R572" s="175" t="s">
        <v>679</v>
      </c>
      <c r="S572" s="177"/>
      <c r="T572" s="177"/>
      <c r="U572" s="175">
        <v>983</v>
      </c>
      <c r="V572" s="178">
        <v>-900</v>
      </c>
      <c r="W572" s="179"/>
      <c r="X572" s="177"/>
      <c r="Y572" s="177"/>
      <c r="Z572" s="177"/>
      <c r="AA572" s="177"/>
      <c r="AB572" s="180"/>
      <c r="AC572" s="174">
        <v>160.1</v>
      </c>
      <c r="AD572" s="177">
        <v>-109.9</v>
      </c>
      <c r="AE572" s="177">
        <v>3.94</v>
      </c>
      <c r="AF572" s="177">
        <v>-0.77</v>
      </c>
      <c r="AG572" s="177">
        <v>109.7</v>
      </c>
      <c r="AH572" s="177">
        <v>-110.1</v>
      </c>
      <c r="AI572" s="177">
        <v>3.7</v>
      </c>
      <c r="AJ572" s="174">
        <v>-0.33</v>
      </c>
      <c r="AK572" s="181"/>
      <c r="AL572" s="182" t="s">
        <v>338</v>
      </c>
      <c r="AM572" s="183"/>
      <c r="AN572" s="182"/>
      <c r="AO572" s="173"/>
      <c r="AP572" s="184"/>
      <c r="AQ572" s="185"/>
      <c r="AR572" s="186"/>
      <c r="AS572" s="187"/>
      <c r="AT572" s="188"/>
      <c r="AU572" s="187"/>
      <c r="AV572" s="187"/>
      <c r="AW572" s="177"/>
      <c r="AX572" s="177"/>
      <c r="AY572" s="177"/>
      <c r="AZ572" s="177"/>
      <c r="BA572" s="187"/>
      <c r="BB572" s="180"/>
      <c r="BC572" s="189"/>
      <c r="BD572" s="189"/>
      <c r="BE572" s="189"/>
      <c r="BF572" s="189"/>
      <c r="BG572" s="189"/>
      <c r="BH572" s="189"/>
      <c r="BI572" s="189"/>
      <c r="BJ572" s="189"/>
      <c r="BK572" s="189"/>
      <c r="BL572" s="189"/>
      <c r="BM572" s="189"/>
      <c r="BN572" s="189"/>
      <c r="BO572" s="189"/>
      <c r="BP572" s="189"/>
      <c r="BQ572" s="189"/>
      <c r="BR572" s="189"/>
    </row>
    <row r="573" spans="1:70" s="190" customFormat="1">
      <c r="A573" s="176">
        <v>571</v>
      </c>
      <c r="F573" s="171">
        <v>43146.038703703707</v>
      </c>
      <c r="G573" s="171">
        <v>43146.039942129632</v>
      </c>
      <c r="H573" s="251">
        <f t="shared" si="731"/>
        <v>1.2384259243845008E-3</v>
      </c>
      <c r="I573" s="173">
        <v>49.54</v>
      </c>
      <c r="J573" s="174" t="s">
        <v>260</v>
      </c>
      <c r="K573" s="175" t="s">
        <v>72</v>
      </c>
      <c r="L573" s="175" t="s">
        <v>73</v>
      </c>
      <c r="M573" s="175">
        <v>-369</v>
      </c>
      <c r="N573" s="176">
        <v>1</v>
      </c>
      <c r="O573" s="176">
        <v>200</v>
      </c>
      <c r="P573" s="175">
        <v>348</v>
      </c>
      <c r="Q573" s="175" t="s">
        <v>75</v>
      </c>
      <c r="R573" s="175" t="s">
        <v>679</v>
      </c>
      <c r="S573" s="177"/>
      <c r="T573" s="177"/>
      <c r="U573" s="175">
        <v>983</v>
      </c>
      <c r="V573" s="178">
        <v>-600</v>
      </c>
      <c r="W573" s="179"/>
      <c r="X573" s="177"/>
      <c r="Y573" s="177"/>
      <c r="Z573" s="177"/>
      <c r="AA573" s="177"/>
      <c r="AB573" s="180"/>
      <c r="AC573" s="174">
        <v>160.1</v>
      </c>
      <c r="AD573" s="177">
        <v>-109.9</v>
      </c>
      <c r="AE573" s="177">
        <v>3.94</v>
      </c>
      <c r="AF573" s="177">
        <v>-0.77</v>
      </c>
      <c r="AG573" s="177">
        <v>109.7</v>
      </c>
      <c r="AH573" s="177">
        <v>-110.1</v>
      </c>
      <c r="AI573" s="177">
        <v>3.7</v>
      </c>
      <c r="AJ573" s="174">
        <v>-0.33</v>
      </c>
      <c r="AK573" s="181"/>
      <c r="AL573" s="182" t="s">
        <v>339</v>
      </c>
      <c r="AM573" s="183"/>
      <c r="AN573" s="182"/>
      <c r="AO573" s="173"/>
      <c r="AP573" s="184"/>
      <c r="AQ573" s="185"/>
      <c r="AR573" s="186"/>
      <c r="AS573" s="187"/>
      <c r="AT573" s="188"/>
      <c r="AU573" s="187"/>
      <c r="AV573" s="187"/>
      <c r="AW573" s="177"/>
      <c r="AX573" s="177"/>
      <c r="AY573" s="177"/>
      <c r="AZ573" s="177"/>
      <c r="BA573" s="187"/>
      <c r="BB573" s="180"/>
      <c r="BC573" s="189"/>
      <c r="BD573" s="189"/>
      <c r="BE573" s="189"/>
      <c r="BF573" s="189"/>
      <c r="BG573" s="189"/>
      <c r="BH573" s="189"/>
      <c r="BI573" s="189"/>
      <c r="BJ573" s="189"/>
      <c r="BK573" s="189"/>
      <c r="BL573" s="189"/>
      <c r="BM573" s="189"/>
      <c r="BN573" s="189"/>
      <c r="BO573" s="189"/>
      <c r="BP573" s="189"/>
      <c r="BQ573" s="189"/>
      <c r="BR573" s="189"/>
    </row>
    <row r="574" spans="1:70" s="190" customFormat="1">
      <c r="A574" s="176">
        <v>572</v>
      </c>
      <c r="F574" s="171">
        <v>43146.040069444447</v>
      </c>
      <c r="G574" s="171">
        <v>43146.041331018518</v>
      </c>
      <c r="H574" s="251">
        <f t="shared" si="731"/>
        <v>1.261574070667848E-3</v>
      </c>
      <c r="I574" s="173">
        <v>49.54</v>
      </c>
      <c r="J574" s="174" t="s">
        <v>260</v>
      </c>
      <c r="K574" s="175" t="s">
        <v>72</v>
      </c>
      <c r="L574" s="175" t="s">
        <v>73</v>
      </c>
      <c r="M574" s="175">
        <v>-369</v>
      </c>
      <c r="N574" s="176">
        <v>1</v>
      </c>
      <c r="O574" s="176">
        <v>200</v>
      </c>
      <c r="P574" s="175">
        <v>348</v>
      </c>
      <c r="Q574" s="175" t="s">
        <v>75</v>
      </c>
      <c r="R574" s="175" t="s">
        <v>679</v>
      </c>
      <c r="S574" s="177"/>
      <c r="T574" s="177"/>
      <c r="U574" s="175">
        <v>983</v>
      </c>
      <c r="V574" s="178">
        <v>-300</v>
      </c>
      <c r="W574" s="179"/>
      <c r="X574" s="177"/>
      <c r="Y574" s="177"/>
      <c r="Z574" s="177"/>
      <c r="AA574" s="177"/>
      <c r="AB574" s="180"/>
      <c r="AC574" s="174">
        <v>160.1</v>
      </c>
      <c r="AD574" s="177">
        <v>-109.9</v>
      </c>
      <c r="AE574" s="177">
        <v>3.94</v>
      </c>
      <c r="AF574" s="177">
        <v>-0.77</v>
      </c>
      <c r="AG574" s="177">
        <v>109.7</v>
      </c>
      <c r="AH574" s="177">
        <v>-110.1</v>
      </c>
      <c r="AI574" s="177">
        <v>3.7</v>
      </c>
      <c r="AJ574" s="174">
        <v>-0.33</v>
      </c>
      <c r="AK574" s="181"/>
      <c r="AL574" s="182" t="s">
        <v>340</v>
      </c>
      <c r="AM574" s="183"/>
      <c r="AN574" s="182"/>
      <c r="AO574" s="191"/>
      <c r="AP574" s="184"/>
      <c r="AQ574" s="193"/>
      <c r="AR574" s="186"/>
      <c r="AS574" s="187"/>
      <c r="AT574" s="188"/>
      <c r="AU574" s="187"/>
      <c r="AV574" s="187"/>
      <c r="AW574" s="177"/>
      <c r="AX574" s="177"/>
      <c r="AY574" s="177"/>
      <c r="AZ574" s="177"/>
      <c r="BA574" s="187"/>
      <c r="BB574" s="180"/>
      <c r="BC574" s="189"/>
      <c r="BD574" s="189"/>
      <c r="BE574" s="189"/>
      <c r="BF574" s="189"/>
      <c r="BG574" s="189"/>
      <c r="BH574" s="189"/>
      <c r="BI574" s="189"/>
      <c r="BJ574" s="189"/>
      <c r="BK574" s="189"/>
      <c r="BL574" s="189"/>
      <c r="BM574" s="189"/>
      <c r="BN574" s="189"/>
      <c r="BO574" s="189"/>
      <c r="BP574" s="189"/>
      <c r="BQ574" s="189"/>
      <c r="BR574" s="189"/>
    </row>
    <row r="575" spans="1:70" s="190" customFormat="1">
      <c r="A575" s="176">
        <v>573</v>
      </c>
      <c r="F575" s="171">
        <v>43146.041550925926</v>
      </c>
      <c r="G575" s="171">
        <v>43146.04277777778</v>
      </c>
      <c r="H575" s="251">
        <f t="shared" si="731"/>
        <v>1.2268518548808061E-3</v>
      </c>
      <c r="I575" s="173">
        <v>49.54</v>
      </c>
      <c r="J575" s="174" t="s">
        <v>260</v>
      </c>
      <c r="K575" s="175" t="s">
        <v>72</v>
      </c>
      <c r="L575" s="175" t="s">
        <v>73</v>
      </c>
      <c r="M575" s="175">
        <v>-369</v>
      </c>
      <c r="N575" s="176">
        <v>1</v>
      </c>
      <c r="O575" s="176">
        <v>200</v>
      </c>
      <c r="P575" s="175">
        <v>348</v>
      </c>
      <c r="Q575" s="175" t="s">
        <v>75</v>
      </c>
      <c r="R575" s="175" t="s">
        <v>679</v>
      </c>
      <c r="S575" s="177"/>
      <c r="T575" s="177"/>
      <c r="U575" s="175">
        <v>983</v>
      </c>
      <c r="V575" s="178">
        <v>0</v>
      </c>
      <c r="W575" s="179"/>
      <c r="X575" s="177"/>
      <c r="Y575" s="177"/>
      <c r="Z575" s="177"/>
      <c r="AA575" s="177"/>
      <c r="AB575" s="180"/>
      <c r="AC575" s="174">
        <v>160.1</v>
      </c>
      <c r="AD575" s="177">
        <v>-109.9</v>
      </c>
      <c r="AE575" s="177">
        <v>3.94</v>
      </c>
      <c r="AF575" s="177">
        <v>-0.77</v>
      </c>
      <c r="AG575" s="177">
        <v>109.7</v>
      </c>
      <c r="AH575" s="177">
        <v>-110.1</v>
      </c>
      <c r="AI575" s="177">
        <v>3.7</v>
      </c>
      <c r="AJ575" s="174">
        <v>-0.33</v>
      </c>
      <c r="AK575" s="181"/>
      <c r="AL575" s="182" t="s">
        <v>246</v>
      </c>
      <c r="AM575" s="183"/>
      <c r="AN575" s="182"/>
      <c r="AO575" s="191"/>
      <c r="AP575" s="184"/>
      <c r="AQ575" s="193"/>
      <c r="AR575" s="186"/>
      <c r="AS575" s="187"/>
      <c r="AT575" s="188"/>
      <c r="AU575" s="187"/>
      <c r="AV575" s="187"/>
      <c r="AW575" s="177"/>
      <c r="AX575" s="177"/>
      <c r="AY575" s="177"/>
      <c r="AZ575" s="177"/>
      <c r="BA575" s="187"/>
      <c r="BB575" s="180"/>
      <c r="BC575" s="189"/>
      <c r="BD575" s="189"/>
      <c r="BE575" s="189"/>
      <c r="BF575" s="189"/>
      <c r="BG575" s="189"/>
      <c r="BH575" s="189"/>
      <c r="BI575" s="189"/>
      <c r="BJ575" s="189"/>
      <c r="BK575" s="189"/>
      <c r="BL575" s="189"/>
      <c r="BM575" s="189"/>
      <c r="BN575" s="189"/>
      <c r="BO575" s="189"/>
      <c r="BP575" s="189"/>
      <c r="BQ575" s="189"/>
      <c r="BR575" s="189"/>
    </row>
    <row r="576" spans="1:70" s="190" customFormat="1">
      <c r="A576" s="176">
        <v>574</v>
      </c>
      <c r="F576" s="171">
        <v>43146.043124999997</v>
      </c>
      <c r="G576" s="171">
        <v>43146.044340277775</v>
      </c>
      <c r="H576" s="251">
        <f t="shared" si="731"/>
        <v>1.2152777781011537E-3</v>
      </c>
      <c r="I576" s="173">
        <v>49.54</v>
      </c>
      <c r="J576" s="174" t="s">
        <v>260</v>
      </c>
      <c r="K576" s="175" t="s">
        <v>72</v>
      </c>
      <c r="L576" s="175" t="s">
        <v>73</v>
      </c>
      <c r="M576" s="175">
        <v>-369</v>
      </c>
      <c r="N576" s="176">
        <v>1</v>
      </c>
      <c r="O576" s="176">
        <v>200</v>
      </c>
      <c r="P576" s="175">
        <v>348</v>
      </c>
      <c r="Q576" s="175" t="s">
        <v>75</v>
      </c>
      <c r="R576" s="175" t="s">
        <v>679</v>
      </c>
      <c r="S576" s="177"/>
      <c r="T576" s="177"/>
      <c r="U576" s="175">
        <v>983</v>
      </c>
      <c r="V576" s="178">
        <v>350</v>
      </c>
      <c r="W576" s="179"/>
      <c r="X576" s="177"/>
      <c r="Y576" s="177"/>
      <c r="Z576" s="177"/>
      <c r="AA576" s="177"/>
      <c r="AB576" s="180"/>
      <c r="AC576" s="174">
        <v>160.1</v>
      </c>
      <c r="AD576" s="177">
        <v>-109.9</v>
      </c>
      <c r="AE576" s="177">
        <v>3.94</v>
      </c>
      <c r="AF576" s="177">
        <v>-0.77</v>
      </c>
      <c r="AG576" s="177">
        <v>109.7</v>
      </c>
      <c r="AH576" s="177">
        <v>-110.1</v>
      </c>
      <c r="AI576" s="177">
        <v>3.7</v>
      </c>
      <c r="AJ576" s="174">
        <v>-0.33</v>
      </c>
      <c r="AK576" s="181"/>
      <c r="AL576" s="182" t="s">
        <v>247</v>
      </c>
      <c r="AM576" s="183"/>
      <c r="AN576" s="182"/>
      <c r="AO576" s="191"/>
      <c r="AP576" s="184"/>
      <c r="AQ576" s="193"/>
      <c r="AR576" s="186"/>
      <c r="AS576" s="187"/>
      <c r="AT576" s="188"/>
      <c r="AU576" s="187"/>
      <c r="AV576" s="187"/>
      <c r="AW576" s="177"/>
      <c r="AX576" s="177"/>
      <c r="AY576" s="177"/>
      <c r="AZ576" s="177"/>
      <c r="BA576" s="187"/>
      <c r="BB576" s="180"/>
      <c r="BC576" s="189"/>
      <c r="BD576" s="189"/>
      <c r="BE576" s="189"/>
      <c r="BF576" s="189"/>
      <c r="BG576" s="189"/>
      <c r="BH576" s="189"/>
      <c r="BI576" s="189"/>
      <c r="BJ576" s="189"/>
      <c r="BK576" s="189"/>
      <c r="BL576" s="189"/>
      <c r="BM576" s="189"/>
      <c r="BN576" s="189"/>
      <c r="BO576" s="189"/>
      <c r="BP576" s="189"/>
      <c r="BQ576" s="189"/>
      <c r="BR576" s="189"/>
    </row>
    <row r="577" spans="1:70" s="190" customFormat="1">
      <c r="A577" s="176">
        <v>575</v>
      </c>
      <c r="F577" s="171">
        <v>43146.044444444444</v>
      </c>
      <c r="G577" s="171">
        <v>43146.052708333336</v>
      </c>
      <c r="H577" s="251">
        <f t="shared" si="731"/>
        <v>8.2638888925430365E-3</v>
      </c>
      <c r="I577" s="173">
        <v>49.54</v>
      </c>
      <c r="J577" s="174" t="s">
        <v>260</v>
      </c>
      <c r="K577" s="175" t="s">
        <v>72</v>
      </c>
      <c r="L577" s="175" t="s">
        <v>73</v>
      </c>
      <c r="M577" s="175">
        <v>-369</v>
      </c>
      <c r="N577" s="176">
        <v>1</v>
      </c>
      <c r="O577" s="176">
        <v>200</v>
      </c>
      <c r="P577" s="175">
        <v>348</v>
      </c>
      <c r="Q577" s="175" t="s">
        <v>75</v>
      </c>
      <c r="R577" s="175" t="s">
        <v>679</v>
      </c>
      <c r="S577" s="177"/>
      <c r="T577" s="177"/>
      <c r="U577" s="175">
        <v>983</v>
      </c>
      <c r="V577" s="178">
        <v>700</v>
      </c>
      <c r="W577" s="179"/>
      <c r="X577" s="177"/>
      <c r="Y577" s="177"/>
      <c r="Z577" s="177"/>
      <c r="AA577" s="177"/>
      <c r="AB577" s="180"/>
      <c r="AC577" s="174">
        <v>160.1</v>
      </c>
      <c r="AD577" s="177">
        <v>-109.9</v>
      </c>
      <c r="AE577" s="177">
        <v>3.94</v>
      </c>
      <c r="AF577" s="177">
        <v>-0.77</v>
      </c>
      <c r="AG577" s="177">
        <v>109.7</v>
      </c>
      <c r="AH577" s="177">
        <v>-110.1</v>
      </c>
      <c r="AI577" s="177">
        <v>3.7</v>
      </c>
      <c r="AJ577" s="174">
        <v>-0.33</v>
      </c>
      <c r="AK577" s="181"/>
      <c r="AL577" s="182" t="s">
        <v>248</v>
      </c>
      <c r="AM577" s="183"/>
      <c r="AN577" s="182"/>
      <c r="AO577" s="191"/>
      <c r="AP577" s="184"/>
      <c r="AQ577" s="193"/>
      <c r="AR577" s="186"/>
      <c r="AS577" s="187"/>
      <c r="AT577" s="188"/>
      <c r="AU577" s="187"/>
      <c r="AV577" s="187"/>
      <c r="AW577" s="177"/>
      <c r="AX577" s="177"/>
      <c r="AY577" s="177"/>
      <c r="AZ577" s="177"/>
      <c r="BA577" s="187"/>
      <c r="BB577" s="180"/>
      <c r="BC577" s="189"/>
      <c r="BD577" s="189"/>
      <c r="BE577" s="189"/>
      <c r="BF577" s="189"/>
      <c r="BG577" s="189"/>
      <c r="BH577" s="189"/>
      <c r="BI577" s="189"/>
      <c r="BJ577" s="189"/>
      <c r="BK577" s="189"/>
      <c r="BL577" s="189"/>
      <c r="BM577" s="189"/>
      <c r="BN577" s="189"/>
      <c r="BO577" s="189"/>
      <c r="BP577" s="189"/>
      <c r="BQ577" s="189"/>
      <c r="BR577" s="189"/>
    </row>
    <row r="578" spans="1:70" s="190" customFormat="1">
      <c r="A578" s="176">
        <v>576</v>
      </c>
      <c r="F578" s="171">
        <v>43146.052893518521</v>
      </c>
      <c r="G578" s="171">
        <v>43146.055</v>
      </c>
      <c r="H578" s="251">
        <f t="shared" si="731"/>
        <v>2.1064814791316167E-3</v>
      </c>
      <c r="I578" s="173">
        <v>49.54</v>
      </c>
      <c r="J578" s="174" t="s">
        <v>260</v>
      </c>
      <c r="K578" s="175" t="s">
        <v>72</v>
      </c>
      <c r="L578" s="175" t="s">
        <v>73</v>
      </c>
      <c r="M578" s="175">
        <v>-369</v>
      </c>
      <c r="N578" s="176">
        <v>1</v>
      </c>
      <c r="O578" s="176">
        <v>200</v>
      </c>
      <c r="P578" s="175">
        <v>348</v>
      </c>
      <c r="Q578" s="175" t="s">
        <v>75</v>
      </c>
      <c r="R578" s="175" t="s">
        <v>679</v>
      </c>
      <c r="S578" s="177"/>
      <c r="T578" s="177"/>
      <c r="U578" s="175">
        <v>983</v>
      </c>
      <c r="V578" s="178">
        <v>1800</v>
      </c>
      <c r="W578" s="179"/>
      <c r="X578" s="177"/>
      <c r="Y578" s="177"/>
      <c r="Z578" s="177"/>
      <c r="AA578" s="177"/>
      <c r="AB578" s="180"/>
      <c r="AC578" s="174">
        <v>160.1</v>
      </c>
      <c r="AD578" s="177">
        <v>-109.9</v>
      </c>
      <c r="AE578" s="177">
        <v>3.94</v>
      </c>
      <c r="AF578" s="177">
        <v>-0.77</v>
      </c>
      <c r="AG578" s="177">
        <v>109.7</v>
      </c>
      <c r="AH578" s="177">
        <v>-110.1</v>
      </c>
      <c r="AI578" s="177">
        <v>3.7</v>
      </c>
      <c r="AJ578" s="174">
        <v>-0.33</v>
      </c>
      <c r="AK578" s="181"/>
      <c r="AL578" s="182" t="s">
        <v>249</v>
      </c>
      <c r="AM578" s="183"/>
      <c r="AN578" s="182"/>
      <c r="AO578" s="191"/>
      <c r="AP578" s="184"/>
      <c r="AQ578" s="193"/>
      <c r="AR578" s="186"/>
      <c r="AS578" s="187"/>
      <c r="AT578" s="188"/>
      <c r="AU578" s="187"/>
      <c r="AV578" s="187"/>
      <c r="AW578" s="177"/>
      <c r="AX578" s="177"/>
      <c r="AY578" s="177"/>
      <c r="AZ578" s="177"/>
      <c r="BA578" s="187"/>
      <c r="BB578" s="180"/>
      <c r="BC578" s="189"/>
      <c r="BD578" s="189"/>
      <c r="BE578" s="189"/>
      <c r="BF578" s="189"/>
      <c r="BG578" s="189"/>
      <c r="BH578" s="189"/>
      <c r="BI578" s="189"/>
      <c r="BJ578" s="189"/>
      <c r="BK578" s="189"/>
      <c r="BL578" s="189"/>
      <c r="BM578" s="189"/>
      <c r="BN578" s="189"/>
      <c r="BO578" s="189"/>
      <c r="BP578" s="189"/>
      <c r="BQ578" s="189"/>
      <c r="BR578" s="189"/>
    </row>
    <row r="579" spans="1:70" s="190" customFormat="1">
      <c r="A579" s="176">
        <v>577</v>
      </c>
      <c r="F579" s="171">
        <v>43146.055231481485</v>
      </c>
      <c r="G579" s="171">
        <v>43146.055231481485</v>
      </c>
      <c r="H579" s="251">
        <f t="shared" si="731"/>
        <v>0</v>
      </c>
      <c r="I579" s="173">
        <v>49.54</v>
      </c>
      <c r="J579" s="174" t="s">
        <v>260</v>
      </c>
      <c r="K579" s="175" t="s">
        <v>72</v>
      </c>
      <c r="L579" s="175" t="s">
        <v>73</v>
      </c>
      <c r="M579" s="175">
        <v>-369</v>
      </c>
      <c r="N579" s="176">
        <v>1</v>
      </c>
      <c r="O579" s="176">
        <v>200</v>
      </c>
      <c r="P579" s="175">
        <v>348</v>
      </c>
      <c r="Q579" s="175" t="s">
        <v>75</v>
      </c>
      <c r="R579" s="175" t="s">
        <v>679</v>
      </c>
      <c r="S579" s="177"/>
      <c r="T579" s="177"/>
      <c r="U579" s="175">
        <v>983</v>
      </c>
      <c r="V579" s="178">
        <v>2150</v>
      </c>
      <c r="W579" s="179"/>
      <c r="X579" s="177"/>
      <c r="Y579" s="177"/>
      <c r="Z579" s="177"/>
      <c r="AA579" s="177"/>
      <c r="AB579" s="180"/>
      <c r="AC579" s="174">
        <v>160.1</v>
      </c>
      <c r="AD579" s="177">
        <v>-109.9</v>
      </c>
      <c r="AE579" s="177">
        <v>3.94</v>
      </c>
      <c r="AF579" s="177">
        <v>-0.77</v>
      </c>
      <c r="AG579" s="177">
        <v>109.7</v>
      </c>
      <c r="AH579" s="177">
        <v>-110.1</v>
      </c>
      <c r="AI579" s="177">
        <v>3.7</v>
      </c>
      <c r="AJ579" s="174">
        <v>-0.33</v>
      </c>
      <c r="AK579" s="181"/>
      <c r="AL579" s="182" t="s">
        <v>342</v>
      </c>
      <c r="AM579" s="183"/>
      <c r="AN579" s="182"/>
      <c r="AO579" s="191"/>
      <c r="AP579" s="184"/>
      <c r="AQ579" s="193"/>
      <c r="AR579" s="186"/>
      <c r="AS579" s="187"/>
      <c r="AT579" s="188"/>
      <c r="AU579" s="187"/>
      <c r="AV579" s="187"/>
      <c r="AW579" s="177"/>
      <c r="AX579" s="177"/>
      <c r="AY579" s="177"/>
      <c r="AZ579" s="177"/>
      <c r="BA579" s="187"/>
      <c r="BB579" s="180"/>
      <c r="BC579" s="189"/>
      <c r="BD579" s="189"/>
      <c r="BE579" s="189"/>
      <c r="BF579" s="189"/>
      <c r="BG579" s="189"/>
      <c r="BH579" s="189"/>
      <c r="BI579" s="189"/>
      <c r="BJ579" s="189"/>
      <c r="BK579" s="189"/>
      <c r="BL579" s="189"/>
      <c r="BM579" s="189"/>
      <c r="BN579" s="189"/>
      <c r="BO579" s="189"/>
      <c r="BP579" s="189"/>
      <c r="BQ579" s="189"/>
      <c r="BR579" s="189"/>
    </row>
    <row r="580" spans="1:70">
      <c r="A580" s="108">
        <v>578</v>
      </c>
      <c r="F580" s="45">
        <v>43146.057372685187</v>
      </c>
      <c r="G580" s="45">
        <v>43146.098564814813</v>
      </c>
      <c r="H580" s="53">
        <f>G580-F580-'user time'!Z79</f>
        <v>3.968749999578533E-2</v>
      </c>
      <c r="I580" s="86">
        <v>49.58</v>
      </c>
      <c r="J580" s="109" t="s">
        <v>260</v>
      </c>
      <c r="K580" s="88" t="s">
        <v>72</v>
      </c>
      <c r="L580" s="88" t="s">
        <v>73</v>
      </c>
      <c r="M580" s="88">
        <v>-369</v>
      </c>
      <c r="N580" s="108">
        <v>1</v>
      </c>
      <c r="O580" s="108">
        <v>200</v>
      </c>
      <c r="P580" s="88">
        <v>348</v>
      </c>
      <c r="Q580" s="88" t="s">
        <v>75</v>
      </c>
      <c r="R580" s="88" t="s">
        <v>348</v>
      </c>
      <c r="S580" s="110">
        <v>9400</v>
      </c>
      <c r="T580" s="110">
        <v>856</v>
      </c>
      <c r="U580" s="88">
        <v>983</v>
      </c>
      <c r="V580" s="90">
        <v>1500</v>
      </c>
      <c r="W580" s="111">
        <v>10</v>
      </c>
      <c r="X580" s="110">
        <v>48188</v>
      </c>
      <c r="Y580" s="110">
        <v>825923</v>
      </c>
      <c r="Z580" s="110">
        <v>6235014</v>
      </c>
      <c r="AA580" s="110">
        <v>1977021</v>
      </c>
      <c r="AB580" s="112">
        <v>4278345</v>
      </c>
      <c r="AC580" s="109">
        <v>160.1</v>
      </c>
      <c r="AD580" s="110">
        <v>-109.9</v>
      </c>
      <c r="AE580" s="110">
        <v>3.94</v>
      </c>
      <c r="AF580" s="110">
        <v>-0.77</v>
      </c>
      <c r="AG580" s="110">
        <v>109.7</v>
      </c>
      <c r="AH580" s="110">
        <v>-110</v>
      </c>
      <c r="AI580" s="110">
        <v>3.7</v>
      </c>
      <c r="AJ580" s="109">
        <v>-0.33</v>
      </c>
      <c r="AK580" s="113" t="s">
        <v>59</v>
      </c>
      <c r="AL580" s="107" t="s">
        <v>181</v>
      </c>
      <c r="AN580" s="107">
        <v>0.96</v>
      </c>
      <c r="AO580" s="48">
        <f t="shared" ref="AO580:AO587" si="732">(HOUR(H580)*60*60+MINUTE(H580)*60+SECOND(H580))/5.2*AA580/W580*AN580</f>
        <v>125154554.01230767</v>
      </c>
      <c r="AP580" s="156">
        <f t="shared" ref="AP580:AP587" si="733">AO580*0.7</f>
        <v>87608187.808615372</v>
      </c>
      <c r="AQ580" s="161">
        <f>AP580+AQ562</f>
        <v>23166070151.134388</v>
      </c>
      <c r="AR580" s="163">
        <f>H580+AR562</f>
        <v>10.41542824069546</v>
      </c>
      <c r="AS580" s="49">
        <f t="shared" ref="AS580:AS587" si="734">I580*(HOUR(H580)*60+MINUTE(H580))/60/(7*24)</f>
        <v>0.28036309523809522</v>
      </c>
      <c r="AT580" s="165">
        <f>AS580+AT562</f>
        <v>70.576654761904734</v>
      </c>
      <c r="AU580" s="254">
        <f t="shared" ref="AU580:AU592" si="735">AA580/W580*AN580</f>
        <v>189794.016</v>
      </c>
      <c r="AV580" s="255">
        <f t="shared" ref="AV580:AV592" si="736">AB580/W580+AA580/W580*(1-AN580)</f>
        <v>435742.58400000003</v>
      </c>
      <c r="AW580" s="256">
        <f t="shared" ref="AW580:AW593" si="737">AU580/AV580</f>
        <v>0.43556453504668247</v>
      </c>
    </row>
    <row r="581" spans="1:70">
      <c r="A581" s="108">
        <v>579</v>
      </c>
      <c r="F581" s="45">
        <v>43146.098935185182</v>
      </c>
      <c r="G581" s="45">
        <v>43146.11377314815</v>
      </c>
      <c r="H581" s="53">
        <f>G581-F581-'user time'!Z80</f>
        <v>1.4490740745936315E-2</v>
      </c>
      <c r="I581" s="86">
        <v>49.56</v>
      </c>
      <c r="J581" s="109" t="s">
        <v>260</v>
      </c>
      <c r="K581" s="88" t="s">
        <v>72</v>
      </c>
      <c r="L581" s="88" t="s">
        <v>73</v>
      </c>
      <c r="M581" s="88">
        <v>-369</v>
      </c>
      <c r="N581" s="108">
        <v>1</v>
      </c>
      <c r="O581" s="108">
        <v>200</v>
      </c>
      <c r="P581" s="88">
        <v>348</v>
      </c>
      <c r="Q581" s="88" t="s">
        <v>75</v>
      </c>
      <c r="R581" s="88" t="s">
        <v>348</v>
      </c>
      <c r="S581" s="110">
        <v>9400</v>
      </c>
      <c r="T581" s="110">
        <v>860</v>
      </c>
      <c r="U581" s="88">
        <v>983</v>
      </c>
      <c r="V581" s="90">
        <v>1500</v>
      </c>
      <c r="W581" s="111">
        <v>10</v>
      </c>
      <c r="X581" s="110">
        <v>48091</v>
      </c>
      <c r="Y581" s="110">
        <v>828102</v>
      </c>
      <c r="Z581" s="110">
        <v>6114881</v>
      </c>
      <c r="AA581" s="110">
        <v>1947693</v>
      </c>
      <c r="AB581" s="112">
        <v>4187140</v>
      </c>
      <c r="AC581" s="109">
        <v>160.1</v>
      </c>
      <c r="AD581" s="110">
        <v>-109.9</v>
      </c>
      <c r="AE581" s="110">
        <v>3.94</v>
      </c>
      <c r="AF581" s="110">
        <v>-0.77</v>
      </c>
      <c r="AG581" s="110">
        <v>109.7</v>
      </c>
      <c r="AH581" s="110">
        <v>-110.1</v>
      </c>
      <c r="AI581" s="110">
        <v>3.7</v>
      </c>
      <c r="AJ581" s="109">
        <v>-0.33</v>
      </c>
      <c r="AK581" s="113" t="s">
        <v>59</v>
      </c>
      <c r="AL581" s="107" t="s">
        <v>668</v>
      </c>
      <c r="AN581" s="107">
        <v>0.95199999999999996</v>
      </c>
      <c r="AO581" s="48">
        <f t="shared" si="732"/>
        <v>44643520.720615387</v>
      </c>
      <c r="AP581" s="156">
        <f t="shared" si="733"/>
        <v>31250464.504430767</v>
      </c>
      <c r="AQ581" s="161">
        <f t="shared" ref="AQ581:AQ587" si="738">AP581+AQ580</f>
        <v>23197320615.638817</v>
      </c>
      <c r="AR581" s="163">
        <f t="shared" ref="AR581:AR587" si="739">H581+AR580</f>
        <v>10.429918981441396</v>
      </c>
      <c r="AS581" s="49">
        <f t="shared" si="734"/>
        <v>9.8333333333333328E-2</v>
      </c>
      <c r="AT581" s="165">
        <f t="shared" ref="AT581:AT587" si="740">AS581+AT580</f>
        <v>70.674988095238064</v>
      </c>
      <c r="AU581" s="254">
        <f t="shared" si="735"/>
        <v>185420.37359999999</v>
      </c>
      <c r="AV581" s="255">
        <f t="shared" si="736"/>
        <v>428062.9264</v>
      </c>
      <c r="AW581" s="256">
        <f t="shared" si="737"/>
        <v>0.43316148669865279</v>
      </c>
    </row>
    <row r="582" spans="1:70">
      <c r="A582" s="108">
        <v>580</v>
      </c>
      <c r="F582" s="45">
        <v>43146.120439814818</v>
      </c>
      <c r="G582" s="45">
        <v>43146.155115740738</v>
      </c>
      <c r="H582" s="53">
        <f>G582-F582</f>
        <v>3.4675925919145811E-2</v>
      </c>
      <c r="I582" s="86">
        <v>49.8</v>
      </c>
      <c r="J582" s="109" t="s">
        <v>260</v>
      </c>
      <c r="K582" s="88" t="s">
        <v>72</v>
      </c>
      <c r="L582" s="88" t="s">
        <v>73</v>
      </c>
      <c r="M582" s="88">
        <v>-369</v>
      </c>
      <c r="N582" s="108">
        <v>1</v>
      </c>
      <c r="O582" s="108">
        <v>200</v>
      </c>
      <c r="P582" s="88">
        <v>348</v>
      </c>
      <c r="Q582" s="88" t="s">
        <v>75</v>
      </c>
      <c r="R582" s="88" t="s">
        <v>348</v>
      </c>
      <c r="S582" s="110">
        <v>9400</v>
      </c>
      <c r="T582" s="110">
        <v>850</v>
      </c>
      <c r="U582" s="88">
        <v>983</v>
      </c>
      <c r="V582" s="90">
        <v>1500</v>
      </c>
      <c r="W582" s="111">
        <v>10</v>
      </c>
      <c r="X582" s="110">
        <v>48137</v>
      </c>
      <c r="Y582" s="110">
        <v>829271</v>
      </c>
      <c r="Z582" s="110">
        <v>6145246</v>
      </c>
      <c r="AA582" s="110">
        <v>1960535</v>
      </c>
      <c r="AB582" s="112">
        <v>4204332</v>
      </c>
      <c r="AC582" s="109">
        <v>160.1</v>
      </c>
      <c r="AD582" s="110">
        <v>-109.9</v>
      </c>
      <c r="AE582" s="110">
        <v>3.94</v>
      </c>
      <c r="AF582" s="110">
        <v>-0.77</v>
      </c>
      <c r="AG582" s="110">
        <v>109.7</v>
      </c>
      <c r="AH582" s="110">
        <v>-110</v>
      </c>
      <c r="AI582" s="110">
        <v>3.7</v>
      </c>
      <c r="AJ582" s="109">
        <v>-0.33</v>
      </c>
      <c r="AK582" s="113" t="s">
        <v>59</v>
      </c>
      <c r="AL582" s="107" t="s">
        <v>668</v>
      </c>
      <c r="AN582" s="107">
        <v>0.95399999999999996</v>
      </c>
      <c r="AO582" s="48">
        <f t="shared" si="732"/>
        <v>107760957.08538462</v>
      </c>
      <c r="AP582" s="156">
        <f t="shared" si="733"/>
        <v>75432669.959769234</v>
      </c>
      <c r="AQ582" s="161">
        <f t="shared" si="738"/>
        <v>23272753285.598587</v>
      </c>
      <c r="AR582" s="163">
        <f t="shared" si="739"/>
        <v>10.464594907360542</v>
      </c>
      <c r="AS582" s="49">
        <f t="shared" si="734"/>
        <v>0.24208333333333329</v>
      </c>
      <c r="AT582" s="165">
        <f t="shared" si="740"/>
        <v>70.91707142857139</v>
      </c>
      <c r="AU582" s="254">
        <f t="shared" si="735"/>
        <v>187035.03899999999</v>
      </c>
      <c r="AV582" s="255">
        <f t="shared" si="736"/>
        <v>429451.66100000002</v>
      </c>
      <c r="AW582" s="256">
        <f t="shared" si="737"/>
        <v>0.43552058586635661</v>
      </c>
    </row>
    <row r="583" spans="1:70">
      <c r="A583" s="108">
        <v>581</v>
      </c>
      <c r="F583" s="45">
        <v>43146.163506944446</v>
      </c>
      <c r="G583" s="45">
        <v>43146.193807870368</v>
      </c>
      <c r="H583" s="53">
        <f>G583-F583</f>
        <v>3.0300925922347233E-2</v>
      </c>
      <c r="I583" s="86">
        <v>49.55</v>
      </c>
      <c r="J583" s="109" t="s">
        <v>260</v>
      </c>
      <c r="K583" s="88" t="s">
        <v>72</v>
      </c>
      <c r="L583" s="88" t="s">
        <v>73</v>
      </c>
      <c r="M583" s="88">
        <v>-369</v>
      </c>
      <c r="N583" s="108">
        <v>1</v>
      </c>
      <c r="O583" s="108">
        <v>200</v>
      </c>
      <c r="P583" s="88">
        <v>348</v>
      </c>
      <c r="Q583" s="88" t="s">
        <v>75</v>
      </c>
      <c r="R583" s="88" t="s">
        <v>348</v>
      </c>
      <c r="S583" s="110">
        <v>9500</v>
      </c>
      <c r="T583" s="110">
        <v>850</v>
      </c>
      <c r="U583" s="88">
        <v>983</v>
      </c>
      <c r="V583" s="90">
        <v>1500</v>
      </c>
      <c r="W583" s="111">
        <v>10</v>
      </c>
      <c r="X583" s="110">
        <v>48118</v>
      </c>
      <c r="Y583" s="110">
        <v>828546</v>
      </c>
      <c r="Z583" s="110">
        <v>6125267</v>
      </c>
      <c r="AA583" s="110">
        <v>1953610</v>
      </c>
      <c r="AB583" s="112">
        <v>4191771</v>
      </c>
      <c r="AC583" s="109">
        <v>160.1</v>
      </c>
      <c r="AD583" s="110">
        <v>-109.9</v>
      </c>
      <c r="AE583" s="110">
        <v>3.94</v>
      </c>
      <c r="AF583" s="110">
        <v>-0.77</v>
      </c>
      <c r="AG583" s="110">
        <v>109.7</v>
      </c>
      <c r="AH583" s="110">
        <v>-110</v>
      </c>
      <c r="AI583" s="110">
        <v>3.7</v>
      </c>
      <c r="AJ583" s="109">
        <v>-0.33</v>
      </c>
      <c r="AK583" s="113" t="s">
        <v>59</v>
      </c>
      <c r="AL583" s="107" t="s">
        <v>668</v>
      </c>
      <c r="AN583" s="107">
        <v>0.95499999999999996</v>
      </c>
      <c r="AO583" s="48">
        <f t="shared" si="732"/>
        <v>93930695.882692292</v>
      </c>
      <c r="AP583" s="156">
        <f t="shared" si="733"/>
        <v>65751487.117884599</v>
      </c>
      <c r="AQ583" s="161">
        <f t="shared" si="738"/>
        <v>23338504772.716473</v>
      </c>
      <c r="AR583" s="163">
        <f t="shared" si="739"/>
        <v>10.494895833282889</v>
      </c>
      <c r="AS583" s="49">
        <f t="shared" si="734"/>
        <v>0.21137400793650796</v>
      </c>
      <c r="AT583" s="165">
        <f t="shared" si="740"/>
        <v>71.128445436507903</v>
      </c>
      <c r="AU583" s="254">
        <f t="shared" si="735"/>
        <v>186569.755</v>
      </c>
      <c r="AV583" s="255">
        <f t="shared" si="736"/>
        <v>427968.34499999997</v>
      </c>
      <c r="AW583" s="256">
        <f t="shared" si="737"/>
        <v>0.43594288498136474</v>
      </c>
    </row>
    <row r="584" spans="1:70">
      <c r="A584" s="108">
        <v>582</v>
      </c>
      <c r="F584" s="45">
        <v>43146.197592592594</v>
      </c>
      <c r="G584" s="45">
        <v>43146.243611111109</v>
      </c>
      <c r="H584" s="53">
        <f>G584-F584-'user time'!Z84</f>
        <v>3.9722222218460279E-2</v>
      </c>
      <c r="I584" s="86">
        <v>49.62</v>
      </c>
      <c r="J584" s="109" t="s">
        <v>260</v>
      </c>
      <c r="K584" s="88" t="s">
        <v>72</v>
      </c>
      <c r="L584" s="88" t="s">
        <v>73</v>
      </c>
      <c r="M584" s="88">
        <v>-369</v>
      </c>
      <c r="N584" s="108">
        <v>1</v>
      </c>
      <c r="O584" s="108">
        <v>200</v>
      </c>
      <c r="P584" s="88">
        <v>348</v>
      </c>
      <c r="Q584" s="88" t="s">
        <v>75</v>
      </c>
      <c r="R584" s="88" t="s">
        <v>348</v>
      </c>
      <c r="S584" s="110">
        <v>9500</v>
      </c>
      <c r="T584" s="110">
        <v>850</v>
      </c>
      <c r="U584" s="88">
        <v>983</v>
      </c>
      <c r="V584" s="90">
        <v>1500</v>
      </c>
      <c r="W584" s="111">
        <v>10</v>
      </c>
      <c r="X584" s="110">
        <v>48225</v>
      </c>
      <c r="Y584" s="110">
        <v>830008</v>
      </c>
      <c r="Z584" s="110">
        <v>6122575</v>
      </c>
      <c r="AA584" s="110">
        <v>1953960</v>
      </c>
      <c r="AB584" s="112">
        <v>4188468</v>
      </c>
      <c r="AC584" s="109">
        <v>160.1</v>
      </c>
      <c r="AD584" s="110">
        <v>-109.9</v>
      </c>
      <c r="AE584" s="110">
        <v>3.94</v>
      </c>
      <c r="AF584" s="110">
        <v>-0.76</v>
      </c>
      <c r="AG584" s="110">
        <v>109.8</v>
      </c>
      <c r="AH584" s="110">
        <v>-110</v>
      </c>
      <c r="AI584" s="110">
        <v>3.7</v>
      </c>
      <c r="AJ584" s="109">
        <v>-0.33</v>
      </c>
      <c r="AK584" s="113" t="s">
        <v>59</v>
      </c>
      <c r="AL584" s="107" t="s">
        <v>181</v>
      </c>
      <c r="AN584" s="107">
        <v>0.95099999999999996</v>
      </c>
      <c r="AO584" s="48">
        <f t="shared" si="732"/>
        <v>122642253.36</v>
      </c>
      <c r="AP584" s="156">
        <f t="shared" si="733"/>
        <v>85849577.351999998</v>
      </c>
      <c r="AQ584" s="161">
        <f t="shared" si="738"/>
        <v>23424354350.068474</v>
      </c>
      <c r="AR584" s="163">
        <f t="shared" si="739"/>
        <v>10.534618055501349</v>
      </c>
      <c r="AS584" s="49">
        <f t="shared" si="734"/>
        <v>0.28058928571428571</v>
      </c>
      <c r="AT584" s="165">
        <f t="shared" si="740"/>
        <v>71.409034722222188</v>
      </c>
      <c r="AU584" s="254">
        <f t="shared" si="735"/>
        <v>185821.59599999999</v>
      </c>
      <c r="AV584" s="255">
        <f t="shared" si="736"/>
        <v>428421.20399999997</v>
      </c>
      <c r="AW584" s="256">
        <f t="shared" si="737"/>
        <v>0.43373575879311521</v>
      </c>
    </row>
    <row r="585" spans="1:70">
      <c r="A585" s="108">
        <v>583</v>
      </c>
      <c r="F585" s="45">
        <v>43146.243622685186</v>
      </c>
      <c r="G585" s="45">
        <v>43146.283634259256</v>
      </c>
      <c r="H585" s="53">
        <f>G585-F585</f>
        <v>4.001157407037681E-2</v>
      </c>
      <c r="I585" s="86">
        <v>49.52</v>
      </c>
      <c r="J585" s="109" t="s">
        <v>260</v>
      </c>
      <c r="K585" s="88" t="s">
        <v>72</v>
      </c>
      <c r="L585" s="88" t="s">
        <v>73</v>
      </c>
      <c r="M585" s="88">
        <v>-369</v>
      </c>
      <c r="N585" s="108">
        <v>1</v>
      </c>
      <c r="O585" s="108">
        <v>200</v>
      </c>
      <c r="P585" s="88">
        <v>348</v>
      </c>
      <c r="Q585" s="88" t="s">
        <v>75</v>
      </c>
      <c r="R585" s="88" t="s">
        <v>348</v>
      </c>
      <c r="S585" s="110">
        <v>9400</v>
      </c>
      <c r="T585" s="110">
        <v>850</v>
      </c>
      <c r="U585" s="88">
        <v>983</v>
      </c>
      <c r="V585" s="90">
        <v>1500</v>
      </c>
      <c r="W585" s="111">
        <v>10</v>
      </c>
      <c r="X585" s="110">
        <v>47860</v>
      </c>
      <c r="Y585" s="110">
        <v>826868</v>
      </c>
      <c r="Z585" s="110">
        <v>6049447</v>
      </c>
      <c r="AA585" s="110">
        <v>1931624</v>
      </c>
      <c r="AB585" s="112">
        <v>4138250</v>
      </c>
      <c r="AC585" s="109">
        <v>160.1</v>
      </c>
      <c r="AD585" s="110">
        <v>-109.9</v>
      </c>
      <c r="AE585" s="110">
        <v>3.94</v>
      </c>
      <c r="AF585" s="110">
        <v>-0.76</v>
      </c>
      <c r="AG585" s="110">
        <v>109.7</v>
      </c>
      <c r="AH585" s="110">
        <v>-110</v>
      </c>
      <c r="AI585" s="110">
        <v>3.7</v>
      </c>
      <c r="AJ585" s="109">
        <v>-0.33</v>
      </c>
      <c r="AK585" s="113" t="s">
        <v>59</v>
      </c>
      <c r="AL585" s="107" t="s">
        <v>181</v>
      </c>
      <c r="AN585" s="107">
        <v>0.95099999999999996</v>
      </c>
      <c r="AO585" s="48">
        <f t="shared" si="732"/>
        <v>122123472.76476921</v>
      </c>
      <c r="AP585" s="156">
        <f t="shared" si="733"/>
        <v>85486430.935338438</v>
      </c>
      <c r="AQ585" s="161">
        <f t="shared" si="738"/>
        <v>23509840781.003811</v>
      </c>
      <c r="AR585" s="163">
        <f t="shared" si="739"/>
        <v>10.574629629571726</v>
      </c>
      <c r="AS585" s="49">
        <f t="shared" si="734"/>
        <v>0.28002380952380956</v>
      </c>
      <c r="AT585" s="165">
        <f t="shared" si="740"/>
        <v>71.689058531745999</v>
      </c>
      <c r="AU585" s="254">
        <f t="shared" si="735"/>
        <v>183697.4424</v>
      </c>
      <c r="AV585" s="255">
        <f t="shared" si="736"/>
        <v>423289.95760000002</v>
      </c>
      <c r="AW585" s="256">
        <f t="shared" si="737"/>
        <v>0.43397543244715991</v>
      </c>
    </row>
    <row r="586" spans="1:70">
      <c r="A586" s="108">
        <v>584</v>
      </c>
      <c r="F586" s="45">
        <v>43146.283634259256</v>
      </c>
      <c r="G586" s="45">
        <v>43146.326423611114</v>
      </c>
      <c r="H586" s="53">
        <f>G586-F586-SUM('user time'!Z85:Z87)</f>
        <v>3.9155092597949859E-2</v>
      </c>
      <c r="I586" s="86">
        <v>49.46</v>
      </c>
      <c r="J586" s="109" t="s">
        <v>260</v>
      </c>
      <c r="K586" s="88" t="s">
        <v>72</v>
      </c>
      <c r="L586" s="88" t="s">
        <v>73</v>
      </c>
      <c r="M586" s="88">
        <v>-369</v>
      </c>
      <c r="N586" s="108">
        <v>1</v>
      </c>
      <c r="O586" s="108">
        <v>200</v>
      </c>
      <c r="P586" s="88">
        <v>348</v>
      </c>
      <c r="Q586" s="88" t="s">
        <v>75</v>
      </c>
      <c r="R586" s="88" t="s">
        <v>348</v>
      </c>
      <c r="S586" s="110">
        <v>9400</v>
      </c>
      <c r="T586" s="110">
        <v>850</v>
      </c>
      <c r="U586" s="88">
        <v>983</v>
      </c>
      <c r="V586" s="90">
        <v>1500</v>
      </c>
      <c r="W586" s="111">
        <v>10</v>
      </c>
      <c r="X586" s="110">
        <v>47844</v>
      </c>
      <c r="Y586" s="110">
        <v>828780</v>
      </c>
      <c r="Z586" s="110">
        <v>6065429</v>
      </c>
      <c r="AA586" s="110">
        <v>1940475</v>
      </c>
      <c r="AB586" s="112">
        <v>4145277</v>
      </c>
      <c r="AC586" s="109">
        <v>160.1</v>
      </c>
      <c r="AD586" s="110">
        <v>-109.9</v>
      </c>
      <c r="AE586" s="110">
        <v>3.94</v>
      </c>
      <c r="AF586" s="110">
        <v>-0.76</v>
      </c>
      <c r="AG586" s="110">
        <v>109.8</v>
      </c>
      <c r="AH586" s="110">
        <v>-110</v>
      </c>
      <c r="AI586" s="110">
        <v>3.7</v>
      </c>
      <c r="AJ586" s="109">
        <v>-0.33</v>
      </c>
      <c r="AK586" s="113" t="s">
        <v>59</v>
      </c>
      <c r="AL586" s="107" t="s">
        <v>181</v>
      </c>
      <c r="AN586" s="107">
        <v>0.95399999999999996</v>
      </c>
      <c r="AO586" s="48">
        <f t="shared" si="732"/>
        <v>120435655.50865385</v>
      </c>
      <c r="AP586" s="156">
        <f t="shared" si="733"/>
        <v>84304958.856057689</v>
      </c>
      <c r="AQ586" s="161">
        <f t="shared" si="738"/>
        <v>23594145739.859867</v>
      </c>
      <c r="AR586" s="163">
        <f t="shared" si="739"/>
        <v>10.613784722169676</v>
      </c>
      <c r="AS586" s="49">
        <f t="shared" si="734"/>
        <v>0.27477777777777784</v>
      </c>
      <c r="AT586" s="165">
        <f t="shared" si="740"/>
        <v>71.963836309523771</v>
      </c>
      <c r="AU586" s="254">
        <f t="shared" si="735"/>
        <v>185121.315</v>
      </c>
      <c r="AV586" s="255">
        <f t="shared" si="736"/>
        <v>423453.88500000001</v>
      </c>
      <c r="AW586" s="256">
        <f t="shared" si="737"/>
        <v>0.43716995299263817</v>
      </c>
    </row>
    <row r="587" spans="1:70">
      <c r="A587" s="108">
        <v>585</v>
      </c>
      <c r="F587" s="45">
        <v>43146.330601851849</v>
      </c>
      <c r="G587" s="45">
        <v>43146.370243055557</v>
      </c>
      <c r="H587" s="53">
        <f>G587-F587-'user time'!Z88</f>
        <v>3.9317129633941295E-2</v>
      </c>
      <c r="I587" s="86">
        <v>49.6</v>
      </c>
      <c r="J587" s="109" t="s">
        <v>260</v>
      </c>
      <c r="K587" s="88" t="s">
        <v>72</v>
      </c>
      <c r="L587" s="88" t="s">
        <v>73</v>
      </c>
      <c r="M587" s="88">
        <v>-369</v>
      </c>
      <c r="N587" s="108">
        <v>1</v>
      </c>
      <c r="O587" s="108">
        <v>200</v>
      </c>
      <c r="P587" s="88">
        <v>348</v>
      </c>
      <c r="Q587" s="88" t="s">
        <v>75</v>
      </c>
      <c r="R587" s="88" t="s">
        <v>348</v>
      </c>
      <c r="S587" s="110">
        <v>9400</v>
      </c>
      <c r="T587" s="110">
        <v>850</v>
      </c>
      <c r="U587" s="88">
        <v>983</v>
      </c>
      <c r="V587" s="90">
        <v>1500</v>
      </c>
      <c r="W587" s="111">
        <v>10</v>
      </c>
      <c r="X587" s="110">
        <v>47353</v>
      </c>
      <c r="Y587" s="110">
        <v>830113</v>
      </c>
      <c r="Z587" s="110">
        <v>6064008</v>
      </c>
      <c r="AA587" s="110">
        <v>1942785</v>
      </c>
      <c r="AB587" s="112">
        <v>4141126</v>
      </c>
      <c r="AC587" s="109">
        <v>160.1</v>
      </c>
      <c r="AD587" s="110">
        <v>-109.9</v>
      </c>
      <c r="AE587" s="110">
        <v>3.94</v>
      </c>
      <c r="AF587" s="110">
        <v>-0.76</v>
      </c>
      <c r="AG587" s="110">
        <v>109.8</v>
      </c>
      <c r="AH587" s="110">
        <v>-110</v>
      </c>
      <c r="AI587" s="110">
        <v>3.7</v>
      </c>
      <c r="AJ587" s="109">
        <v>-0.33</v>
      </c>
      <c r="AK587" s="113" t="s">
        <v>59</v>
      </c>
      <c r="AL587" s="107" t="s">
        <v>181</v>
      </c>
      <c r="AN587" s="107">
        <v>0.95299999999999996</v>
      </c>
      <c r="AO587" s="48">
        <f t="shared" si="732"/>
        <v>120951106.43625</v>
      </c>
      <c r="AP587" s="156">
        <f t="shared" si="733"/>
        <v>84665774.505374998</v>
      </c>
      <c r="AQ587" s="161">
        <f t="shared" si="738"/>
        <v>23678811514.365242</v>
      </c>
      <c r="AR587" s="163">
        <f t="shared" si="739"/>
        <v>10.653101851803617</v>
      </c>
      <c r="AS587" s="49">
        <f t="shared" si="734"/>
        <v>0.27555555555555555</v>
      </c>
      <c r="AT587" s="165">
        <f t="shared" si="740"/>
        <v>72.239391865079327</v>
      </c>
      <c r="AU587" s="254">
        <f t="shared" si="735"/>
        <v>185147.4105</v>
      </c>
      <c r="AV587" s="255">
        <f t="shared" si="736"/>
        <v>423243.68949999998</v>
      </c>
      <c r="AW587" s="256">
        <f t="shared" si="737"/>
        <v>0.43744872066190604</v>
      </c>
    </row>
    <row r="588" spans="1:70">
      <c r="A588" s="108">
        <v>586</v>
      </c>
      <c r="F588" s="45">
        <v>43146.370289351849</v>
      </c>
      <c r="G588" s="45">
        <v>43146.411469907405</v>
      </c>
      <c r="H588" s="53">
        <f>G588-F588-'user time'!Z89</f>
        <v>4.0914351852207542E-2</v>
      </c>
      <c r="I588" s="86">
        <v>49.58</v>
      </c>
      <c r="J588" s="109" t="s">
        <v>260</v>
      </c>
      <c r="K588" s="88" t="s">
        <v>72</v>
      </c>
      <c r="L588" s="88" t="s">
        <v>73</v>
      </c>
      <c r="M588" s="88">
        <v>-369</v>
      </c>
      <c r="N588" s="108">
        <v>1</v>
      </c>
      <c r="O588" s="108">
        <v>200</v>
      </c>
      <c r="P588" s="88">
        <v>348</v>
      </c>
      <c r="Q588" s="88" t="s">
        <v>75</v>
      </c>
      <c r="R588" s="88" t="s">
        <v>348</v>
      </c>
      <c r="S588" s="110">
        <v>9300</v>
      </c>
      <c r="T588" s="110">
        <v>830</v>
      </c>
      <c r="U588" s="88">
        <v>983</v>
      </c>
      <c r="V588" s="90">
        <v>1500</v>
      </c>
      <c r="W588" s="111">
        <v>10</v>
      </c>
      <c r="X588" s="110">
        <v>47706</v>
      </c>
      <c r="Y588" s="110">
        <v>827671</v>
      </c>
      <c r="Z588" s="110">
        <v>6025256</v>
      </c>
      <c r="AA588" s="110">
        <v>1931527</v>
      </c>
      <c r="AB588" s="112">
        <v>4114092</v>
      </c>
      <c r="AC588" s="109">
        <v>160.1</v>
      </c>
      <c r="AD588" s="110">
        <v>-109.9</v>
      </c>
      <c r="AE588" s="110">
        <v>3.94</v>
      </c>
      <c r="AF588" s="110">
        <v>-0.76</v>
      </c>
      <c r="AG588" s="110">
        <v>109.8</v>
      </c>
      <c r="AH588" s="110">
        <v>-110</v>
      </c>
      <c r="AI588" s="110">
        <v>3.7</v>
      </c>
      <c r="AJ588" s="109">
        <v>-0.33</v>
      </c>
      <c r="AK588" s="113" t="s">
        <v>59</v>
      </c>
      <c r="AL588" s="107" t="s">
        <v>181</v>
      </c>
      <c r="AN588" s="107">
        <v>0.95099999999999996</v>
      </c>
      <c r="AO588" s="48">
        <f t="shared" ref="AO588" si="741">(HOUR(H588)*60*60+MINUTE(H588)*60+SECOND(H588))/5.2*AA588/W588*AN588</f>
        <v>124872663.37875</v>
      </c>
      <c r="AP588" s="156">
        <f t="shared" ref="AP588" si="742">AO588*0.7</f>
        <v>87410864.365124986</v>
      </c>
      <c r="AQ588" s="161">
        <f t="shared" ref="AQ588" si="743">AP588+AQ587</f>
        <v>23766222378.730366</v>
      </c>
      <c r="AR588" s="163">
        <f t="shared" ref="AR588" si="744">H588+AR587</f>
        <v>10.694016203655824</v>
      </c>
      <c r="AS588" s="49">
        <f t="shared" ref="AS588" si="745">I588*(HOUR(H588)*60+MINUTE(H588))/60/(7*24)</f>
        <v>0.285281746031746</v>
      </c>
      <c r="AT588" s="165">
        <f t="shared" ref="AT588" si="746">AS588+AT587</f>
        <v>72.524673611111069</v>
      </c>
      <c r="AU588" s="254">
        <f t="shared" si="735"/>
        <v>183688.21770000001</v>
      </c>
      <c r="AV588" s="255">
        <f t="shared" si="736"/>
        <v>420873.68230000004</v>
      </c>
      <c r="AW588" s="256">
        <f t="shared" si="737"/>
        <v>0.43644500814633141</v>
      </c>
    </row>
    <row r="589" spans="1:70">
      <c r="A589" s="108">
        <v>587</v>
      </c>
      <c r="F589" s="45">
        <v>43146.411516203705</v>
      </c>
      <c r="G589" s="45">
        <v>43146.449201388888</v>
      </c>
      <c r="H589" s="53">
        <f>G589-F589-SUM('user time'!Z90:Z93)</f>
        <v>3.6412037035215394E-2</v>
      </c>
      <c r="I589" s="86">
        <v>49.55</v>
      </c>
      <c r="J589" s="109" t="s">
        <v>260</v>
      </c>
      <c r="K589" s="88" t="s">
        <v>72</v>
      </c>
      <c r="L589" s="88" t="s">
        <v>73</v>
      </c>
      <c r="M589" s="88">
        <v>-369</v>
      </c>
      <c r="N589" s="108">
        <v>1</v>
      </c>
      <c r="O589" s="108">
        <v>200</v>
      </c>
      <c r="P589" s="88">
        <v>348</v>
      </c>
      <c r="Q589" s="88" t="s">
        <v>75</v>
      </c>
      <c r="R589" s="88" t="s">
        <v>348</v>
      </c>
      <c r="S589" s="110">
        <v>9100</v>
      </c>
      <c r="T589" s="110">
        <v>817</v>
      </c>
      <c r="U589" s="88">
        <v>983</v>
      </c>
      <c r="V589" s="90">
        <v>1500</v>
      </c>
      <c r="W589" s="111">
        <v>10</v>
      </c>
      <c r="X589" s="110">
        <v>47747</v>
      </c>
      <c r="Y589" s="110">
        <v>828003</v>
      </c>
      <c r="Z589" s="110">
        <v>6018077</v>
      </c>
      <c r="AA589" s="110">
        <v>1929599</v>
      </c>
      <c r="AB589" s="112">
        <v>4108164</v>
      </c>
      <c r="AC589" s="109">
        <v>160.1</v>
      </c>
      <c r="AD589" s="110">
        <v>-109.9</v>
      </c>
      <c r="AE589" s="110">
        <v>3.94</v>
      </c>
      <c r="AF589" s="110">
        <v>-0.76</v>
      </c>
      <c r="AG589" s="110">
        <v>109.8</v>
      </c>
      <c r="AH589" s="110">
        <v>-110</v>
      </c>
      <c r="AI589" s="110">
        <v>3.7</v>
      </c>
      <c r="AJ589" s="109">
        <v>-0.33</v>
      </c>
      <c r="AK589" s="113" t="s">
        <v>59</v>
      </c>
      <c r="AL589" s="107" t="s">
        <v>459</v>
      </c>
      <c r="AN589" s="107">
        <v>0.94899999999999995</v>
      </c>
      <c r="AO589" s="48">
        <f t="shared" ref="AO589" si="747">(HOUR(H589)*60*60+MINUTE(H589)*60+SECOND(H589))/5.2*AA589/W589*AN589</f>
        <v>110786961.78549999</v>
      </c>
      <c r="AP589" s="156">
        <f t="shared" ref="AP589" si="748">AO589*0.7</f>
        <v>77550873.24984999</v>
      </c>
      <c r="AQ589" s="161">
        <f t="shared" ref="AQ589" si="749">AP589+AQ588</f>
        <v>23843773251.980217</v>
      </c>
      <c r="AR589" s="163">
        <f t="shared" ref="AR589" si="750">H589+AR588</f>
        <v>10.73042824069104</v>
      </c>
      <c r="AS589" s="49">
        <f t="shared" ref="AS589" si="751">I589*(HOUR(H589)*60+MINUTE(H589))/60/(7*24)</f>
        <v>0.25561507936507938</v>
      </c>
      <c r="AT589" s="165">
        <f t="shared" ref="AT589" si="752">AS589+AT588</f>
        <v>72.780288690476155</v>
      </c>
      <c r="AU589" s="254">
        <f t="shared" si="735"/>
        <v>183118.94509999998</v>
      </c>
      <c r="AV589" s="255">
        <f t="shared" si="736"/>
        <v>420657.35490000003</v>
      </c>
      <c r="AW589" s="256">
        <f t="shared" si="737"/>
        <v>0.43531616163832815</v>
      </c>
    </row>
    <row r="590" spans="1:70">
      <c r="A590" s="108">
        <v>588</v>
      </c>
      <c r="F590" s="45">
        <v>43146.449791666666</v>
      </c>
      <c r="G590" s="45">
        <v>43146.491759259261</v>
      </c>
      <c r="H590" s="53">
        <f>G590-F590-'user time'!Z94-'user time'!Z95</f>
        <v>4.1377314817250821E-2</v>
      </c>
      <c r="I590" s="86">
        <v>49.51</v>
      </c>
      <c r="J590" s="109" t="s">
        <v>260</v>
      </c>
      <c r="K590" s="88" t="s">
        <v>72</v>
      </c>
      <c r="L590" s="88" t="s">
        <v>73</v>
      </c>
      <c r="M590" s="88">
        <v>-369</v>
      </c>
      <c r="N590" s="108">
        <v>1</v>
      </c>
      <c r="O590" s="108">
        <v>200</v>
      </c>
      <c r="P590" s="88">
        <v>348</v>
      </c>
      <c r="Q590" s="88" t="s">
        <v>75</v>
      </c>
      <c r="R590" s="88" t="s">
        <v>348</v>
      </c>
      <c r="S590" s="110">
        <v>9100</v>
      </c>
      <c r="T590" s="110">
        <v>840</v>
      </c>
      <c r="U590" s="88">
        <v>983</v>
      </c>
      <c r="V590" s="90">
        <v>1500</v>
      </c>
      <c r="W590" s="111">
        <v>10</v>
      </c>
      <c r="X590" s="110">
        <v>47721</v>
      </c>
      <c r="Y590" s="110">
        <v>828027</v>
      </c>
      <c r="Z590" s="110">
        <v>6016543</v>
      </c>
      <c r="AA590" s="110">
        <v>1931073</v>
      </c>
      <c r="AB590" s="112">
        <v>4105550</v>
      </c>
      <c r="AC590" s="109">
        <v>160.1</v>
      </c>
      <c r="AD590" s="110">
        <v>-109.9</v>
      </c>
      <c r="AE590" s="110">
        <v>3.94</v>
      </c>
      <c r="AF590" s="110">
        <v>-0.77</v>
      </c>
      <c r="AG590" s="110">
        <v>109.7</v>
      </c>
      <c r="AH590" s="110">
        <v>-110</v>
      </c>
      <c r="AI590" s="110">
        <v>3.7</v>
      </c>
      <c r="AJ590" s="109">
        <v>-0.33</v>
      </c>
      <c r="AK590" s="113" t="s">
        <v>59</v>
      </c>
      <c r="AL590" s="107" t="s">
        <v>181</v>
      </c>
      <c r="AN590" s="107">
        <v>0.95099999999999996</v>
      </c>
      <c r="AO590" s="48">
        <f t="shared" ref="AO590" si="753">(HOUR(H590)*60*60+MINUTE(H590)*60+SECOND(H590))/5.2*AA590/W590*AN590</f>
        <v>126255966.58125</v>
      </c>
      <c r="AP590" s="156">
        <f t="shared" ref="AP590" si="754">AO590*0.7</f>
        <v>88379176.606874987</v>
      </c>
      <c r="AQ590" s="161">
        <f t="shared" ref="AQ590" si="755">AP590+AQ589</f>
        <v>23932152428.587093</v>
      </c>
      <c r="AR590" s="163">
        <f t="shared" ref="AR590" si="756">H590+AR589</f>
        <v>10.771805555508291</v>
      </c>
      <c r="AS590" s="49">
        <f t="shared" ref="AS590" si="757">I590*(HOUR(H590)*60+MINUTE(H590))/60/(7*24)</f>
        <v>0.28979067460317459</v>
      </c>
      <c r="AT590" s="165">
        <f t="shared" ref="AT590" si="758">AS590+AT589</f>
        <v>73.070079365079323</v>
      </c>
      <c r="AU590" s="254">
        <f t="shared" si="735"/>
        <v>183645.04229999997</v>
      </c>
      <c r="AV590" s="255">
        <f t="shared" si="736"/>
        <v>420017.25770000002</v>
      </c>
      <c r="AW590" s="256">
        <f t="shared" si="737"/>
        <v>0.43723213494996344</v>
      </c>
    </row>
    <row r="591" spans="1:70">
      <c r="A591" s="108">
        <v>589</v>
      </c>
      <c r="F591" s="45">
        <v>43146.491863425923</v>
      </c>
      <c r="G591" s="45">
        <v>43146.533553240741</v>
      </c>
      <c r="H591" s="53">
        <f>G591-F591</f>
        <v>4.1689814817800652E-2</v>
      </c>
      <c r="I591" s="86">
        <v>49.69</v>
      </c>
      <c r="J591" s="109" t="s">
        <v>260</v>
      </c>
      <c r="K591" s="88" t="s">
        <v>72</v>
      </c>
      <c r="L591" s="88" t="s">
        <v>73</v>
      </c>
      <c r="M591" s="88">
        <v>-369</v>
      </c>
      <c r="N591" s="108">
        <v>1</v>
      </c>
      <c r="O591" s="108">
        <v>200</v>
      </c>
      <c r="P591" s="88">
        <v>348</v>
      </c>
      <c r="Q591" s="88" t="s">
        <v>75</v>
      </c>
      <c r="R591" s="88" t="s">
        <v>348</v>
      </c>
      <c r="S591" s="110">
        <v>9100</v>
      </c>
      <c r="T591" s="110">
        <v>830</v>
      </c>
      <c r="U591" s="88">
        <v>983</v>
      </c>
      <c r="V591" s="90">
        <v>1500</v>
      </c>
      <c r="W591" s="111">
        <v>10</v>
      </c>
      <c r="X591" s="110">
        <v>47731</v>
      </c>
      <c r="Y591" s="110">
        <v>830517</v>
      </c>
      <c r="Z591" s="110">
        <v>5989407</v>
      </c>
      <c r="AA591" s="110">
        <v>1923930</v>
      </c>
      <c r="AB591" s="112">
        <v>4085509</v>
      </c>
      <c r="AC591" s="109">
        <v>160.1</v>
      </c>
      <c r="AD591" s="110">
        <v>-109.9</v>
      </c>
      <c r="AE591" s="110">
        <v>3.94</v>
      </c>
      <c r="AF591" s="110">
        <v>-0.77</v>
      </c>
      <c r="AG591" s="110">
        <v>109.7</v>
      </c>
      <c r="AH591" s="110">
        <v>-110</v>
      </c>
      <c r="AI591" s="110">
        <v>3.7</v>
      </c>
      <c r="AJ591" s="109">
        <v>-0.33</v>
      </c>
      <c r="AK591" s="113" t="s">
        <v>59</v>
      </c>
      <c r="AL591" s="107" t="s">
        <v>181</v>
      </c>
      <c r="AN591" s="107">
        <v>0.94399999999999995</v>
      </c>
      <c r="AO591" s="48">
        <f t="shared" ref="AO591" si="759">(HOUR(H591)*60*60+MINUTE(H591)*60+SECOND(H591))/5.2*AA591/W591*AN591</f>
        <v>125806078.68923075</v>
      </c>
      <c r="AP591" s="156">
        <f t="shared" ref="AP591" si="760">AO591*0.7</f>
        <v>88064255.082461521</v>
      </c>
      <c r="AQ591" s="161">
        <f t="shared" ref="AQ591" si="761">AP591+AQ590</f>
        <v>24020216683.669556</v>
      </c>
      <c r="AR591" s="163">
        <f t="shared" ref="AR591" si="762">H591+AR590</f>
        <v>10.813495370326091</v>
      </c>
      <c r="AS591" s="49">
        <f t="shared" ref="AS591" si="763">I591*(HOUR(H591)*60+MINUTE(H591))/60/(7*24)</f>
        <v>0.29577380952380949</v>
      </c>
      <c r="AT591" s="165">
        <f t="shared" ref="AT591" si="764">AS591+AT590</f>
        <v>73.365853174603131</v>
      </c>
      <c r="AU591" s="254">
        <f t="shared" si="735"/>
        <v>181618.992</v>
      </c>
      <c r="AV591" s="255">
        <f t="shared" si="736"/>
        <v>419324.90800000005</v>
      </c>
      <c r="AW591" s="256">
        <f t="shared" si="737"/>
        <v>0.43312235580339048</v>
      </c>
    </row>
    <row r="592" spans="1:70">
      <c r="A592" s="108">
        <v>590</v>
      </c>
      <c r="F592" s="45">
        <v>43146.533587962964</v>
      </c>
      <c r="G592" s="45">
        <v>43146.562152777777</v>
      </c>
      <c r="H592" s="53">
        <f>G592-F592</f>
        <v>2.8564814812853001E-2</v>
      </c>
      <c r="I592" s="86">
        <v>49.57</v>
      </c>
      <c r="J592" s="109" t="s">
        <v>260</v>
      </c>
      <c r="K592" s="88" t="s">
        <v>72</v>
      </c>
      <c r="L592" s="88" t="s">
        <v>73</v>
      </c>
      <c r="M592" s="88">
        <v>-369</v>
      </c>
      <c r="N592" s="108">
        <v>1</v>
      </c>
      <c r="O592" s="108">
        <v>200</v>
      </c>
      <c r="P592" s="88">
        <v>348</v>
      </c>
      <c r="Q592" s="88" t="s">
        <v>75</v>
      </c>
      <c r="R592" s="88" t="s">
        <v>348</v>
      </c>
      <c r="S592" s="110">
        <v>9200</v>
      </c>
      <c r="T592" s="110">
        <v>839</v>
      </c>
      <c r="U592" s="88">
        <v>983</v>
      </c>
      <c r="V592" s="90">
        <v>1500</v>
      </c>
      <c r="W592" s="111">
        <v>10</v>
      </c>
      <c r="X592" s="110">
        <v>47464</v>
      </c>
      <c r="Y592" s="110">
        <v>828007</v>
      </c>
      <c r="Z592" s="110">
        <v>6072479</v>
      </c>
      <c r="AA592" s="110">
        <v>1957344</v>
      </c>
      <c r="AB592" s="112">
        <v>4135581</v>
      </c>
      <c r="AC592" s="109">
        <v>160.1</v>
      </c>
      <c r="AD592" s="110">
        <v>-109.9</v>
      </c>
      <c r="AE592" s="110">
        <v>3.94</v>
      </c>
      <c r="AF592" s="110">
        <v>-0.77</v>
      </c>
      <c r="AG592" s="110">
        <v>109.7</v>
      </c>
      <c r="AH592" s="110">
        <v>-110</v>
      </c>
      <c r="AI592" s="110">
        <v>3.7</v>
      </c>
      <c r="AJ592" s="109">
        <v>-0.33</v>
      </c>
      <c r="AK592" s="113" t="s">
        <v>59</v>
      </c>
      <c r="AL592" s="107" t="s">
        <v>682</v>
      </c>
      <c r="AN592" s="107">
        <v>0.95699999999999996</v>
      </c>
      <c r="AO592" s="48">
        <f t="shared" ref="AO592:AO593" si="765">(HOUR(H592)*60*60+MINUTE(H592)*60+SECOND(H592))/5.2*AA592/W592*AN592</f>
        <v>88903919.56430769</v>
      </c>
      <c r="AP592" s="156">
        <f t="shared" ref="AP592:AP593" si="766">AO592*0.7</f>
        <v>62232743.695015378</v>
      </c>
      <c r="AQ592" s="161">
        <f t="shared" ref="AQ592:AQ593" si="767">AP592+AQ591</f>
        <v>24082449427.364571</v>
      </c>
      <c r="AR592" s="163">
        <f t="shared" ref="AR592:AR593" si="768">H592+AR591</f>
        <v>10.842060185138944</v>
      </c>
      <c r="AS592" s="49">
        <f t="shared" ref="AS592:AS593" si="769">I592*(HOUR(H592)*60+MINUTE(H592))/60/(7*24)</f>
        <v>0.20162400793650792</v>
      </c>
      <c r="AT592" s="165">
        <f t="shared" ref="AT592:AT593" si="770">AS592+AT591</f>
        <v>73.567477182539633</v>
      </c>
      <c r="AU592" s="254">
        <f t="shared" si="735"/>
        <v>187317.82079999999</v>
      </c>
      <c r="AV592" s="255">
        <f t="shared" si="736"/>
        <v>421974.67920000001</v>
      </c>
      <c r="AW592" s="256">
        <f t="shared" si="737"/>
        <v>0.44390772724829403</v>
      </c>
    </row>
    <row r="593" spans="1:50">
      <c r="A593" s="108">
        <v>591</v>
      </c>
      <c r="F593" s="45">
        <v>43146.565150462964</v>
      </c>
      <c r="G593" s="45">
        <v>43146.589432870373</v>
      </c>
      <c r="H593" s="53">
        <f>G593-F593-'user time'!Z96</f>
        <v>1.4305555556611838E-2</v>
      </c>
      <c r="I593" s="86">
        <v>49.68</v>
      </c>
      <c r="J593" s="109" t="s">
        <v>260</v>
      </c>
      <c r="K593" s="88" t="s">
        <v>72</v>
      </c>
      <c r="L593" s="88" t="s">
        <v>73</v>
      </c>
      <c r="M593" s="88">
        <v>-369</v>
      </c>
      <c r="N593" s="108">
        <v>1</v>
      </c>
      <c r="O593" s="108">
        <v>200</v>
      </c>
      <c r="P593" s="88">
        <v>348</v>
      </c>
      <c r="Q593" s="88" t="s">
        <v>75</v>
      </c>
      <c r="R593" s="88" t="s">
        <v>348</v>
      </c>
      <c r="S593" s="110">
        <v>10100</v>
      </c>
      <c r="T593" s="110">
        <v>894</v>
      </c>
      <c r="U593" s="88">
        <v>983</v>
      </c>
      <c r="V593" s="90">
        <v>1500</v>
      </c>
      <c r="W593" s="111">
        <v>10</v>
      </c>
      <c r="X593" s="110">
        <v>47819</v>
      </c>
      <c r="Y593" s="110">
        <v>829983</v>
      </c>
      <c r="Z593" s="110">
        <v>6919680</v>
      </c>
      <c r="AA593" s="110">
        <v>2106945</v>
      </c>
      <c r="AB593" s="112">
        <v>4838562</v>
      </c>
      <c r="AC593" s="109">
        <v>160.1</v>
      </c>
      <c r="AD593" s="110">
        <v>-109.9</v>
      </c>
      <c r="AE593" s="110">
        <v>3.94</v>
      </c>
      <c r="AF593" s="110">
        <v>-0.76</v>
      </c>
      <c r="AG593" s="110">
        <v>109.7</v>
      </c>
      <c r="AH593" s="110">
        <v>-110</v>
      </c>
      <c r="AI593" s="110">
        <v>3.75</v>
      </c>
      <c r="AJ593" s="109">
        <v>-0.34</v>
      </c>
      <c r="AK593" s="113" t="s">
        <v>59</v>
      </c>
      <c r="AL593" s="107" t="s">
        <v>688</v>
      </c>
      <c r="AN593" s="107">
        <v>0.95599999999999996</v>
      </c>
      <c r="AO593" s="48">
        <f t="shared" si="765"/>
        <v>47876921.598461531</v>
      </c>
      <c r="AP593" s="156">
        <f t="shared" si="766"/>
        <v>33513845.118923068</v>
      </c>
      <c r="AQ593" s="161">
        <f t="shared" si="767"/>
        <v>24115963272.483494</v>
      </c>
      <c r="AR593" s="163">
        <f t="shared" si="768"/>
        <v>10.856365740695557</v>
      </c>
      <c r="AS593" s="49">
        <f t="shared" si="769"/>
        <v>9.857142857142856E-2</v>
      </c>
      <c r="AT593" s="165">
        <f t="shared" si="770"/>
        <v>73.666048611111066</v>
      </c>
      <c r="AU593" s="254">
        <f>AA593/W593*AN593</f>
        <v>201423.94199999998</v>
      </c>
      <c r="AV593" s="255">
        <f>AB593/W593+AA593/W593*(1-AN593)</f>
        <v>493126.75800000003</v>
      </c>
      <c r="AW593" s="256">
        <f t="shared" si="737"/>
        <v>0.40846281150291985</v>
      </c>
      <c r="AX593" s="257"/>
    </row>
    <row r="594" spans="1:50">
      <c r="A594" s="108">
        <v>592</v>
      </c>
      <c r="F594" s="45">
        <v>43146.59002314815</v>
      </c>
      <c r="G594" s="45">
        <v>43146.631863425922</v>
      </c>
      <c r="H594" s="53">
        <f>G594-F594</f>
        <v>4.1840277772280388E-2</v>
      </c>
      <c r="I594" s="86">
        <v>49.66</v>
      </c>
      <c r="J594" s="109" t="s">
        <v>260</v>
      </c>
      <c r="K594" s="88" t="s">
        <v>72</v>
      </c>
      <c r="L594" s="88" t="s">
        <v>73</v>
      </c>
      <c r="M594" s="88">
        <v>-369</v>
      </c>
      <c r="N594" s="108">
        <v>1</v>
      </c>
      <c r="O594" s="108">
        <v>200</v>
      </c>
      <c r="P594" s="88">
        <v>348</v>
      </c>
      <c r="Q594" s="88" t="s">
        <v>75</v>
      </c>
      <c r="R594" s="88" t="s">
        <v>348</v>
      </c>
      <c r="S594" s="110">
        <v>10000</v>
      </c>
      <c r="T594" s="110">
        <v>907</v>
      </c>
      <c r="U594" s="88">
        <v>983</v>
      </c>
      <c r="V594" s="90">
        <v>1500</v>
      </c>
      <c r="W594" s="111">
        <v>10</v>
      </c>
      <c r="X594" s="110">
        <v>47843</v>
      </c>
      <c r="Y594" s="110">
        <v>830999</v>
      </c>
      <c r="Z594" s="110">
        <v>6920869</v>
      </c>
      <c r="AA594" s="110">
        <v>2108313</v>
      </c>
      <c r="AB594" s="112">
        <v>4838845</v>
      </c>
      <c r="AC594" s="109">
        <v>160.1</v>
      </c>
      <c r="AD594" s="110">
        <v>-109.9</v>
      </c>
      <c r="AE594" s="110">
        <v>3.94</v>
      </c>
      <c r="AF594" s="110">
        <v>-0.76</v>
      </c>
      <c r="AG594" s="110">
        <v>109.7</v>
      </c>
      <c r="AH594" s="110">
        <v>-110</v>
      </c>
      <c r="AI594" s="110">
        <v>3.75</v>
      </c>
      <c r="AJ594" s="109">
        <v>-0.34</v>
      </c>
      <c r="AK594" s="113" t="s">
        <v>59</v>
      </c>
      <c r="AL594" s="107" t="s">
        <v>687</v>
      </c>
      <c r="AN594" s="107">
        <v>0.95399999999999996</v>
      </c>
      <c r="AO594" s="48">
        <f t="shared" ref="AO594" si="771">(HOUR(H594)*60*60+MINUTE(H594)*60+SECOND(H594))/5.2*AA594/W594*AN594</f>
        <v>139826156.27365384</v>
      </c>
      <c r="AP594" s="156">
        <f t="shared" ref="AP594" si="772">AO594*0.7</f>
        <v>97878309.391557679</v>
      </c>
      <c r="AQ594" s="161">
        <f t="shared" ref="AQ594" si="773">AP594+AQ593</f>
        <v>24213841581.87505</v>
      </c>
      <c r="AR594" s="163">
        <f t="shared" ref="AR594" si="774">H594+AR593</f>
        <v>10.898206018467837</v>
      </c>
      <c r="AS594" s="49">
        <f t="shared" ref="AS594" si="775">I594*(HOUR(H594)*60+MINUTE(H594))/60/(7*24)</f>
        <v>0.29559523809523808</v>
      </c>
      <c r="AT594" s="165">
        <f t="shared" ref="AT594" si="776">AS594+AT593</f>
        <v>73.961643849206297</v>
      </c>
      <c r="AU594" s="254">
        <f>AA594/W594*AN594</f>
        <v>201133.06019999998</v>
      </c>
      <c r="AV594" s="255">
        <f>AB594/W594+AA594/W594*(1-AN594)</f>
        <v>493582.73979999998</v>
      </c>
      <c r="AW594" s="256">
        <f t="shared" ref="AW594" si="777">AU594/AV594</f>
        <v>0.4074961378947311</v>
      </c>
    </row>
    <row r="595" spans="1:50">
      <c r="A595" s="108">
        <v>593</v>
      </c>
      <c r="F595" s="45">
        <v>43146.632118055553</v>
      </c>
      <c r="G595" s="45">
        <v>43146.666863425926</v>
      </c>
      <c r="H595" s="53">
        <f>G595-F595</f>
        <v>3.4745370372547768E-2</v>
      </c>
      <c r="I595" s="86">
        <v>49.68</v>
      </c>
      <c r="J595" s="109" t="s">
        <v>260</v>
      </c>
      <c r="K595" s="88" t="s">
        <v>72</v>
      </c>
      <c r="L595" s="88" t="s">
        <v>73</v>
      </c>
      <c r="M595" s="88">
        <v>-369</v>
      </c>
      <c r="N595" s="108">
        <v>1</v>
      </c>
      <c r="O595" s="108">
        <v>200</v>
      </c>
      <c r="P595" s="88">
        <v>348</v>
      </c>
      <c r="Q595" s="88" t="s">
        <v>75</v>
      </c>
      <c r="R595" s="88" t="s">
        <v>348</v>
      </c>
      <c r="S595" s="110">
        <v>10100</v>
      </c>
      <c r="T595" s="110">
        <v>897</v>
      </c>
      <c r="U595" s="88">
        <v>983</v>
      </c>
      <c r="V595" s="90">
        <v>1500</v>
      </c>
      <c r="W595" s="111">
        <v>10</v>
      </c>
      <c r="X595" s="110">
        <v>47383</v>
      </c>
      <c r="Y595" s="110">
        <v>831074</v>
      </c>
      <c r="Z595" s="110">
        <v>6872605</v>
      </c>
      <c r="AA595" s="110">
        <v>2100520</v>
      </c>
      <c r="AB595" s="112">
        <v>4798663</v>
      </c>
      <c r="AC595" s="109">
        <v>160.1</v>
      </c>
      <c r="AD595" s="110">
        <v>-109.9</v>
      </c>
      <c r="AE595" s="110">
        <v>3.94</v>
      </c>
      <c r="AF595" s="110">
        <v>-0.76</v>
      </c>
      <c r="AG595" s="110">
        <v>109.7</v>
      </c>
      <c r="AH595" s="110">
        <v>-110</v>
      </c>
      <c r="AI595" s="110">
        <v>3.75</v>
      </c>
      <c r="AJ595" s="109">
        <v>-0.34</v>
      </c>
      <c r="AK595" s="113" t="s">
        <v>59</v>
      </c>
      <c r="AL595" s="107" t="s">
        <v>238</v>
      </c>
      <c r="AN595" s="107">
        <v>0.95299999999999996</v>
      </c>
      <c r="AO595" s="48">
        <f t="shared" ref="AO595:AO611" si="778">(HOUR(H595)*60*60+MINUTE(H595)*60+SECOND(H595))/5.2*AA595/W595*AN595</f>
        <v>115565197.52153845</v>
      </c>
      <c r="AP595" s="156">
        <f t="shared" ref="AP595:AP611" si="779">AO595*0.7</f>
        <v>80895638.265076905</v>
      </c>
      <c r="AQ595" s="161">
        <f t="shared" ref="AQ595:AQ611" si="780">AP595+AQ594</f>
        <v>24294737220.140125</v>
      </c>
      <c r="AR595" s="163">
        <f t="shared" ref="AR595:AR611" si="781">H595+AR594</f>
        <v>10.932951388840385</v>
      </c>
      <c r="AS595" s="49">
        <f t="shared" ref="AS595:AS611" si="782">I595*(HOUR(H595)*60+MINUTE(H595))/60/(7*24)</f>
        <v>0.24642857142857141</v>
      </c>
      <c r="AT595" s="165">
        <f t="shared" ref="AT595:AT611" si="783">AS595+AT594</f>
        <v>74.208072420634863</v>
      </c>
      <c r="AU595" s="254">
        <f>AA595/W595*AN595</f>
        <v>200179.55599999998</v>
      </c>
      <c r="AV595" s="255">
        <f>AB595/W595+AA595/W595*(1-AN595)</f>
        <v>489738.74400000001</v>
      </c>
      <c r="AW595" s="256">
        <f t="shared" ref="AW595:AW611" si="784">AU595/AV595</f>
        <v>0.40874764035413946</v>
      </c>
    </row>
    <row r="596" spans="1:50">
      <c r="A596" s="108">
        <v>594</v>
      </c>
      <c r="F596" s="45">
        <v>43146.669942129629</v>
      </c>
      <c r="G596" s="45">
        <v>43146.703877314816</v>
      </c>
      <c r="H596" s="53">
        <f>G596-F596</f>
        <v>3.3935185187146999E-2</v>
      </c>
      <c r="I596" s="86">
        <v>49.64</v>
      </c>
      <c r="J596" s="109" t="s">
        <v>260</v>
      </c>
      <c r="K596" s="88" t="s">
        <v>72</v>
      </c>
      <c r="L596" s="88" t="s">
        <v>73</v>
      </c>
      <c r="M596" s="88">
        <v>-369</v>
      </c>
      <c r="N596" s="108">
        <v>1</v>
      </c>
      <c r="O596" s="108">
        <v>200</v>
      </c>
      <c r="P596" s="88">
        <v>348</v>
      </c>
      <c r="Q596" s="88" t="s">
        <v>75</v>
      </c>
      <c r="R596" s="88" t="s">
        <v>348</v>
      </c>
      <c r="S596" s="110">
        <v>10000</v>
      </c>
      <c r="T596" s="110">
        <v>903</v>
      </c>
      <c r="U596" s="88">
        <v>983</v>
      </c>
      <c r="V596" s="90">
        <v>1500</v>
      </c>
      <c r="W596" s="111">
        <v>10</v>
      </c>
      <c r="X596" s="110">
        <v>47957</v>
      </c>
      <c r="Y596" s="110">
        <v>830313</v>
      </c>
      <c r="Z596" s="110">
        <v>6885746</v>
      </c>
      <c r="AA596" s="110">
        <v>2104060</v>
      </c>
      <c r="AB596" s="112">
        <v>4807606</v>
      </c>
      <c r="AC596" s="109">
        <v>160.1</v>
      </c>
      <c r="AD596" s="110">
        <v>-109.9</v>
      </c>
      <c r="AE596" s="110">
        <v>3.94</v>
      </c>
      <c r="AF596" s="110">
        <v>-0.76</v>
      </c>
      <c r="AG596" s="110">
        <v>109.7</v>
      </c>
      <c r="AH596" s="110">
        <v>-110</v>
      </c>
      <c r="AI596" s="110">
        <v>3.75</v>
      </c>
      <c r="AJ596" s="109">
        <v>-0.34</v>
      </c>
      <c r="AK596" s="113" t="s">
        <v>59</v>
      </c>
      <c r="AL596" s="107" t="s">
        <v>238</v>
      </c>
      <c r="AN596" s="107">
        <v>0.95499999999999996</v>
      </c>
      <c r="AO596" s="48">
        <f t="shared" si="778"/>
        <v>113297966.22307689</v>
      </c>
      <c r="AP596" s="156">
        <f t="shared" si="779"/>
        <v>79308576.356153816</v>
      </c>
      <c r="AQ596" s="161">
        <f t="shared" si="780"/>
        <v>24374045796.496281</v>
      </c>
      <c r="AR596" s="163">
        <f t="shared" si="781"/>
        <v>10.966886574027532</v>
      </c>
      <c r="AS596" s="49">
        <f t="shared" si="782"/>
        <v>0.23638095238095241</v>
      </c>
      <c r="AT596" s="165">
        <f t="shared" si="783"/>
        <v>74.444453373015818</v>
      </c>
      <c r="AU596" s="254">
        <f t="shared" ref="AU596:AU611" si="785">AA596/W596*AN596</f>
        <v>200937.72999999998</v>
      </c>
      <c r="AV596" s="255">
        <f t="shared" ref="AV596:AV611" si="786">AB596/W596+AA596/W596*(1-AN596)</f>
        <v>490228.87</v>
      </c>
      <c r="AW596" s="256">
        <f t="shared" si="784"/>
        <v>0.40988554998811061</v>
      </c>
    </row>
    <row r="597" spans="1:50">
      <c r="A597" s="108">
        <v>595</v>
      </c>
      <c r="F597" s="45">
        <v>43146.706273148149</v>
      </c>
      <c r="G597" s="45">
        <v>43146.748761574076</v>
      </c>
      <c r="H597" s="53">
        <f>G597-F597-'user time'!Z99</f>
        <v>4.2152777778273642E-2</v>
      </c>
      <c r="I597" s="86">
        <v>49.66</v>
      </c>
      <c r="J597" s="109" t="s">
        <v>260</v>
      </c>
      <c r="K597" s="88" t="s">
        <v>72</v>
      </c>
      <c r="L597" s="88" t="s">
        <v>73</v>
      </c>
      <c r="M597" s="88">
        <v>-369</v>
      </c>
      <c r="N597" s="108">
        <v>1</v>
      </c>
      <c r="O597" s="108">
        <v>200</v>
      </c>
      <c r="P597" s="88">
        <v>348</v>
      </c>
      <c r="Q597" s="88" t="s">
        <v>75</v>
      </c>
      <c r="R597" s="88" t="s">
        <v>348</v>
      </c>
      <c r="S597" s="110">
        <v>10000</v>
      </c>
      <c r="T597" s="110">
        <v>903</v>
      </c>
      <c r="U597" s="88">
        <v>983</v>
      </c>
      <c r="V597" s="90">
        <v>1500</v>
      </c>
      <c r="W597" s="111">
        <v>10</v>
      </c>
      <c r="X597" s="110">
        <v>47893</v>
      </c>
      <c r="Y597" s="110">
        <v>830376</v>
      </c>
      <c r="Z597" s="110">
        <v>6864033</v>
      </c>
      <c r="AA597" s="110">
        <v>2098996</v>
      </c>
      <c r="AB597" s="112">
        <v>4791238</v>
      </c>
      <c r="AC597" s="109">
        <v>160.1</v>
      </c>
      <c r="AD597" s="110">
        <v>-109.9</v>
      </c>
      <c r="AE597" s="110">
        <v>3.94</v>
      </c>
      <c r="AF597" s="110">
        <v>-0.76</v>
      </c>
      <c r="AG597" s="110">
        <v>109.7</v>
      </c>
      <c r="AH597" s="110">
        <v>-110</v>
      </c>
      <c r="AI597" s="110">
        <v>3.75</v>
      </c>
      <c r="AJ597" s="109">
        <v>-0.34</v>
      </c>
      <c r="AK597" s="113" t="s">
        <v>59</v>
      </c>
      <c r="AL597" s="107" t="s">
        <v>181</v>
      </c>
      <c r="AN597" s="107">
        <v>0.95099999999999996</v>
      </c>
      <c r="AO597" s="48">
        <f t="shared" si="778"/>
        <v>139806938.53523076</v>
      </c>
      <c r="AP597" s="156">
        <f t="shared" si="779"/>
        <v>97864856.974661529</v>
      </c>
      <c r="AQ597" s="161">
        <f t="shared" si="780"/>
        <v>24471910653.470943</v>
      </c>
      <c r="AR597" s="163">
        <f t="shared" si="781"/>
        <v>11.009039351805805</v>
      </c>
      <c r="AS597" s="49">
        <f t="shared" si="782"/>
        <v>0.29559523809523808</v>
      </c>
      <c r="AT597" s="165">
        <f t="shared" si="783"/>
        <v>74.74004861111105</v>
      </c>
      <c r="AU597" s="254">
        <f t="shared" si="785"/>
        <v>199614.5196</v>
      </c>
      <c r="AV597" s="255">
        <f t="shared" si="786"/>
        <v>489408.88040000002</v>
      </c>
      <c r="AW597" s="256">
        <f t="shared" si="784"/>
        <v>0.40786860965181621</v>
      </c>
    </row>
    <row r="598" spans="1:50">
      <c r="A598" s="108">
        <v>596</v>
      </c>
      <c r="F598" s="45">
        <v>43146.748784722222</v>
      </c>
      <c r="G598" s="45">
        <v>43146.79755787037</v>
      </c>
      <c r="H598" s="53">
        <f>G598-F598-SUM('user time'!Z100:Z104)</f>
        <v>4.3275462962844347E-2</v>
      </c>
      <c r="I598" s="86">
        <v>49.73</v>
      </c>
      <c r="J598" s="109" t="s">
        <v>260</v>
      </c>
      <c r="K598" s="88" t="s">
        <v>72</v>
      </c>
      <c r="L598" s="88" t="s">
        <v>73</v>
      </c>
      <c r="M598" s="88">
        <v>-369</v>
      </c>
      <c r="N598" s="108">
        <v>1</v>
      </c>
      <c r="O598" s="108">
        <v>200</v>
      </c>
      <c r="P598" s="88">
        <v>348</v>
      </c>
      <c r="Q598" s="88" t="s">
        <v>75</v>
      </c>
      <c r="R598" s="88" t="s">
        <v>348</v>
      </c>
      <c r="S598" s="110">
        <v>10000</v>
      </c>
      <c r="T598" s="110">
        <v>908</v>
      </c>
      <c r="U598" s="88">
        <v>983</v>
      </c>
      <c r="V598" s="90">
        <v>1500</v>
      </c>
      <c r="W598" s="111">
        <v>10</v>
      </c>
      <c r="X598" s="110">
        <v>47632</v>
      </c>
      <c r="Y598" s="110">
        <v>830506</v>
      </c>
      <c r="Z598" s="110">
        <v>6899044</v>
      </c>
      <c r="AA598" s="110">
        <v>2099869</v>
      </c>
      <c r="AB598" s="112">
        <v>4826165</v>
      </c>
      <c r="AC598" s="109">
        <v>160.1</v>
      </c>
      <c r="AD598" s="110">
        <v>-109.9</v>
      </c>
      <c r="AE598" s="110">
        <v>3.94</v>
      </c>
      <c r="AF598" s="110">
        <v>-0.76</v>
      </c>
      <c r="AG598" s="110">
        <v>109.7</v>
      </c>
      <c r="AH598" s="110">
        <v>-110</v>
      </c>
      <c r="AI598" s="110">
        <v>3.74</v>
      </c>
      <c r="AJ598" s="109">
        <v>-0.34</v>
      </c>
      <c r="AK598" s="113" t="s">
        <v>59</v>
      </c>
      <c r="AL598" s="107" t="s">
        <v>693</v>
      </c>
      <c r="AN598" s="107">
        <v>0.95399999999999996</v>
      </c>
      <c r="AO598" s="48">
        <f t="shared" si="778"/>
        <v>144043179.27334616</v>
      </c>
      <c r="AP598" s="156">
        <f t="shared" si="779"/>
        <v>100830225.49134231</v>
      </c>
      <c r="AQ598" s="161">
        <f t="shared" si="780"/>
        <v>24572740878.962284</v>
      </c>
      <c r="AR598" s="163">
        <f t="shared" si="781"/>
        <v>11.05231481476865</v>
      </c>
      <c r="AS598" s="49">
        <f t="shared" si="782"/>
        <v>0.30587896825396821</v>
      </c>
      <c r="AT598" s="165">
        <f t="shared" si="783"/>
        <v>75.045927579365014</v>
      </c>
      <c r="AU598" s="254">
        <f t="shared" si="785"/>
        <v>200327.50259999998</v>
      </c>
      <c r="AV598" s="255">
        <f t="shared" si="786"/>
        <v>492275.89740000002</v>
      </c>
      <c r="AW598" s="256">
        <f t="shared" si="784"/>
        <v>0.40694152132584172</v>
      </c>
    </row>
    <row r="599" spans="1:50">
      <c r="A599" s="108">
        <v>597</v>
      </c>
      <c r="F599" s="45">
        <v>43146.797592592593</v>
      </c>
      <c r="G599" s="45">
        <v>43146.840405092589</v>
      </c>
      <c r="H599" s="53">
        <f>G599-F599-'user time'!Z105-'user time'!Z106</f>
        <v>4.2175925922142588E-2</v>
      </c>
      <c r="I599" s="86">
        <v>49.63</v>
      </c>
      <c r="J599" s="109" t="s">
        <v>260</v>
      </c>
      <c r="K599" s="88" t="s">
        <v>72</v>
      </c>
      <c r="L599" s="88" t="s">
        <v>73</v>
      </c>
      <c r="M599" s="88">
        <v>-369</v>
      </c>
      <c r="N599" s="108">
        <v>1</v>
      </c>
      <c r="O599" s="108">
        <v>200</v>
      </c>
      <c r="P599" s="88">
        <v>348</v>
      </c>
      <c r="Q599" s="88" t="s">
        <v>75</v>
      </c>
      <c r="R599" s="88" t="s">
        <v>348</v>
      </c>
      <c r="S599" s="110">
        <v>10000</v>
      </c>
      <c r="T599" s="110">
        <v>905</v>
      </c>
      <c r="U599" s="88">
        <v>983</v>
      </c>
      <c r="V599" s="90">
        <v>1500</v>
      </c>
      <c r="W599" s="111">
        <v>10</v>
      </c>
      <c r="X599" s="110">
        <v>48298</v>
      </c>
      <c r="Y599" s="110">
        <v>829641</v>
      </c>
      <c r="Z599" s="110">
        <v>6856027</v>
      </c>
      <c r="AA599" s="110">
        <v>2093670</v>
      </c>
      <c r="AB599" s="112">
        <v>4788975</v>
      </c>
      <c r="AC599" s="109">
        <v>160.1</v>
      </c>
      <c r="AD599" s="110">
        <v>-109.9</v>
      </c>
      <c r="AE599" s="110">
        <v>3.94</v>
      </c>
      <c r="AF599" s="110">
        <v>-0.76</v>
      </c>
      <c r="AG599" s="110">
        <v>109.7</v>
      </c>
      <c r="AH599" s="110">
        <v>-110</v>
      </c>
      <c r="AI599" s="110">
        <v>3.75</v>
      </c>
      <c r="AJ599" s="109">
        <v>-0.34</v>
      </c>
      <c r="AK599" s="113" t="s">
        <v>59</v>
      </c>
      <c r="AL599" s="107" t="s">
        <v>181</v>
      </c>
      <c r="AN599" s="107">
        <v>0.95499999999999996</v>
      </c>
      <c r="AO599" s="48">
        <f t="shared" si="778"/>
        <v>140115643.71923074</v>
      </c>
      <c r="AP599" s="156">
        <f t="shared" si="779"/>
        <v>98080950.603461519</v>
      </c>
      <c r="AQ599" s="161">
        <f t="shared" si="780"/>
        <v>24670821829.565746</v>
      </c>
      <c r="AR599" s="163">
        <f t="shared" si="781"/>
        <v>11.094490740690793</v>
      </c>
      <c r="AS599" s="49">
        <f t="shared" si="782"/>
        <v>0.29541666666666666</v>
      </c>
      <c r="AT599" s="165">
        <f t="shared" si="783"/>
        <v>75.341344246031682</v>
      </c>
      <c r="AU599" s="254">
        <f t="shared" si="785"/>
        <v>199945.48499999999</v>
      </c>
      <c r="AV599" s="255">
        <f t="shared" si="786"/>
        <v>488319.01500000001</v>
      </c>
      <c r="AW599" s="256">
        <f t="shared" si="784"/>
        <v>0.40945668478627639</v>
      </c>
    </row>
    <row r="600" spans="1:50">
      <c r="A600" s="108">
        <v>598</v>
      </c>
      <c r="F600" s="45">
        <v>43146.840439814812</v>
      </c>
      <c r="G600" s="45">
        <v>43146.876342592594</v>
      </c>
      <c r="H600" s="53">
        <f>G600-F600-'user time'!Z107-'user time'!Z108</f>
        <v>3.5138888892413678E-2</v>
      </c>
      <c r="I600" s="86">
        <v>49.72</v>
      </c>
      <c r="J600" s="109" t="s">
        <v>260</v>
      </c>
      <c r="K600" s="88" t="s">
        <v>72</v>
      </c>
      <c r="L600" s="88" t="s">
        <v>73</v>
      </c>
      <c r="M600" s="88">
        <v>-369</v>
      </c>
      <c r="N600" s="108">
        <v>1</v>
      </c>
      <c r="O600" s="108">
        <v>200</v>
      </c>
      <c r="P600" s="88">
        <v>348</v>
      </c>
      <c r="Q600" s="88" t="s">
        <v>75</v>
      </c>
      <c r="R600" s="88" t="s">
        <v>348</v>
      </c>
      <c r="S600" s="110">
        <v>10000</v>
      </c>
      <c r="T600" s="110">
        <v>907</v>
      </c>
      <c r="U600" s="88">
        <v>983</v>
      </c>
      <c r="V600" s="90">
        <v>1500</v>
      </c>
      <c r="W600" s="111">
        <v>10</v>
      </c>
      <c r="X600" s="110">
        <v>48103</v>
      </c>
      <c r="Y600" s="110">
        <v>830881</v>
      </c>
      <c r="Z600" s="110">
        <v>6884091</v>
      </c>
      <c r="AA600" s="110">
        <v>2096818</v>
      </c>
      <c r="AB600" s="112">
        <v>4813324</v>
      </c>
      <c r="AC600" s="109">
        <v>160.1</v>
      </c>
      <c r="AD600" s="110">
        <v>-109.9</v>
      </c>
      <c r="AE600" s="110">
        <v>3.93</v>
      </c>
      <c r="AF600" s="110">
        <v>-0.76</v>
      </c>
      <c r="AG600" s="110">
        <v>109.8</v>
      </c>
      <c r="AH600" s="110">
        <v>-110</v>
      </c>
      <c r="AI600" s="110">
        <v>3.75</v>
      </c>
      <c r="AJ600" s="109">
        <v>-0.34</v>
      </c>
      <c r="AK600" s="113" t="s">
        <v>59</v>
      </c>
      <c r="AL600" s="107" t="s">
        <v>238</v>
      </c>
      <c r="AN600" s="107">
        <v>0.95099999999999996</v>
      </c>
      <c r="AO600" s="48">
        <f t="shared" si="778"/>
        <v>116423238.75092307</v>
      </c>
      <c r="AP600" s="156">
        <f t="shared" si="779"/>
        <v>81496267.125646144</v>
      </c>
      <c r="AQ600" s="161">
        <f t="shared" si="780"/>
        <v>24752318096.691391</v>
      </c>
      <c r="AR600" s="163">
        <f t="shared" si="781"/>
        <v>11.129629629583206</v>
      </c>
      <c r="AS600" s="49">
        <f t="shared" si="782"/>
        <v>0.24662698412698411</v>
      </c>
      <c r="AT600" s="165">
        <f t="shared" si="783"/>
        <v>75.587971230158672</v>
      </c>
      <c r="AU600" s="254">
        <f t="shared" si="785"/>
        <v>199407.39179999998</v>
      </c>
      <c r="AV600" s="255">
        <f t="shared" si="786"/>
        <v>491606.80820000003</v>
      </c>
      <c r="AW600" s="256">
        <f t="shared" si="784"/>
        <v>0.4056237392849027</v>
      </c>
    </row>
    <row r="601" spans="1:50">
      <c r="A601" s="108">
        <v>599</v>
      </c>
      <c r="F601" s="45">
        <v>43146.879201388889</v>
      </c>
      <c r="G601" s="45">
        <v>43146.921354166669</v>
      </c>
      <c r="H601" s="53">
        <f>G601-F601</f>
        <v>4.2152777779847383E-2</v>
      </c>
      <c r="I601" s="86">
        <v>49.59</v>
      </c>
      <c r="J601" s="109" t="s">
        <v>260</v>
      </c>
      <c r="K601" s="88" t="s">
        <v>72</v>
      </c>
      <c r="L601" s="88" t="s">
        <v>73</v>
      </c>
      <c r="M601" s="88">
        <v>-369</v>
      </c>
      <c r="N601" s="108">
        <v>1</v>
      </c>
      <c r="O601" s="108">
        <v>200</v>
      </c>
      <c r="P601" s="88">
        <v>348</v>
      </c>
      <c r="Q601" s="88" t="s">
        <v>75</v>
      </c>
      <c r="R601" s="88" t="s">
        <v>348</v>
      </c>
      <c r="S601" s="110">
        <v>10000</v>
      </c>
      <c r="T601" s="110">
        <v>908</v>
      </c>
      <c r="U601" s="88">
        <v>983</v>
      </c>
      <c r="V601" s="90">
        <v>1500</v>
      </c>
      <c r="W601" s="111">
        <v>10</v>
      </c>
      <c r="X601" s="110">
        <v>47913</v>
      </c>
      <c r="Y601" s="110">
        <v>831209</v>
      </c>
      <c r="Z601" s="110">
        <v>6873376</v>
      </c>
      <c r="AA601" s="110">
        <v>2093351</v>
      </c>
      <c r="AB601" s="112">
        <v>4806512</v>
      </c>
      <c r="AC601" s="109">
        <v>160.1</v>
      </c>
      <c r="AD601" s="110">
        <v>-109.9</v>
      </c>
      <c r="AE601" s="110">
        <v>3.93</v>
      </c>
      <c r="AF601" s="110">
        <v>-0.75</v>
      </c>
      <c r="AG601" s="110">
        <v>109.8</v>
      </c>
      <c r="AH601" s="110">
        <v>-110</v>
      </c>
      <c r="AI601" s="110">
        <v>3.75</v>
      </c>
      <c r="AJ601" s="109">
        <v>-0.34</v>
      </c>
      <c r="AK601" s="113" t="s">
        <v>59</v>
      </c>
      <c r="AL601" s="107" t="s">
        <v>181</v>
      </c>
      <c r="AN601" s="107">
        <v>0.95499999999999996</v>
      </c>
      <c r="AO601" s="48">
        <f t="shared" si="778"/>
        <v>140017404.74250001</v>
      </c>
      <c r="AP601" s="156">
        <f t="shared" si="779"/>
        <v>98012183.319749996</v>
      </c>
      <c r="AQ601" s="161">
        <f t="shared" si="780"/>
        <v>24850330280.011143</v>
      </c>
      <c r="AR601" s="163">
        <f t="shared" si="781"/>
        <v>11.171782407363054</v>
      </c>
      <c r="AS601" s="49">
        <f t="shared" si="782"/>
        <v>0.29517857142857146</v>
      </c>
      <c r="AT601" s="165">
        <f t="shared" si="783"/>
        <v>75.883149801587237</v>
      </c>
      <c r="AU601" s="254">
        <f t="shared" si="785"/>
        <v>199915.02049999998</v>
      </c>
      <c r="AV601" s="255">
        <f t="shared" si="786"/>
        <v>490071.2795</v>
      </c>
      <c r="AW601" s="256">
        <f t="shared" si="784"/>
        <v>0.40793049677174559</v>
      </c>
    </row>
    <row r="602" spans="1:50">
      <c r="A602" s="108">
        <v>600</v>
      </c>
      <c r="F602" s="45">
        <v>43146.922118055554</v>
      </c>
      <c r="G602" s="45">
        <v>43146.964386574073</v>
      </c>
      <c r="H602" s="53">
        <f>G602-F602</f>
        <v>4.2268518518540077E-2</v>
      </c>
      <c r="I602" s="86">
        <v>49.68</v>
      </c>
      <c r="J602" s="109" t="s">
        <v>260</v>
      </c>
      <c r="K602" s="88" t="s">
        <v>72</v>
      </c>
      <c r="L602" s="88" t="s">
        <v>73</v>
      </c>
      <c r="M602" s="88">
        <v>-369</v>
      </c>
      <c r="N602" s="108">
        <v>1</v>
      </c>
      <c r="O602" s="108">
        <v>200</v>
      </c>
      <c r="P602" s="88">
        <v>348</v>
      </c>
      <c r="Q602" s="88" t="s">
        <v>75</v>
      </c>
      <c r="R602" s="88" t="s">
        <v>348</v>
      </c>
      <c r="S602" s="110">
        <v>10000</v>
      </c>
      <c r="T602" s="110">
        <v>910</v>
      </c>
      <c r="U602" s="88">
        <v>983</v>
      </c>
      <c r="V602" s="90">
        <v>1500</v>
      </c>
      <c r="W602" s="111">
        <v>10</v>
      </c>
      <c r="X602" s="110">
        <v>47855</v>
      </c>
      <c r="Y602" s="110">
        <v>831558</v>
      </c>
      <c r="Z602" s="110">
        <v>6872580</v>
      </c>
      <c r="AA602" s="110">
        <v>2092826</v>
      </c>
      <c r="AB602" s="112">
        <v>4806709</v>
      </c>
      <c r="AC602" s="109">
        <v>160.1</v>
      </c>
      <c r="AD602" s="110">
        <v>-109.9</v>
      </c>
      <c r="AE602" s="110">
        <v>3.93</v>
      </c>
      <c r="AF602" s="110">
        <v>-0.75</v>
      </c>
      <c r="AG602" s="110">
        <v>109.8</v>
      </c>
      <c r="AH602" s="110">
        <v>-110</v>
      </c>
      <c r="AI602" s="110">
        <v>3.75</v>
      </c>
      <c r="AJ602" s="109">
        <v>-0.34</v>
      </c>
      <c r="AK602" s="113" t="s">
        <v>59</v>
      </c>
      <c r="AL602" s="107" t="s">
        <v>697</v>
      </c>
      <c r="AN602" s="107">
        <v>0.95399999999999996</v>
      </c>
      <c r="AO602" s="48">
        <f t="shared" si="778"/>
        <v>140219663.97323075</v>
      </c>
      <c r="AP602" s="156">
        <f t="shared" si="779"/>
        <v>98153764.781261519</v>
      </c>
      <c r="AQ602" s="161">
        <f t="shared" si="780"/>
        <v>24948484044.792404</v>
      </c>
      <c r="AR602" s="163">
        <f t="shared" si="781"/>
        <v>11.214050925881594</v>
      </c>
      <c r="AS602" s="49">
        <f t="shared" si="782"/>
        <v>0.29571428571428571</v>
      </c>
      <c r="AT602" s="165">
        <f t="shared" si="783"/>
        <v>76.17886408730152</v>
      </c>
      <c r="AU602" s="254">
        <f t="shared" si="785"/>
        <v>199655.6004</v>
      </c>
      <c r="AV602" s="255">
        <f t="shared" si="786"/>
        <v>490297.8996</v>
      </c>
      <c r="AW602" s="256">
        <f t="shared" si="784"/>
        <v>0.40721284052590301</v>
      </c>
    </row>
    <row r="603" spans="1:50">
      <c r="A603" s="108">
        <v>601</v>
      </c>
      <c r="F603" s="45">
        <v>43146.964421296296</v>
      </c>
      <c r="G603" s="45">
        <v>43147.005613425928</v>
      </c>
      <c r="H603" s="53">
        <f>G603-F603</f>
        <v>4.1192129632690921E-2</v>
      </c>
      <c r="I603" s="86">
        <v>49.85</v>
      </c>
      <c r="J603" s="109" t="s">
        <v>260</v>
      </c>
      <c r="K603" s="88" t="s">
        <v>72</v>
      </c>
      <c r="L603" s="88" t="s">
        <v>73</v>
      </c>
      <c r="M603" s="88">
        <v>-369</v>
      </c>
      <c r="N603" s="108">
        <v>1</v>
      </c>
      <c r="O603" s="108">
        <v>200</v>
      </c>
      <c r="P603" s="88">
        <v>348</v>
      </c>
      <c r="Q603" s="88" t="s">
        <v>75</v>
      </c>
      <c r="R603" s="88" t="s">
        <v>348</v>
      </c>
      <c r="S603" s="110">
        <v>10000</v>
      </c>
      <c r="T603" s="110">
        <v>914</v>
      </c>
      <c r="U603" s="88">
        <v>983</v>
      </c>
      <c r="V603" s="90">
        <v>1500</v>
      </c>
      <c r="W603" s="111">
        <v>10</v>
      </c>
      <c r="X603" s="110">
        <v>48068</v>
      </c>
      <c r="Y603" s="110">
        <v>833178</v>
      </c>
      <c r="Z603" s="110">
        <v>6868359</v>
      </c>
      <c r="AA603" s="110">
        <v>2094362</v>
      </c>
      <c r="AB603" s="112">
        <v>4800217</v>
      </c>
      <c r="AC603" s="109">
        <v>160.1</v>
      </c>
      <c r="AD603" s="110">
        <v>-109.9</v>
      </c>
      <c r="AE603" s="110">
        <v>3.93</v>
      </c>
      <c r="AF603" s="110">
        <v>-0.75</v>
      </c>
      <c r="AG603" s="110">
        <v>109.8</v>
      </c>
      <c r="AH603" s="110">
        <v>-110</v>
      </c>
      <c r="AI603" s="110">
        <v>3.75</v>
      </c>
      <c r="AJ603" s="109">
        <v>-0.33</v>
      </c>
      <c r="AK603" s="113" t="s">
        <v>59</v>
      </c>
      <c r="AL603" s="107" t="s">
        <v>181</v>
      </c>
      <c r="AN603" s="107">
        <v>0.95099999999999996</v>
      </c>
      <c r="AO603" s="48">
        <f t="shared" si="778"/>
        <v>136319162.97034615</v>
      </c>
      <c r="AP603" s="156">
        <f t="shared" si="779"/>
        <v>95423414.079242304</v>
      </c>
      <c r="AQ603" s="161">
        <f t="shared" si="780"/>
        <v>25043907458.871647</v>
      </c>
      <c r="AR603" s="163">
        <f t="shared" si="781"/>
        <v>11.255243055514285</v>
      </c>
      <c r="AS603" s="49">
        <f t="shared" si="782"/>
        <v>0.29178075396825398</v>
      </c>
      <c r="AT603" s="165">
        <f t="shared" si="783"/>
        <v>76.470644841269774</v>
      </c>
      <c r="AU603" s="254">
        <f t="shared" si="785"/>
        <v>199173.82620000001</v>
      </c>
      <c r="AV603" s="255">
        <f t="shared" si="786"/>
        <v>490284.07380000001</v>
      </c>
      <c r="AW603" s="256">
        <f t="shared" si="784"/>
        <v>0.40624168077963785</v>
      </c>
    </row>
    <row r="604" spans="1:50">
      <c r="A604" s="108">
        <v>602</v>
      </c>
      <c r="F604" s="45">
        <v>43147.006655092591</v>
      </c>
      <c r="G604" s="45">
        <v>43147.042187500003</v>
      </c>
      <c r="H604" s="53">
        <f>G604-F604</f>
        <v>3.553240741166519E-2</v>
      </c>
      <c r="I604" s="86">
        <v>49.81</v>
      </c>
      <c r="J604" s="109" t="s">
        <v>260</v>
      </c>
      <c r="K604" s="88" t="s">
        <v>72</v>
      </c>
      <c r="L604" s="88" t="s">
        <v>73</v>
      </c>
      <c r="M604" s="88">
        <v>-369</v>
      </c>
      <c r="N604" s="108">
        <v>1</v>
      </c>
      <c r="O604" s="108">
        <v>200</v>
      </c>
      <c r="P604" s="88">
        <v>348</v>
      </c>
      <c r="Q604" s="88" t="s">
        <v>75</v>
      </c>
      <c r="R604" s="88" t="s">
        <v>348</v>
      </c>
      <c r="S604" s="110">
        <v>10000</v>
      </c>
      <c r="T604" s="110">
        <v>900</v>
      </c>
      <c r="U604" s="88">
        <v>983</v>
      </c>
      <c r="V604" s="90">
        <v>1500</v>
      </c>
      <c r="W604" s="111">
        <v>10</v>
      </c>
      <c r="X604" s="110">
        <v>47769</v>
      </c>
      <c r="Y604" s="110">
        <v>831604</v>
      </c>
      <c r="Z604" s="110">
        <v>6875825</v>
      </c>
      <c r="AA604" s="110">
        <v>2088860</v>
      </c>
      <c r="AB604" s="112">
        <v>4814193</v>
      </c>
      <c r="AC604" s="109">
        <v>160.1</v>
      </c>
      <c r="AD604" s="110">
        <v>-109.9</v>
      </c>
      <c r="AE604" s="110">
        <v>3.93</v>
      </c>
      <c r="AF604" s="110">
        <v>-0.75</v>
      </c>
      <c r="AG604" s="110">
        <v>109.8</v>
      </c>
      <c r="AH604" s="110">
        <v>-110</v>
      </c>
      <c r="AI604" s="110">
        <v>3.75</v>
      </c>
      <c r="AJ604" s="109">
        <v>-0.34</v>
      </c>
      <c r="AK604" s="113" t="s">
        <v>59</v>
      </c>
      <c r="AL604" s="107" t="s">
        <v>238</v>
      </c>
      <c r="AN604" s="107">
        <v>0.95699999999999996</v>
      </c>
      <c r="AO604" s="48">
        <f t="shared" si="778"/>
        <v>118020188.29615384</v>
      </c>
      <c r="AP604" s="156">
        <f t="shared" si="779"/>
        <v>82614131.80730769</v>
      </c>
      <c r="AQ604" s="161">
        <f t="shared" si="780"/>
        <v>25126521590.678955</v>
      </c>
      <c r="AR604" s="163">
        <f t="shared" si="781"/>
        <v>11.29077546292595</v>
      </c>
      <c r="AS604" s="49">
        <f t="shared" si="782"/>
        <v>0.25201488095238095</v>
      </c>
      <c r="AT604" s="165">
        <f t="shared" si="783"/>
        <v>76.722659722222161</v>
      </c>
      <c r="AU604" s="254">
        <f t="shared" si="785"/>
        <v>199903.902</v>
      </c>
      <c r="AV604" s="255">
        <f t="shared" si="786"/>
        <v>490401.39799999999</v>
      </c>
      <c r="AW604" s="256">
        <f t="shared" si="784"/>
        <v>0.40763322212225833</v>
      </c>
    </row>
    <row r="605" spans="1:50">
      <c r="A605" s="108">
        <v>603</v>
      </c>
      <c r="F605" s="45">
        <v>43147.049201388887</v>
      </c>
      <c r="G605" s="45">
        <v>43147.080520833333</v>
      </c>
      <c r="H605" s="53">
        <f>G605-F605-'user time'!Z114</f>
        <v>3.1053240742422293E-2</v>
      </c>
      <c r="I605" s="86">
        <v>49.79</v>
      </c>
      <c r="J605" s="109" t="s">
        <v>260</v>
      </c>
      <c r="K605" s="88" t="s">
        <v>72</v>
      </c>
      <c r="L605" s="88" t="s">
        <v>73</v>
      </c>
      <c r="M605" s="88">
        <v>-369</v>
      </c>
      <c r="N605" s="108">
        <v>1</v>
      </c>
      <c r="O605" s="108">
        <v>200</v>
      </c>
      <c r="P605" s="88">
        <v>348</v>
      </c>
      <c r="Q605" s="88" t="s">
        <v>75</v>
      </c>
      <c r="R605" s="88" t="s">
        <v>348</v>
      </c>
      <c r="S605" s="110">
        <v>10200</v>
      </c>
      <c r="T605" s="110">
        <v>900</v>
      </c>
      <c r="U605" s="88">
        <v>983</v>
      </c>
      <c r="V605" s="90">
        <v>1500</v>
      </c>
      <c r="W605" s="111">
        <v>10</v>
      </c>
      <c r="X605" s="110">
        <v>48201</v>
      </c>
      <c r="Y605" s="110">
        <v>834528</v>
      </c>
      <c r="Z605" s="110">
        <v>6881473</v>
      </c>
      <c r="AA605" s="110">
        <v>2095823</v>
      </c>
      <c r="AB605" s="112">
        <v>4811617</v>
      </c>
      <c r="AC605" s="109">
        <v>160.1</v>
      </c>
      <c r="AD605" s="110">
        <v>-109.9</v>
      </c>
      <c r="AE605" s="110">
        <v>3.93</v>
      </c>
      <c r="AF605" s="110">
        <v>-0.75</v>
      </c>
      <c r="AG605" s="110">
        <v>109.8</v>
      </c>
      <c r="AH605" s="110">
        <v>-110</v>
      </c>
      <c r="AI605" s="110">
        <v>3.75</v>
      </c>
      <c r="AJ605" s="109">
        <v>-0.33</v>
      </c>
      <c r="AK605" s="113" t="s">
        <v>59</v>
      </c>
      <c r="AL605" s="107" t="s">
        <v>238</v>
      </c>
      <c r="AN605" s="107">
        <v>0.95299999999999996</v>
      </c>
      <c r="AO605" s="48">
        <f t="shared" si="778"/>
        <v>103053994.86301921</v>
      </c>
      <c r="AP605" s="156">
        <f t="shared" si="779"/>
        <v>72137796.404113442</v>
      </c>
      <c r="AQ605" s="161">
        <f t="shared" si="780"/>
        <v>25198659387.083069</v>
      </c>
      <c r="AR605" s="163">
        <f t="shared" si="781"/>
        <v>11.321828703668372</v>
      </c>
      <c r="AS605" s="49">
        <f t="shared" si="782"/>
        <v>0.21733730158730155</v>
      </c>
      <c r="AT605" s="165">
        <f t="shared" si="783"/>
        <v>76.939997023809468</v>
      </c>
      <c r="AU605" s="254">
        <f t="shared" si="785"/>
        <v>199731.93189999997</v>
      </c>
      <c r="AV605" s="255">
        <f t="shared" si="786"/>
        <v>491012.06810000003</v>
      </c>
      <c r="AW605" s="256">
        <f t="shared" si="784"/>
        <v>0.40677601402522423</v>
      </c>
    </row>
    <row r="606" spans="1:50">
      <c r="A606" s="108">
        <v>604</v>
      </c>
      <c r="F606" s="45">
        <v>43147.088206018518</v>
      </c>
      <c r="G606" s="45">
        <v>43147.128449074073</v>
      </c>
      <c r="H606" s="53">
        <f>G606-F606-'user time'!Z116-'user time'!Z117</f>
        <v>3.030092592540852E-2</v>
      </c>
      <c r="I606" s="86">
        <v>49.89</v>
      </c>
      <c r="J606" s="109" t="s">
        <v>260</v>
      </c>
      <c r="K606" s="88" t="s">
        <v>72</v>
      </c>
      <c r="L606" s="88" t="s">
        <v>73</v>
      </c>
      <c r="M606" s="88">
        <v>-369</v>
      </c>
      <c r="N606" s="108">
        <v>1</v>
      </c>
      <c r="O606" s="108">
        <v>200</v>
      </c>
      <c r="P606" s="88">
        <v>348</v>
      </c>
      <c r="Q606" s="88" t="s">
        <v>75</v>
      </c>
      <c r="R606" s="88" t="s">
        <v>348</v>
      </c>
      <c r="S606" s="110">
        <v>10200</v>
      </c>
      <c r="T606" s="110">
        <v>930</v>
      </c>
      <c r="U606" s="88">
        <v>983</v>
      </c>
      <c r="V606" s="90">
        <v>1500</v>
      </c>
      <c r="W606" s="111">
        <v>10</v>
      </c>
      <c r="X606" s="110">
        <v>48081</v>
      </c>
      <c r="Y606" s="110">
        <v>834825</v>
      </c>
      <c r="Z606" s="110">
        <v>6898273</v>
      </c>
      <c r="AA606" s="110">
        <v>2104943</v>
      </c>
      <c r="AB606" s="112">
        <v>4819242</v>
      </c>
      <c r="AC606" s="109">
        <v>160.1</v>
      </c>
      <c r="AD606" s="110">
        <v>-110</v>
      </c>
      <c r="AE606" s="110">
        <v>3.93</v>
      </c>
      <c r="AF606" s="110">
        <v>-0.75</v>
      </c>
      <c r="AG606" s="110">
        <v>109.8</v>
      </c>
      <c r="AH606" s="110">
        <v>-110</v>
      </c>
      <c r="AI606" s="110">
        <v>3.75</v>
      </c>
      <c r="AJ606" s="109">
        <v>-0.33</v>
      </c>
      <c r="AK606" s="113" t="s">
        <v>59</v>
      </c>
      <c r="AL606" s="107" t="s">
        <v>181</v>
      </c>
      <c r="AN606" s="107">
        <v>0.95499999999999996</v>
      </c>
      <c r="AO606" s="48">
        <f t="shared" si="778"/>
        <v>101206873.8301923</v>
      </c>
      <c r="AP606" s="156">
        <f t="shared" si="779"/>
        <v>70844811.681134596</v>
      </c>
      <c r="AQ606" s="161">
        <f t="shared" si="780"/>
        <v>25269504198.764202</v>
      </c>
      <c r="AR606" s="163">
        <f t="shared" si="781"/>
        <v>11.352129629593779</v>
      </c>
      <c r="AS606" s="49">
        <f t="shared" si="782"/>
        <v>0.21282440476190476</v>
      </c>
      <c r="AT606" s="165">
        <f t="shared" si="783"/>
        <v>77.152821428571372</v>
      </c>
      <c r="AU606" s="254">
        <f t="shared" si="785"/>
        <v>201022.05649999998</v>
      </c>
      <c r="AV606" s="255">
        <f t="shared" si="786"/>
        <v>491396.44349999999</v>
      </c>
      <c r="AW606" s="256">
        <f t="shared" si="784"/>
        <v>0.40908325479160695</v>
      </c>
    </row>
    <row r="607" spans="1:50">
      <c r="A607" s="108">
        <v>605</v>
      </c>
      <c r="F607" s="45">
        <v>43147.128460648149</v>
      </c>
      <c r="G607" s="45">
        <v>43147.168449074074</v>
      </c>
      <c r="H607" s="53">
        <f>G607-F607-'user time'!Z118-'user time'!Z119</f>
        <v>3.9363425924093504E-2</v>
      </c>
      <c r="I607" s="86">
        <v>49.9</v>
      </c>
      <c r="J607" s="109" t="s">
        <v>260</v>
      </c>
      <c r="K607" s="88" t="s">
        <v>72</v>
      </c>
      <c r="L607" s="88" t="s">
        <v>73</v>
      </c>
      <c r="M607" s="88">
        <v>-369</v>
      </c>
      <c r="N607" s="108">
        <v>1</v>
      </c>
      <c r="O607" s="108">
        <v>200</v>
      </c>
      <c r="P607" s="88">
        <v>348</v>
      </c>
      <c r="Q607" s="88" t="s">
        <v>75</v>
      </c>
      <c r="R607" s="88" t="s">
        <v>348</v>
      </c>
      <c r="S607" s="110">
        <v>10300</v>
      </c>
      <c r="T607" s="110">
        <v>930</v>
      </c>
      <c r="U607" s="88">
        <v>983</v>
      </c>
      <c r="V607" s="90">
        <v>1500</v>
      </c>
      <c r="W607" s="111">
        <v>10</v>
      </c>
      <c r="X607" s="110">
        <v>47933</v>
      </c>
      <c r="Y607" s="110">
        <v>834172</v>
      </c>
      <c r="Z607" s="110">
        <v>6875400</v>
      </c>
      <c r="AA607" s="110">
        <v>2097149</v>
      </c>
      <c r="AB607" s="112">
        <v>4803629</v>
      </c>
      <c r="AC607" s="109">
        <v>160.1</v>
      </c>
      <c r="AD607" s="110">
        <v>-110</v>
      </c>
      <c r="AE607" s="110">
        <v>3.93</v>
      </c>
      <c r="AF607" s="110">
        <v>-0.75</v>
      </c>
      <c r="AG607" s="110">
        <v>109.8</v>
      </c>
      <c r="AH607" s="110">
        <v>-110</v>
      </c>
      <c r="AI607" s="110">
        <v>3.75</v>
      </c>
      <c r="AJ607" s="109">
        <v>-0.34</v>
      </c>
      <c r="AK607" s="113" t="s">
        <v>59</v>
      </c>
      <c r="AL607" s="107" t="s">
        <v>181</v>
      </c>
      <c r="AN607" s="107">
        <v>0.95499999999999996</v>
      </c>
      <c r="AO607" s="48">
        <f t="shared" si="778"/>
        <v>130989338.08259615</v>
      </c>
      <c r="AP607" s="156">
        <f t="shared" si="779"/>
        <v>91692536.657817304</v>
      </c>
      <c r="AQ607" s="161">
        <f t="shared" si="780"/>
        <v>25361196735.42202</v>
      </c>
      <c r="AR607" s="163">
        <f t="shared" si="781"/>
        <v>11.391493055517874</v>
      </c>
      <c r="AS607" s="49">
        <f t="shared" si="782"/>
        <v>0.27722222222222226</v>
      </c>
      <c r="AT607" s="165">
        <f t="shared" si="783"/>
        <v>77.430043650793593</v>
      </c>
      <c r="AU607" s="254">
        <f t="shared" si="785"/>
        <v>200277.72949999999</v>
      </c>
      <c r="AV607" s="255">
        <f t="shared" si="786"/>
        <v>489800.07050000003</v>
      </c>
      <c r="AW607" s="256">
        <f t="shared" si="784"/>
        <v>0.40889689806608548</v>
      </c>
    </row>
    <row r="608" spans="1:50">
      <c r="A608" s="108">
        <v>606</v>
      </c>
      <c r="F608" s="45">
        <v>43147.168437499997</v>
      </c>
      <c r="G608" s="45">
        <v>43147.210578703707</v>
      </c>
      <c r="H608" s="53">
        <f>G608-F608-'user time'!Z120-'user time'!Z121</f>
        <v>4.1377314821454791E-2</v>
      </c>
      <c r="I608" s="86">
        <v>49.73</v>
      </c>
      <c r="J608" s="109" t="s">
        <v>260</v>
      </c>
      <c r="K608" s="88" t="s">
        <v>72</v>
      </c>
      <c r="L608" s="88" t="s">
        <v>73</v>
      </c>
      <c r="M608" s="88">
        <v>-369</v>
      </c>
      <c r="N608" s="108">
        <v>1</v>
      </c>
      <c r="O608" s="108">
        <v>200</v>
      </c>
      <c r="P608" s="88">
        <v>348</v>
      </c>
      <c r="Q608" s="88" t="s">
        <v>75</v>
      </c>
      <c r="R608" s="88" t="s">
        <v>348</v>
      </c>
      <c r="S608" s="110">
        <v>10200</v>
      </c>
      <c r="T608" s="110">
        <v>917</v>
      </c>
      <c r="U608" s="88">
        <v>983</v>
      </c>
      <c r="V608" s="90">
        <v>1500</v>
      </c>
      <c r="W608" s="111">
        <v>10</v>
      </c>
      <c r="X608" s="110">
        <v>48207</v>
      </c>
      <c r="Y608" s="110">
        <v>834629</v>
      </c>
      <c r="Z608" s="110">
        <v>6884511</v>
      </c>
      <c r="AA608" s="110">
        <v>2100089</v>
      </c>
      <c r="AB608" s="112">
        <v>4810137</v>
      </c>
      <c r="AC608" s="109">
        <v>160.1</v>
      </c>
      <c r="AD608" s="110">
        <v>-110</v>
      </c>
      <c r="AE608" s="110">
        <v>3.93</v>
      </c>
      <c r="AF608" s="110">
        <v>-0.75</v>
      </c>
      <c r="AG608" s="110">
        <v>109.8</v>
      </c>
      <c r="AH608" s="110">
        <v>-110</v>
      </c>
      <c r="AI608" s="110">
        <v>3.75</v>
      </c>
      <c r="AJ608" s="109">
        <v>-0.34</v>
      </c>
      <c r="AK608" s="113" t="s">
        <v>59</v>
      </c>
      <c r="AL608" s="107" t="s">
        <v>181</v>
      </c>
      <c r="AN608" s="107">
        <v>0.95299999999999996</v>
      </c>
      <c r="AO608" s="48">
        <f t="shared" si="778"/>
        <v>137595206.16874999</v>
      </c>
      <c r="AP608" s="156">
        <f t="shared" si="779"/>
        <v>96316644.31812498</v>
      </c>
      <c r="AQ608" s="161">
        <f t="shared" si="780"/>
        <v>25457513379.740147</v>
      </c>
      <c r="AR608" s="163">
        <f t="shared" si="781"/>
        <v>11.432870370339328</v>
      </c>
      <c r="AS608" s="49">
        <f t="shared" si="782"/>
        <v>0.29107837301587297</v>
      </c>
      <c r="AT608" s="165">
        <f t="shared" si="783"/>
        <v>77.721122023809471</v>
      </c>
      <c r="AU608" s="254">
        <f t="shared" si="785"/>
        <v>200138.48169999997</v>
      </c>
      <c r="AV608" s="255">
        <f t="shared" si="786"/>
        <v>490884.11830000003</v>
      </c>
      <c r="AW608" s="256">
        <f t="shared" si="784"/>
        <v>0.40771024003202094</v>
      </c>
    </row>
    <row r="609" spans="1:70">
      <c r="A609" s="108">
        <v>607</v>
      </c>
      <c r="F609" s="45">
        <v>43147.210636574076</v>
      </c>
      <c r="G609" s="45">
        <v>43147.252557870372</v>
      </c>
      <c r="H609" s="53">
        <f>G609-F609-SUM('user time'!Z122:Z124)</f>
        <v>4.0937499998889793E-2</v>
      </c>
      <c r="I609" s="86">
        <v>49.97</v>
      </c>
      <c r="J609" s="109" t="s">
        <v>260</v>
      </c>
      <c r="K609" s="88" t="s">
        <v>72</v>
      </c>
      <c r="L609" s="88" t="s">
        <v>73</v>
      </c>
      <c r="M609" s="88">
        <v>-369</v>
      </c>
      <c r="N609" s="108">
        <v>1</v>
      </c>
      <c r="O609" s="108">
        <v>200</v>
      </c>
      <c r="P609" s="88">
        <v>348</v>
      </c>
      <c r="Q609" s="88" t="s">
        <v>75</v>
      </c>
      <c r="R609" s="88" t="s">
        <v>348</v>
      </c>
      <c r="S609" s="110">
        <v>10042</v>
      </c>
      <c r="T609" s="110">
        <v>915</v>
      </c>
      <c r="U609" s="88">
        <v>983</v>
      </c>
      <c r="V609" s="90">
        <v>1500</v>
      </c>
      <c r="W609" s="111">
        <v>10</v>
      </c>
      <c r="X609" s="110">
        <v>48183</v>
      </c>
      <c r="Y609" s="110">
        <v>835593</v>
      </c>
      <c r="Z609" s="110">
        <v>6868378</v>
      </c>
      <c r="AA609" s="110">
        <v>2097850</v>
      </c>
      <c r="AB609" s="112">
        <v>4796468</v>
      </c>
      <c r="AC609" s="109">
        <v>160.1</v>
      </c>
      <c r="AD609" s="110">
        <v>-110</v>
      </c>
      <c r="AE609" s="110">
        <v>3.93</v>
      </c>
      <c r="AF609" s="110">
        <v>-0.75</v>
      </c>
      <c r="AG609" s="110">
        <v>109.8</v>
      </c>
      <c r="AH609" s="110">
        <v>-110</v>
      </c>
      <c r="AI609" s="110">
        <v>3.75</v>
      </c>
      <c r="AJ609" s="109">
        <v>-0.34</v>
      </c>
      <c r="AK609" s="113" t="s">
        <v>59</v>
      </c>
      <c r="AL609" s="107" t="s">
        <v>181</v>
      </c>
      <c r="AN609" s="107">
        <v>0.95499999999999996</v>
      </c>
      <c r="AO609" s="48">
        <f t="shared" si="778"/>
        <v>136272906.82211536</v>
      </c>
      <c r="AP609" s="156">
        <f t="shared" si="779"/>
        <v>95391034.775480747</v>
      </c>
      <c r="AQ609" s="161">
        <f t="shared" si="780"/>
        <v>25552904414.515629</v>
      </c>
      <c r="AR609" s="163">
        <f t="shared" si="781"/>
        <v>11.473807870338218</v>
      </c>
      <c r="AS609" s="49">
        <f t="shared" si="782"/>
        <v>0.28752579365079367</v>
      </c>
      <c r="AT609" s="165">
        <f t="shared" si="783"/>
        <v>78.008647817460272</v>
      </c>
      <c r="AU609" s="254">
        <f t="shared" si="785"/>
        <v>200344.67499999999</v>
      </c>
      <c r="AV609" s="255">
        <f t="shared" si="786"/>
        <v>489087.125</v>
      </c>
      <c r="AW609" s="256">
        <f t="shared" si="784"/>
        <v>0.40962982822334565</v>
      </c>
    </row>
    <row r="610" spans="1:70">
      <c r="A610" s="108">
        <v>608</v>
      </c>
      <c r="F610" s="45">
        <v>43147.252638888887</v>
      </c>
      <c r="G610" s="45">
        <v>43147.295219907406</v>
      </c>
      <c r="H610" s="53">
        <f>G610-F610</f>
        <v>4.2581018518831115E-2</v>
      </c>
      <c r="I610" s="86">
        <v>49.96</v>
      </c>
      <c r="J610" s="109" t="s">
        <v>260</v>
      </c>
      <c r="K610" s="88" t="s">
        <v>72</v>
      </c>
      <c r="L610" s="88" t="s">
        <v>73</v>
      </c>
      <c r="M610" s="88">
        <v>-369</v>
      </c>
      <c r="N610" s="108">
        <v>1</v>
      </c>
      <c r="O610" s="108">
        <v>200</v>
      </c>
      <c r="P610" s="88">
        <v>348</v>
      </c>
      <c r="Q610" s="88" t="s">
        <v>75</v>
      </c>
      <c r="R610" s="88" t="s">
        <v>348</v>
      </c>
      <c r="S610" s="110">
        <v>10200</v>
      </c>
      <c r="T610" s="110">
        <v>910</v>
      </c>
      <c r="U610" s="88">
        <v>983</v>
      </c>
      <c r="V610" s="90">
        <v>1500</v>
      </c>
      <c r="W610" s="111">
        <v>10</v>
      </c>
      <c r="X610" s="110">
        <v>48326</v>
      </c>
      <c r="Y610" s="110">
        <v>836085</v>
      </c>
      <c r="Z610" s="110">
        <v>6918852</v>
      </c>
      <c r="AA610" s="110">
        <v>2109997</v>
      </c>
      <c r="AB610" s="112">
        <v>4834211</v>
      </c>
      <c r="AC610" s="109">
        <v>160.1</v>
      </c>
      <c r="AD610" s="110">
        <v>-110</v>
      </c>
      <c r="AE610" s="110">
        <v>3.93</v>
      </c>
      <c r="AF610" s="110">
        <v>-0.75</v>
      </c>
      <c r="AG610" s="110">
        <v>109.8</v>
      </c>
      <c r="AH610" s="110">
        <v>-110</v>
      </c>
      <c r="AI610" s="110">
        <v>3.75</v>
      </c>
      <c r="AJ610" s="109">
        <v>-0.34</v>
      </c>
      <c r="AK610" s="113" t="s">
        <v>59</v>
      </c>
      <c r="AL610" s="107" t="s">
        <v>181</v>
      </c>
      <c r="AN610" s="107">
        <v>0.95399999999999996</v>
      </c>
      <c r="AO610" s="48">
        <f t="shared" si="778"/>
        <v>142415302.51350001</v>
      </c>
      <c r="AP610" s="156">
        <f t="shared" si="779"/>
        <v>99690711.759450004</v>
      </c>
      <c r="AQ610" s="161">
        <f t="shared" si="780"/>
        <v>25652595126.275078</v>
      </c>
      <c r="AR610" s="163">
        <f t="shared" si="781"/>
        <v>11.516388888857049</v>
      </c>
      <c r="AS610" s="49">
        <f t="shared" si="782"/>
        <v>0.3023373015873016</v>
      </c>
      <c r="AT610" s="165">
        <f t="shared" si="783"/>
        <v>78.310985119047572</v>
      </c>
      <c r="AU610" s="254">
        <f t="shared" si="785"/>
        <v>201293.7138</v>
      </c>
      <c r="AV610" s="255">
        <f t="shared" si="786"/>
        <v>493127.08619999996</v>
      </c>
      <c r="AW610" s="256">
        <f t="shared" si="784"/>
        <v>0.40819845316377595</v>
      </c>
    </row>
    <row r="611" spans="1:70">
      <c r="A611" s="108">
        <v>609</v>
      </c>
      <c r="F611" s="45">
        <v>43147.295289351852</v>
      </c>
      <c r="G611" s="45">
        <v>43147.337175925924</v>
      </c>
      <c r="H611" s="53">
        <f>G611-F611-'user time'!Z125-'user time'!Z126</f>
        <v>4.1192129627678653E-2</v>
      </c>
      <c r="I611" s="86">
        <v>49.74</v>
      </c>
      <c r="J611" s="109" t="s">
        <v>260</v>
      </c>
      <c r="K611" s="88" t="s">
        <v>72</v>
      </c>
      <c r="L611" s="88" t="s">
        <v>73</v>
      </c>
      <c r="M611" s="88">
        <v>-369</v>
      </c>
      <c r="N611" s="108">
        <v>1</v>
      </c>
      <c r="O611" s="108">
        <v>200</v>
      </c>
      <c r="P611" s="88">
        <v>348</v>
      </c>
      <c r="Q611" s="88" t="s">
        <v>75</v>
      </c>
      <c r="R611" s="88" t="s">
        <v>348</v>
      </c>
      <c r="S611" s="110">
        <v>10204</v>
      </c>
      <c r="T611" s="110">
        <v>897</v>
      </c>
      <c r="U611" s="88">
        <v>983</v>
      </c>
      <c r="V611" s="90">
        <v>1500</v>
      </c>
      <c r="W611" s="111">
        <v>10</v>
      </c>
      <c r="X611" s="110">
        <v>48191</v>
      </c>
      <c r="Y611" s="110">
        <v>835538</v>
      </c>
      <c r="Z611" s="110">
        <v>6874692</v>
      </c>
      <c r="AA611" s="110">
        <v>2098137</v>
      </c>
      <c r="AB611" s="112">
        <v>4802727</v>
      </c>
      <c r="AC611" s="109">
        <v>160.1</v>
      </c>
      <c r="AD611" s="110">
        <v>-110</v>
      </c>
      <c r="AE611" s="110">
        <v>3.93</v>
      </c>
      <c r="AF611" s="110">
        <v>-0.75</v>
      </c>
      <c r="AG611" s="110">
        <v>109.8</v>
      </c>
      <c r="AH611" s="110">
        <v>-110</v>
      </c>
      <c r="AI611" s="110">
        <v>3.75</v>
      </c>
      <c r="AJ611" s="109">
        <v>-0.34</v>
      </c>
      <c r="AK611" s="113" t="s">
        <v>59</v>
      </c>
      <c r="AL611" s="107" t="s">
        <v>181</v>
      </c>
      <c r="AN611" s="107">
        <v>0.95399999999999996</v>
      </c>
      <c r="AO611" s="48">
        <f t="shared" si="778"/>
        <v>136995676.58042306</v>
      </c>
      <c r="AP611" s="156">
        <f t="shared" si="779"/>
        <v>95896973.606296137</v>
      </c>
      <c r="AQ611" s="161">
        <f t="shared" si="780"/>
        <v>25748492099.881374</v>
      </c>
      <c r="AR611" s="163">
        <f t="shared" si="781"/>
        <v>11.557581018484727</v>
      </c>
      <c r="AS611" s="49">
        <f t="shared" si="782"/>
        <v>0.29113690476190479</v>
      </c>
      <c r="AT611" s="165">
        <f t="shared" si="783"/>
        <v>78.602122023809471</v>
      </c>
      <c r="AU611" s="254">
        <f t="shared" si="785"/>
        <v>200162.26980000001</v>
      </c>
      <c r="AV611" s="255">
        <f t="shared" si="786"/>
        <v>489924.13020000001</v>
      </c>
      <c r="AW611" s="256">
        <f t="shared" si="784"/>
        <v>0.40855768773480999</v>
      </c>
    </row>
    <row r="612" spans="1:70">
      <c r="A612" s="108">
        <v>610</v>
      </c>
      <c r="F612" s="45">
        <v>43147.337175925924</v>
      </c>
      <c r="G612" s="45">
        <v>43147.379155092596</v>
      </c>
      <c r="H612" s="53">
        <f>G612-F612-'user time'!Z127</f>
        <v>4.1655092597734311E-2</v>
      </c>
      <c r="I612" s="86">
        <v>49.88</v>
      </c>
      <c r="J612" s="109" t="s">
        <v>260</v>
      </c>
      <c r="K612" s="88" t="s">
        <v>72</v>
      </c>
      <c r="L612" s="88" t="s">
        <v>73</v>
      </c>
      <c r="M612" s="88">
        <v>-369</v>
      </c>
      <c r="N612" s="108">
        <v>1</v>
      </c>
      <c r="O612" s="108">
        <v>200</v>
      </c>
      <c r="P612" s="88">
        <v>348</v>
      </c>
      <c r="Q612" s="88" t="s">
        <v>75</v>
      </c>
      <c r="R612" s="88" t="s">
        <v>348</v>
      </c>
      <c r="S612" s="110">
        <v>10000</v>
      </c>
      <c r="T612" s="110">
        <v>918</v>
      </c>
      <c r="U612" s="88">
        <v>983</v>
      </c>
      <c r="V612" s="90">
        <v>1500</v>
      </c>
      <c r="W612" s="111">
        <v>10</v>
      </c>
      <c r="X612" s="110">
        <v>47696</v>
      </c>
      <c r="Y612" s="110">
        <v>834862</v>
      </c>
      <c r="Z612" s="110">
        <v>6873988</v>
      </c>
      <c r="AA612" s="110">
        <v>2099088</v>
      </c>
      <c r="AB612" s="112">
        <v>4800332</v>
      </c>
      <c r="AC612" s="109">
        <v>160.1</v>
      </c>
      <c r="AD612" s="110">
        <v>-110</v>
      </c>
      <c r="AE612" s="110">
        <v>3.93</v>
      </c>
      <c r="AF612" s="110">
        <v>-0.75</v>
      </c>
      <c r="AG612" s="110">
        <v>109.8</v>
      </c>
      <c r="AH612" s="110">
        <v>-110</v>
      </c>
      <c r="AI612" s="110">
        <v>3.75</v>
      </c>
      <c r="AJ612" s="109">
        <v>-0.34</v>
      </c>
      <c r="AK612" s="113" t="s">
        <v>59</v>
      </c>
      <c r="AL612" s="107" t="s">
        <v>181</v>
      </c>
      <c r="AN612" s="107">
        <v>0.95599999999999996</v>
      </c>
      <c r="AO612" s="48">
        <f t="shared" ref="AO612" si="787">(HOUR(H612)*60*60+MINUTE(H612)*60+SECOND(H612))/5.2*AA612/W612*AN612</f>
        <v>138888741.01292309</v>
      </c>
      <c r="AP612" s="156">
        <f t="shared" ref="AP612" si="788">AO612*0.7</f>
        <v>97222118.709046155</v>
      </c>
      <c r="AQ612" s="161">
        <f t="shared" ref="AQ612" si="789">AP612+AQ611</f>
        <v>25845714218.59042</v>
      </c>
      <c r="AR612" s="163">
        <f t="shared" ref="AR612" si="790">H612+AR611</f>
        <v>11.599236111082462</v>
      </c>
      <c r="AS612" s="49">
        <f t="shared" ref="AS612" si="791">I612*(HOUR(H612)*60+MINUTE(H612))/60/(7*24)</f>
        <v>0.29195634920634922</v>
      </c>
      <c r="AT612" s="165">
        <f t="shared" ref="AT612" si="792">AS612+AT611</f>
        <v>78.894078373015816</v>
      </c>
      <c r="AU612" s="254">
        <f t="shared" ref="AU612" si="793">AA612/W612*AN612</f>
        <v>200672.81279999999</v>
      </c>
      <c r="AV612" s="255">
        <f t="shared" ref="AV612" si="794">AB612/W612+AA612/W612*(1-AN612)</f>
        <v>489269.18720000004</v>
      </c>
      <c r="AW612" s="256">
        <f t="shared" ref="AW612" si="795">AU612/AV612</f>
        <v>0.41014806991712388</v>
      </c>
    </row>
    <row r="613" spans="1:70">
      <c r="A613" s="108">
        <v>611</v>
      </c>
      <c r="F613" s="45">
        <v>43147.379212962966</v>
      </c>
      <c r="G613" s="45">
        <v>43147.414247685185</v>
      </c>
      <c r="H613" s="53">
        <f>G613-F613-'user time'!Z128</f>
        <v>3.4803240737797947E-2</v>
      </c>
      <c r="I613" s="86">
        <v>49.86</v>
      </c>
      <c r="J613" s="109" t="s">
        <v>260</v>
      </c>
      <c r="K613" s="88" t="s">
        <v>72</v>
      </c>
      <c r="L613" s="88" t="s">
        <v>73</v>
      </c>
      <c r="M613" s="88">
        <v>-369</v>
      </c>
      <c r="N613" s="108">
        <v>1</v>
      </c>
      <c r="O613" s="108">
        <v>200</v>
      </c>
      <c r="P613" s="88">
        <v>348</v>
      </c>
      <c r="Q613" s="88" t="s">
        <v>75</v>
      </c>
      <c r="R613" s="88" t="s">
        <v>348</v>
      </c>
      <c r="S613" s="110">
        <v>10100</v>
      </c>
      <c r="T613" s="110">
        <v>908</v>
      </c>
      <c r="U613" s="88">
        <v>983</v>
      </c>
      <c r="V613" s="90">
        <v>1500</v>
      </c>
      <c r="W613" s="111">
        <v>10</v>
      </c>
      <c r="X613" s="110">
        <v>47981</v>
      </c>
      <c r="Y613" s="110">
        <v>833835</v>
      </c>
      <c r="Z613" s="110">
        <v>6861931</v>
      </c>
      <c r="AA613" s="110">
        <v>2092175</v>
      </c>
      <c r="AB613" s="112">
        <v>4795626</v>
      </c>
      <c r="AC613" s="109">
        <v>160.1</v>
      </c>
      <c r="AD613" s="110">
        <v>-110</v>
      </c>
      <c r="AE613" s="110">
        <v>3.93</v>
      </c>
      <c r="AF613" s="110">
        <v>-0.75</v>
      </c>
      <c r="AG613" s="110">
        <v>109.7</v>
      </c>
      <c r="AH613" s="110">
        <v>-110</v>
      </c>
      <c r="AI613" s="110">
        <v>3.75</v>
      </c>
      <c r="AJ613" s="109">
        <v>-0.34</v>
      </c>
      <c r="AK613" s="113" t="s">
        <v>59</v>
      </c>
      <c r="AL613" s="107" t="s">
        <v>238</v>
      </c>
      <c r="AN613" s="107">
        <v>0.95599999999999996</v>
      </c>
      <c r="AO613" s="48">
        <f t="shared" ref="AO613" si="796">(HOUR(H613)*60*60+MINUTE(H613)*60+SECOND(H613))/5.2*AA613/W613*AN613</f>
        <v>115660744.90576921</v>
      </c>
      <c r="AP613" s="156">
        <f t="shared" ref="AP613" si="797">AO613*0.7</f>
        <v>80962521.434038445</v>
      </c>
      <c r="AQ613" s="161">
        <f t="shared" ref="AQ613" si="798">AP613+AQ612</f>
        <v>25926676740.02446</v>
      </c>
      <c r="AR613" s="163">
        <f t="shared" ref="AR613" si="799">H613+AR612</f>
        <v>11.63403935182026</v>
      </c>
      <c r="AS613" s="49">
        <f t="shared" ref="AS613" si="800">I613*(HOUR(H613)*60+MINUTE(H613))/60/(7*24)</f>
        <v>0.24732142857142855</v>
      </c>
      <c r="AT613" s="165">
        <f t="shared" ref="AT613" si="801">AS613+AT612</f>
        <v>79.141399801587241</v>
      </c>
      <c r="AU613" s="254">
        <f t="shared" ref="AU613" si="802">AA613/W613*AN613</f>
        <v>200011.93</v>
      </c>
      <c r="AV613" s="255">
        <f t="shared" ref="AV613" si="803">AB613/W613+AA613/W613*(1-AN613)</f>
        <v>488768.17</v>
      </c>
      <c r="AW613" s="256">
        <f t="shared" ref="AW613" si="804">AU613/AV613</f>
        <v>0.40921635711261639</v>
      </c>
    </row>
    <row r="614" spans="1:70">
      <c r="A614" s="108">
        <v>612</v>
      </c>
      <c r="F614" s="45">
        <v>43147.418796296297</v>
      </c>
      <c r="G614" s="45">
        <v>43147.457824074074</v>
      </c>
      <c r="H614" s="53">
        <f>G614-F614-'user time'!Z130</f>
        <v>3.8796296295455446E-2</v>
      </c>
      <c r="I614" s="86">
        <v>49.88</v>
      </c>
      <c r="J614" s="109" t="s">
        <v>260</v>
      </c>
      <c r="K614" s="88" t="s">
        <v>72</v>
      </c>
      <c r="L614" s="88" t="s">
        <v>73</v>
      </c>
      <c r="M614" s="88">
        <v>-369</v>
      </c>
      <c r="N614" s="108">
        <v>1</v>
      </c>
      <c r="O614" s="108">
        <v>200</v>
      </c>
      <c r="P614" s="88">
        <v>348</v>
      </c>
      <c r="Q614" s="88" t="s">
        <v>75</v>
      </c>
      <c r="R614" s="88" t="s">
        <v>348</v>
      </c>
      <c r="S614" s="110">
        <v>10100</v>
      </c>
      <c r="T614" s="110">
        <v>921</v>
      </c>
      <c r="U614" s="88">
        <v>983</v>
      </c>
      <c r="V614" s="90">
        <v>1500</v>
      </c>
      <c r="W614" s="111">
        <v>10</v>
      </c>
      <c r="X614" s="110">
        <v>48256</v>
      </c>
      <c r="Y614" s="110">
        <v>834324</v>
      </c>
      <c r="Z614" s="110">
        <v>6880426</v>
      </c>
      <c r="AA614" s="110">
        <v>2100591</v>
      </c>
      <c r="AB614" s="112">
        <v>4805596</v>
      </c>
      <c r="AC614" s="109">
        <v>160</v>
      </c>
      <c r="AD614" s="110">
        <v>-110</v>
      </c>
      <c r="AE614" s="110">
        <v>3.94</v>
      </c>
      <c r="AF614" s="110">
        <v>-0.76</v>
      </c>
      <c r="AG614" s="110">
        <v>109.8</v>
      </c>
      <c r="AH614" s="110">
        <v>-110</v>
      </c>
      <c r="AI614" s="110">
        <v>3.75</v>
      </c>
      <c r="AJ614" s="109">
        <v>-0.34</v>
      </c>
      <c r="AK614" s="113" t="s">
        <v>59</v>
      </c>
      <c r="AL614" s="107" t="s">
        <v>238</v>
      </c>
      <c r="AN614" s="107">
        <v>0.95599999999999996</v>
      </c>
      <c r="AO614" s="48">
        <f t="shared" ref="AO614:AO615" si="805">(HOUR(H614)*60*60+MINUTE(H614)*60+SECOND(H614))/5.2*AA614/W614*AN614</f>
        <v>129449405.12676923</v>
      </c>
      <c r="AP614" s="156">
        <f t="shared" ref="AP614:AP615" si="806">AO614*0.7</f>
        <v>90614583.588738456</v>
      </c>
      <c r="AQ614" s="161">
        <f t="shared" ref="AQ614:AQ615" si="807">AP614+AQ613</f>
        <v>26017291323.613197</v>
      </c>
      <c r="AR614" s="163">
        <f t="shared" ref="AR614:AR615" si="808">H614+AR613</f>
        <v>11.672835648115715</v>
      </c>
      <c r="AS614" s="49">
        <f t="shared" ref="AS614:AS615" si="809">I614*(HOUR(H614)*60+MINUTE(H614))/60/(7*24)</f>
        <v>0.27216269841269841</v>
      </c>
      <c r="AT614" s="165">
        <f t="shared" ref="AT614:AT615" si="810">AS614+AT613</f>
        <v>79.413562499999941</v>
      </c>
      <c r="AU614" s="254">
        <f t="shared" ref="AU614:AU615" si="811">AA614/W614*AN614</f>
        <v>200816.49960000001</v>
      </c>
      <c r="AV614" s="255">
        <f t="shared" ref="AV614:AV615" si="812">AB614/W614+AA614/W614*(1-AN614)</f>
        <v>489802.20039999997</v>
      </c>
      <c r="AW614" s="256">
        <f t="shared" ref="AW614:AW615" si="813">AU614/AV614</f>
        <v>0.40999509482807955</v>
      </c>
    </row>
    <row r="615" spans="1:70">
      <c r="A615" s="108">
        <v>613</v>
      </c>
      <c r="F615" s="45">
        <v>43147.462523148148</v>
      </c>
      <c r="G615" s="45">
        <v>43147.505057870374</v>
      </c>
      <c r="H615" s="53">
        <f>G615-F615-'user time'!Z132</f>
        <v>4.2210648152190389E-2</v>
      </c>
      <c r="I615" s="86">
        <v>49.67</v>
      </c>
      <c r="J615" s="109" t="s">
        <v>260</v>
      </c>
      <c r="K615" s="88" t="s">
        <v>72</v>
      </c>
      <c r="L615" s="88" t="s">
        <v>73</v>
      </c>
      <c r="M615" s="88">
        <v>-369</v>
      </c>
      <c r="N615" s="108">
        <v>1</v>
      </c>
      <c r="O615" s="108">
        <v>200</v>
      </c>
      <c r="P615" s="88">
        <v>348</v>
      </c>
      <c r="Q615" s="88" t="s">
        <v>75</v>
      </c>
      <c r="R615" s="88" t="s">
        <v>348</v>
      </c>
      <c r="S615" s="110">
        <v>9920</v>
      </c>
      <c r="T615" s="110">
        <v>884</v>
      </c>
      <c r="U615" s="88">
        <v>983</v>
      </c>
      <c r="V615" s="90">
        <v>1500</v>
      </c>
      <c r="W615" s="111">
        <v>10</v>
      </c>
      <c r="X615" s="110">
        <v>48025</v>
      </c>
      <c r="Y615" s="110">
        <v>833921</v>
      </c>
      <c r="Z615" s="110">
        <v>6874304</v>
      </c>
      <c r="AA615" s="110">
        <v>2099647</v>
      </c>
      <c r="AB615" s="112">
        <v>4801007</v>
      </c>
      <c r="AC615" s="109">
        <v>160</v>
      </c>
      <c r="AD615" s="110">
        <v>-110</v>
      </c>
      <c r="AE615" s="110">
        <v>3.94</v>
      </c>
      <c r="AF615" s="110">
        <v>-0.76</v>
      </c>
      <c r="AG615" s="110">
        <v>109.7</v>
      </c>
      <c r="AH615" s="110">
        <v>-110</v>
      </c>
      <c r="AI615" s="110">
        <v>3.75</v>
      </c>
      <c r="AJ615" s="109">
        <v>-0.34</v>
      </c>
      <c r="AK615" s="113" t="s">
        <v>59</v>
      </c>
      <c r="AL615" s="107" t="s">
        <v>181</v>
      </c>
      <c r="AN615" s="107">
        <v>0.95699999999999996</v>
      </c>
      <c r="AO615" s="48">
        <f t="shared" si="805"/>
        <v>140925843.5925577</v>
      </c>
      <c r="AP615" s="156">
        <f t="shared" si="806"/>
        <v>98648090.514790386</v>
      </c>
      <c r="AQ615" s="161">
        <f t="shared" si="807"/>
        <v>26115939414.127987</v>
      </c>
      <c r="AR615" s="163">
        <f t="shared" si="808"/>
        <v>11.715046296267905</v>
      </c>
      <c r="AS615" s="49">
        <f t="shared" si="809"/>
        <v>0.29565476190476192</v>
      </c>
      <c r="AT615" s="165">
        <f t="shared" si="810"/>
        <v>79.709217261904698</v>
      </c>
      <c r="AU615" s="254">
        <f t="shared" si="811"/>
        <v>200936.21789999999</v>
      </c>
      <c r="AV615" s="255">
        <f t="shared" si="812"/>
        <v>489129.18210000003</v>
      </c>
      <c r="AW615" s="256">
        <f t="shared" si="813"/>
        <v>0.41080398645877475</v>
      </c>
    </row>
    <row r="616" spans="1:70">
      <c r="A616" s="108">
        <v>614</v>
      </c>
      <c r="F616" s="45">
        <v>43147.505115740743</v>
      </c>
      <c r="G616" s="45">
        <v>43147.546446759261</v>
      </c>
      <c r="H616" s="53">
        <f>G616-F616</f>
        <v>4.1331018517666962E-2</v>
      </c>
      <c r="I616" s="86">
        <v>49.95</v>
      </c>
      <c r="J616" s="109" t="s">
        <v>260</v>
      </c>
      <c r="K616" s="88" t="s">
        <v>72</v>
      </c>
      <c r="L616" s="88" t="s">
        <v>73</v>
      </c>
      <c r="M616" s="88">
        <v>-369</v>
      </c>
      <c r="N616" s="108">
        <v>1</v>
      </c>
      <c r="O616" s="108">
        <v>200</v>
      </c>
      <c r="P616" s="88">
        <v>348</v>
      </c>
      <c r="Q616" s="88" t="s">
        <v>75</v>
      </c>
      <c r="R616" s="88" t="s">
        <v>348</v>
      </c>
      <c r="S616" s="110">
        <v>9800</v>
      </c>
      <c r="T616" s="110">
        <v>920</v>
      </c>
      <c r="U616" s="88">
        <v>983</v>
      </c>
      <c r="V616" s="90">
        <v>1500</v>
      </c>
      <c r="W616" s="111">
        <v>10</v>
      </c>
      <c r="X616" s="110">
        <v>48051</v>
      </c>
      <c r="Y616" s="110">
        <v>835888</v>
      </c>
      <c r="Z616" s="110">
        <v>6918824</v>
      </c>
      <c r="AA616" s="110">
        <v>2107316</v>
      </c>
      <c r="AB616" s="112">
        <v>4837824</v>
      </c>
      <c r="AC616" s="109">
        <v>160</v>
      </c>
      <c r="AD616" s="110">
        <v>-110</v>
      </c>
      <c r="AE616" s="110">
        <v>3.94</v>
      </c>
      <c r="AF616" s="110">
        <v>-0.76</v>
      </c>
      <c r="AG616" s="110">
        <v>109.7</v>
      </c>
      <c r="AH616" s="110">
        <v>-110</v>
      </c>
      <c r="AI616" s="110">
        <v>3.75</v>
      </c>
      <c r="AJ616" s="109">
        <v>-0.34</v>
      </c>
      <c r="AK616" s="113" t="s">
        <v>59</v>
      </c>
      <c r="AL616" s="107" t="s">
        <v>181</v>
      </c>
      <c r="AN616" s="107">
        <v>0.95699999999999996</v>
      </c>
      <c r="AO616" s="48">
        <f t="shared" ref="AO616" si="814">(HOUR(H616)*60*60+MINUTE(H616)*60+SECOND(H616))/5.2*AA616/W616*AN616</f>
        <v>138493091.19715384</v>
      </c>
      <c r="AP616" s="156">
        <f t="shared" ref="AP616" si="815">AO616*0.7</f>
        <v>96945163.838007674</v>
      </c>
      <c r="AQ616" s="161">
        <f t="shared" ref="AQ616" si="816">AP616+AQ615</f>
        <v>26212884577.965996</v>
      </c>
      <c r="AR616" s="163">
        <f t="shared" ref="AR616" si="817">H616+AR615</f>
        <v>11.756377314785572</v>
      </c>
      <c r="AS616" s="49">
        <f t="shared" ref="AS616" si="818">I616*(HOUR(H616)*60+MINUTE(H616))/60/(7*24)</f>
        <v>0.29236607142857141</v>
      </c>
      <c r="AT616" s="165">
        <f t="shared" ref="AT616" si="819">AS616+AT615</f>
        <v>80.001583333333272</v>
      </c>
      <c r="AU616" s="254">
        <f t="shared" ref="AU616" si="820">AA616/W616*AN616</f>
        <v>201670.14119999998</v>
      </c>
      <c r="AV616" s="255">
        <f t="shared" ref="AV616" si="821">AB616/W616+AA616/W616*(1-AN616)</f>
        <v>492843.85880000005</v>
      </c>
      <c r="AW616" s="256">
        <f t="shared" ref="AW616" si="822">AU616/AV616</f>
        <v>0.40919682288633191</v>
      </c>
    </row>
    <row r="617" spans="1:70">
      <c r="A617" s="108">
        <v>615</v>
      </c>
      <c r="F617" s="45">
        <v>43147.54650462963</v>
      </c>
      <c r="G617" s="45">
        <v>43147.588171296295</v>
      </c>
      <c r="H617" s="53">
        <f>G617-F617-'user time'!Z133</f>
        <v>4.120370370127846E-2</v>
      </c>
      <c r="I617" s="86">
        <v>49.84</v>
      </c>
      <c r="J617" s="109" t="s">
        <v>260</v>
      </c>
      <c r="K617" s="88" t="s">
        <v>72</v>
      </c>
      <c r="L617" s="88" t="s">
        <v>73</v>
      </c>
      <c r="M617" s="88">
        <v>-369</v>
      </c>
      <c r="N617" s="108">
        <v>1</v>
      </c>
      <c r="O617" s="108">
        <v>200</v>
      </c>
      <c r="P617" s="88">
        <v>348</v>
      </c>
      <c r="Q617" s="88" t="s">
        <v>75</v>
      </c>
      <c r="R617" s="88" t="s">
        <v>348</v>
      </c>
      <c r="S617" s="110">
        <v>10100</v>
      </c>
      <c r="T617" s="110">
        <v>912</v>
      </c>
      <c r="U617" s="88">
        <v>983</v>
      </c>
      <c r="V617" s="90">
        <v>1500</v>
      </c>
      <c r="W617" s="111">
        <v>10</v>
      </c>
      <c r="X617" s="110">
        <v>48060</v>
      </c>
      <c r="Y617" s="110">
        <v>833259</v>
      </c>
      <c r="Z617" s="110">
        <v>6882091</v>
      </c>
      <c r="AA617" s="110">
        <v>2098166</v>
      </c>
      <c r="AB617" s="112">
        <v>4810214</v>
      </c>
      <c r="AC617" s="109">
        <v>160</v>
      </c>
      <c r="AD617" s="110">
        <v>-110</v>
      </c>
      <c r="AE617" s="110">
        <v>3.94</v>
      </c>
      <c r="AF617" s="110">
        <v>-0.76</v>
      </c>
      <c r="AG617" s="110">
        <v>109.7</v>
      </c>
      <c r="AH617" s="110">
        <v>-110</v>
      </c>
      <c r="AI617" s="110">
        <v>3.75</v>
      </c>
      <c r="AJ617" s="109">
        <v>-0.34</v>
      </c>
      <c r="AK617" s="113" t="s">
        <v>59</v>
      </c>
      <c r="AL617" s="107" t="s">
        <v>713</v>
      </c>
      <c r="AN617" s="107">
        <v>0.96</v>
      </c>
      <c r="AO617" s="48">
        <f t="shared" ref="AO617" si="823">(HOUR(H617)*60*60+MINUTE(H617)*60+SECOND(H617))/5.2*AA617/W617*AN617</f>
        <v>137897925.41538462</v>
      </c>
      <c r="AP617" s="156">
        <f t="shared" ref="AP617" si="824">AO617*0.7</f>
        <v>96528547.790769234</v>
      </c>
      <c r="AQ617" s="161">
        <f t="shared" ref="AQ617" si="825">AP617+AQ616</f>
        <v>26309413125.756763</v>
      </c>
      <c r="AR617" s="163">
        <f t="shared" ref="AR617" si="826">H617+AR616</f>
        <v>11.79758101848685</v>
      </c>
      <c r="AS617" s="49">
        <f t="shared" ref="AS617" si="827">I617*(HOUR(H617)*60+MINUTE(H617))/60/(7*24)</f>
        <v>0.29172222222222227</v>
      </c>
      <c r="AT617" s="165">
        <f t="shared" ref="AT617" si="828">AS617+AT616</f>
        <v>80.293305555555492</v>
      </c>
      <c r="AU617" s="254">
        <f t="shared" ref="AU617" si="829">AA617/W617*AN617</f>
        <v>201423.93599999999</v>
      </c>
      <c r="AV617" s="255">
        <f t="shared" ref="AV617" si="830">AB617/W617+AA617/W617*(1-AN617)</f>
        <v>489414.06400000001</v>
      </c>
      <c r="AW617" s="256">
        <f t="shared" ref="AW617" si="831">AU617/AV617</f>
        <v>0.41156139722212803</v>
      </c>
    </row>
    <row r="618" spans="1:70">
      <c r="A618" s="108">
        <v>616</v>
      </c>
      <c r="F618" s="45">
        <v>43147.589247685188</v>
      </c>
      <c r="G618" s="45">
        <v>43147.625856481478</v>
      </c>
      <c r="H618" s="53">
        <f>G618-F618-'user time'!Z134</f>
        <v>3.6342592586534717E-2</v>
      </c>
      <c r="I618" s="86">
        <v>49.93</v>
      </c>
      <c r="J618" s="109" t="s">
        <v>260</v>
      </c>
      <c r="K618" s="88" t="s">
        <v>72</v>
      </c>
      <c r="L618" s="88" t="s">
        <v>73</v>
      </c>
      <c r="M618" s="88">
        <v>-369</v>
      </c>
      <c r="N618" s="108">
        <v>1</v>
      </c>
      <c r="O618" s="108">
        <v>200</v>
      </c>
      <c r="P618" s="88">
        <v>348</v>
      </c>
      <c r="Q618" s="88" t="s">
        <v>75</v>
      </c>
      <c r="R618" s="88" t="s">
        <v>348</v>
      </c>
      <c r="S618" s="110">
        <v>8700</v>
      </c>
      <c r="T618" s="110">
        <v>904</v>
      </c>
      <c r="U618" s="88">
        <v>983</v>
      </c>
      <c r="V618" s="90">
        <v>1500</v>
      </c>
      <c r="W618" s="111">
        <v>10</v>
      </c>
      <c r="AA618" s="110">
        <f>AA617</f>
        <v>2098166</v>
      </c>
      <c r="AB618" s="112">
        <f>AB617</f>
        <v>4810214</v>
      </c>
      <c r="AC618" s="109">
        <v>160.1</v>
      </c>
      <c r="AD618" s="110">
        <v>-109.9</v>
      </c>
      <c r="AE618" s="110">
        <v>3.94</v>
      </c>
      <c r="AF618" s="110">
        <v>-0.76</v>
      </c>
      <c r="AG618" s="110">
        <v>109.7</v>
      </c>
      <c r="AH618" s="110">
        <v>-110</v>
      </c>
      <c r="AI618" s="110">
        <v>3.7</v>
      </c>
      <c r="AJ618" s="109">
        <v>-0.34</v>
      </c>
      <c r="AK618" s="113" t="s">
        <v>59</v>
      </c>
      <c r="AL618" s="107" t="s">
        <v>877</v>
      </c>
      <c r="AN618" s="107">
        <v>0.95399999999999996</v>
      </c>
      <c r="AO618" s="48">
        <f t="shared" ref="AO618" si="832">(HOUR(H618)*60*60+MINUTE(H618)*60+SECOND(H618))/5.2*AA618/W618*AN618</f>
        <v>120868887.36461537</v>
      </c>
      <c r="AP618" s="156">
        <f t="shared" ref="AP618" si="833">AO618*0.7</f>
        <v>84608221.155230746</v>
      </c>
      <c r="AQ618" s="161">
        <f t="shared" ref="AQ618" si="834">AP618+AQ617</f>
        <v>26394021346.911995</v>
      </c>
      <c r="AR618" s="163">
        <f t="shared" ref="AR618" si="835">H618+AR617</f>
        <v>11.833923611073384</v>
      </c>
      <c r="AS618" s="49">
        <f t="shared" ref="AS618" si="836">I618*(HOUR(H618)*60+MINUTE(H618))/60/(7*24)</f>
        <v>0.25757539682539682</v>
      </c>
      <c r="AT618" s="165">
        <f t="shared" ref="AT618" si="837">AS618+AT617</f>
        <v>80.550880952380894</v>
      </c>
      <c r="AU618" s="254">
        <f t="shared" ref="AU618" si="838">AA618/W618*AN618</f>
        <v>200165.03639999998</v>
      </c>
      <c r="AV618" s="255">
        <f t="shared" ref="AV618" si="839">AB618/W618+AA618/W618*(1-AN618)</f>
        <v>490672.96360000002</v>
      </c>
      <c r="AW618" s="256">
        <f t="shared" ref="AW618" si="840">AU618/AV618</f>
        <v>0.40793981174633437</v>
      </c>
    </row>
    <row r="619" spans="1:70">
      <c r="A619" s="108">
        <v>617</v>
      </c>
      <c r="F619" s="45">
        <v>43147.629189814812</v>
      </c>
      <c r="G619" s="45">
        <v>43147.668368055558</v>
      </c>
      <c r="H619" s="53">
        <f>G619-F619-SUM('user time'!Z136:Z138)</f>
        <v>3.7534722227450135E-2</v>
      </c>
      <c r="I619" s="86">
        <v>49.8</v>
      </c>
      <c r="J619" s="109" t="s">
        <v>260</v>
      </c>
      <c r="K619" s="88" t="s">
        <v>72</v>
      </c>
      <c r="L619" s="88" t="s">
        <v>73</v>
      </c>
      <c r="M619" s="88">
        <v>-369</v>
      </c>
      <c r="N619" s="108">
        <v>1</v>
      </c>
      <c r="O619" s="108">
        <v>200</v>
      </c>
      <c r="P619" s="88">
        <v>348</v>
      </c>
      <c r="Q619" s="88" t="s">
        <v>75</v>
      </c>
      <c r="R619" s="88" t="s">
        <v>348</v>
      </c>
      <c r="S619" s="110">
        <v>10100</v>
      </c>
      <c r="T619" s="110">
        <v>882</v>
      </c>
      <c r="U619" s="88">
        <v>983</v>
      </c>
      <c r="V619" s="90">
        <v>1500</v>
      </c>
      <c r="W619" s="111">
        <v>10</v>
      </c>
      <c r="X619" s="110">
        <v>48171</v>
      </c>
      <c r="Y619" s="110">
        <v>835679</v>
      </c>
      <c r="Z619" s="110">
        <v>6758397</v>
      </c>
      <c r="AA619" s="110">
        <v>2078075</v>
      </c>
      <c r="AB619" s="112">
        <v>4705936</v>
      </c>
      <c r="AC619" s="109">
        <v>160.1</v>
      </c>
      <c r="AD619" s="110">
        <v>-109.9</v>
      </c>
      <c r="AE619" s="110">
        <v>3.94</v>
      </c>
      <c r="AF619" s="110">
        <v>-0.76</v>
      </c>
      <c r="AG619" s="110">
        <v>109.7</v>
      </c>
      <c r="AH619" s="110">
        <v>-110</v>
      </c>
      <c r="AI619" s="110">
        <v>3.7</v>
      </c>
      <c r="AJ619" s="109">
        <v>-0.34</v>
      </c>
      <c r="AK619" s="113" t="s">
        <v>59</v>
      </c>
      <c r="AL619" s="107" t="s">
        <v>718</v>
      </c>
      <c r="AN619" s="107">
        <v>0.95</v>
      </c>
      <c r="AO619" s="48">
        <f t="shared" ref="AO619" si="841">(HOUR(H619)*60*60+MINUTE(H619)*60+SECOND(H619))/5.2*AA619/W619*AN619</f>
        <v>123119949.30288462</v>
      </c>
      <c r="AP619" s="156">
        <f t="shared" ref="AP619" si="842">AO619*0.7</f>
        <v>86183964.512019232</v>
      </c>
      <c r="AQ619" s="161">
        <f t="shared" ref="AQ619" si="843">AP619+AQ618</f>
        <v>26480205311.424015</v>
      </c>
      <c r="AR619" s="163">
        <f t="shared" ref="AR619" si="844">H619+AR618</f>
        <v>11.871458333300835</v>
      </c>
      <c r="AS619" s="49">
        <f t="shared" ref="AS619" si="845">I619*(HOUR(H619)*60+MINUTE(H619))/60/(7*24)</f>
        <v>0.26678571428571429</v>
      </c>
      <c r="AT619" s="165">
        <f t="shared" ref="AT619" si="846">AS619+AT618</f>
        <v>80.817666666666611</v>
      </c>
      <c r="AU619" s="254">
        <f t="shared" ref="AU619" si="847">AA619/W619*AN619</f>
        <v>197417.125</v>
      </c>
      <c r="AV619" s="255">
        <f t="shared" ref="AV619" si="848">AB619/W619+AA619/W619*(1-AN619)</f>
        <v>480983.97499999998</v>
      </c>
      <c r="AW619" s="256">
        <f t="shared" ref="AW619" si="849">AU619/AV619</f>
        <v>0.41044428767091462</v>
      </c>
    </row>
    <row r="620" spans="1:70" s="149" customFormat="1">
      <c r="A620" s="138">
        <v>618</v>
      </c>
      <c r="F620" s="133"/>
      <c r="G620" s="133"/>
      <c r="H620" s="245"/>
      <c r="I620" s="135"/>
      <c r="J620" s="136"/>
      <c r="K620" s="137"/>
      <c r="L620" s="137"/>
      <c r="M620" s="137"/>
      <c r="N620" s="138"/>
      <c r="O620" s="138"/>
      <c r="P620" s="137"/>
      <c r="Q620" s="137"/>
      <c r="R620" s="137"/>
      <c r="S620" s="139"/>
      <c r="T620" s="139"/>
      <c r="U620" s="137"/>
      <c r="V620" s="140"/>
      <c r="W620" s="141"/>
      <c r="X620" s="139"/>
      <c r="Y620" s="139"/>
      <c r="Z620" s="139"/>
      <c r="AA620" s="139"/>
      <c r="AB620" s="142"/>
      <c r="AC620" s="136"/>
      <c r="AD620" s="139"/>
      <c r="AE620" s="139"/>
      <c r="AF620" s="139"/>
      <c r="AG620" s="139"/>
      <c r="AH620" s="139"/>
      <c r="AI620" s="139"/>
      <c r="AJ620" s="136"/>
      <c r="AK620" s="143"/>
      <c r="AL620" s="144" t="s">
        <v>719</v>
      </c>
      <c r="AM620" s="145"/>
      <c r="AN620" s="144"/>
      <c r="AO620" s="151"/>
      <c r="AP620" s="146"/>
      <c r="AQ620" s="160"/>
      <c r="AR620" s="162"/>
      <c r="AS620" s="147"/>
      <c r="AT620" s="164"/>
      <c r="AU620" s="147"/>
      <c r="AV620" s="147"/>
      <c r="AW620" s="139"/>
      <c r="AX620" s="139"/>
      <c r="AY620" s="139"/>
      <c r="AZ620" s="139"/>
      <c r="BA620" s="147"/>
      <c r="BB620" s="142"/>
      <c r="BC620" s="148"/>
      <c r="BD620" s="148"/>
      <c r="BE620" s="148"/>
      <c r="BF620" s="148"/>
      <c r="BG620" s="148"/>
      <c r="BH620" s="148"/>
      <c r="BI620" s="148"/>
      <c r="BJ620" s="148"/>
      <c r="BK620" s="148"/>
      <c r="BL620" s="148"/>
      <c r="BM620" s="148"/>
      <c r="BN620" s="148"/>
      <c r="BO620" s="148"/>
      <c r="BP620" s="148"/>
      <c r="BQ620" s="148"/>
      <c r="BR620" s="148"/>
    </row>
    <row r="621" spans="1:70" s="149" customFormat="1">
      <c r="A621" s="138">
        <v>619</v>
      </c>
      <c r="F621" s="133">
        <v>43147.679895833331</v>
      </c>
      <c r="G621" s="133">
        <v>43147.680405092593</v>
      </c>
      <c r="H621" s="245">
        <f>G621-F621</f>
        <v>5.092592618893832E-4</v>
      </c>
      <c r="I621" s="135">
        <v>49.8</v>
      </c>
      <c r="J621" s="136" t="s">
        <v>260</v>
      </c>
      <c r="K621" s="137" t="s">
        <v>72</v>
      </c>
      <c r="L621" s="137" t="s">
        <v>73</v>
      </c>
      <c r="M621" s="137">
        <v>-369</v>
      </c>
      <c r="N621" s="138">
        <v>1</v>
      </c>
      <c r="O621" s="138">
        <v>200</v>
      </c>
      <c r="P621" s="137">
        <v>348</v>
      </c>
      <c r="Q621" s="137" t="s">
        <v>75</v>
      </c>
      <c r="R621" s="235" t="s">
        <v>721</v>
      </c>
      <c r="S621" s="139"/>
      <c r="T621" s="139"/>
      <c r="U621" s="137">
        <v>983</v>
      </c>
      <c r="V621" s="140">
        <v>1500</v>
      </c>
      <c r="W621" s="141"/>
      <c r="X621" s="139"/>
      <c r="Y621" s="139"/>
      <c r="Z621" s="139"/>
      <c r="AA621" s="139"/>
      <c r="AB621" s="142"/>
      <c r="AC621" s="136">
        <v>160.1</v>
      </c>
      <c r="AD621" s="139">
        <v>-109.9</v>
      </c>
      <c r="AE621" s="139">
        <v>3.94</v>
      </c>
      <c r="AF621" s="139">
        <v>-0.76</v>
      </c>
      <c r="AG621" s="139">
        <v>109.7</v>
      </c>
      <c r="AH621" s="139">
        <v>-110</v>
      </c>
      <c r="AI621" s="139">
        <v>3.7</v>
      </c>
      <c r="AJ621" s="136">
        <v>-0.34</v>
      </c>
      <c r="AK621" s="143"/>
      <c r="AL621" s="144" t="s">
        <v>720</v>
      </c>
      <c r="AM621" s="145"/>
      <c r="AN621" s="144"/>
      <c r="AO621" s="151"/>
      <c r="AP621" s="146"/>
      <c r="AQ621" s="160"/>
      <c r="AR621" s="162"/>
      <c r="AS621" s="147"/>
      <c r="AT621" s="164"/>
      <c r="AU621" s="147"/>
      <c r="AV621" s="147"/>
      <c r="AW621" s="139"/>
      <c r="AX621" s="139"/>
      <c r="AY621" s="139"/>
      <c r="AZ621" s="139"/>
      <c r="BA621" s="147"/>
      <c r="BB621" s="142"/>
      <c r="BC621" s="148"/>
      <c r="BD621" s="148"/>
      <c r="BE621" s="148"/>
      <c r="BF621" s="148"/>
      <c r="BG621" s="148"/>
      <c r="BH621" s="148"/>
      <c r="BI621" s="148"/>
      <c r="BJ621" s="148"/>
      <c r="BK621" s="148"/>
      <c r="BL621" s="148"/>
      <c r="BM621" s="148"/>
      <c r="BN621" s="148"/>
      <c r="BO621" s="148"/>
      <c r="BP621" s="148"/>
      <c r="BQ621" s="148"/>
      <c r="BR621" s="148"/>
    </row>
    <row r="622" spans="1:70" s="149" customFormat="1">
      <c r="A622" s="138">
        <v>620</v>
      </c>
      <c r="F622" s="133">
        <v>43147.680775462963</v>
      </c>
      <c r="G622" s="133">
        <v>43147.681747685187</v>
      </c>
      <c r="H622" s="245">
        <f>G622-F622</f>
        <v>9.7222222393611446E-4</v>
      </c>
      <c r="I622" s="135">
        <v>49.8</v>
      </c>
      <c r="J622" s="136" t="s">
        <v>260</v>
      </c>
      <c r="K622" s="137" t="s">
        <v>72</v>
      </c>
      <c r="L622" s="137" t="s">
        <v>73</v>
      </c>
      <c r="M622" s="137">
        <v>-369</v>
      </c>
      <c r="N622" s="138">
        <v>1</v>
      </c>
      <c r="O622" s="138">
        <v>200</v>
      </c>
      <c r="P622" s="137">
        <v>348</v>
      </c>
      <c r="Q622" s="137" t="s">
        <v>75</v>
      </c>
      <c r="R622" s="235" t="s">
        <v>721</v>
      </c>
      <c r="S622" s="139"/>
      <c r="T622" s="139"/>
      <c r="U622" s="137">
        <v>983</v>
      </c>
      <c r="V622" s="140">
        <v>1500</v>
      </c>
      <c r="W622" s="141"/>
      <c r="X622" s="139"/>
      <c r="Y622" s="139"/>
      <c r="Z622" s="139"/>
      <c r="AA622" s="139"/>
      <c r="AB622" s="142"/>
      <c r="AC622" s="136">
        <v>160.1</v>
      </c>
      <c r="AD622" s="139">
        <v>-109.9</v>
      </c>
      <c r="AE622" s="139">
        <v>3.94</v>
      </c>
      <c r="AF622" s="139">
        <v>-0.76</v>
      </c>
      <c r="AG622" s="139">
        <v>109.7</v>
      </c>
      <c r="AH622" s="139">
        <v>-110</v>
      </c>
      <c r="AI622" s="139">
        <v>3.7</v>
      </c>
      <c r="AJ622" s="136">
        <v>-0.34</v>
      </c>
      <c r="AK622" s="143"/>
      <c r="AL622" s="144" t="s">
        <v>720</v>
      </c>
      <c r="AM622" s="145"/>
      <c r="AN622" s="144"/>
      <c r="AO622" s="238"/>
      <c r="AP622" s="239"/>
      <c r="AQ622" s="240"/>
      <c r="AR622" s="241"/>
      <c r="AS622" s="242"/>
      <c r="AT622" s="243"/>
      <c r="AU622" s="261"/>
      <c r="AV622" s="262"/>
      <c r="AW622" s="263"/>
      <c r="AX622" s="139"/>
      <c r="AY622" s="139"/>
      <c r="AZ622" s="139"/>
      <c r="BA622" s="147"/>
      <c r="BB622" s="142"/>
      <c r="BC622" s="148"/>
      <c r="BD622" s="148"/>
      <c r="BE622" s="148"/>
      <c r="BF622" s="148"/>
      <c r="BG622" s="148"/>
      <c r="BH622" s="148"/>
      <c r="BI622" s="148"/>
      <c r="BJ622" s="148"/>
      <c r="BK622" s="148"/>
      <c r="BL622" s="148"/>
      <c r="BM622" s="148"/>
      <c r="BN622" s="148"/>
      <c r="BO622" s="148"/>
      <c r="BP622" s="148"/>
      <c r="BQ622" s="148"/>
      <c r="BR622" s="148"/>
    </row>
    <row r="623" spans="1:70" s="190" customFormat="1">
      <c r="A623" s="176">
        <v>621</v>
      </c>
      <c r="F623" s="171">
        <v>43147.681666666664</v>
      </c>
      <c r="G623" s="171">
        <v>43147.684618055559</v>
      </c>
      <c r="H623" s="247">
        <f>G623-F623</f>
        <v>2.9513888948713429E-3</v>
      </c>
      <c r="I623" s="173">
        <v>49.8</v>
      </c>
      <c r="J623" s="174" t="s">
        <v>260</v>
      </c>
      <c r="K623" s="175" t="s">
        <v>72</v>
      </c>
      <c r="L623" s="175" t="s">
        <v>73</v>
      </c>
      <c r="M623" s="175">
        <v>-369</v>
      </c>
      <c r="N623" s="176">
        <v>1</v>
      </c>
      <c r="O623" s="176">
        <v>200</v>
      </c>
      <c r="P623" s="175">
        <v>348</v>
      </c>
      <c r="Q623" s="175" t="s">
        <v>75</v>
      </c>
      <c r="R623" s="230" t="s">
        <v>721</v>
      </c>
      <c r="S623" s="177"/>
      <c r="T623" s="177"/>
      <c r="U623" s="175">
        <v>983</v>
      </c>
      <c r="V623" s="178">
        <v>1500</v>
      </c>
      <c r="W623" s="179"/>
      <c r="X623" s="177"/>
      <c r="Y623" s="177"/>
      <c r="Z623" s="177"/>
      <c r="AA623" s="177"/>
      <c r="AB623" s="180"/>
      <c r="AC623" s="174">
        <v>160.1</v>
      </c>
      <c r="AD623" s="177">
        <v>-109.9</v>
      </c>
      <c r="AE623" s="177">
        <v>3.94</v>
      </c>
      <c r="AF623" s="177">
        <v>-0.76</v>
      </c>
      <c r="AG623" s="177">
        <v>109.7</v>
      </c>
      <c r="AH623" s="177">
        <v>-110</v>
      </c>
      <c r="AI623" s="177">
        <v>3.7</v>
      </c>
      <c r="AJ623" s="174">
        <v>-0.34</v>
      </c>
      <c r="AK623" s="181"/>
      <c r="AL623" s="182" t="s">
        <v>206</v>
      </c>
      <c r="AM623" s="183"/>
      <c r="AN623" s="182"/>
      <c r="AO623" s="191"/>
      <c r="AP623" s="184"/>
      <c r="AQ623" s="193"/>
      <c r="AR623" s="186"/>
      <c r="AS623" s="187"/>
      <c r="AT623" s="188"/>
      <c r="AU623" s="187"/>
      <c r="AV623" s="187"/>
      <c r="AW623" s="177"/>
      <c r="AX623" s="177"/>
      <c r="AY623" s="177"/>
      <c r="AZ623" s="177"/>
      <c r="BA623" s="187"/>
      <c r="BB623" s="180"/>
      <c r="BC623" s="189"/>
      <c r="BD623" s="189"/>
      <c r="BE623" s="189"/>
      <c r="BF623" s="189"/>
      <c r="BG623" s="189"/>
      <c r="BH623" s="189"/>
      <c r="BI623" s="189"/>
      <c r="BJ623" s="189"/>
      <c r="BK623" s="189"/>
      <c r="BL623" s="189"/>
      <c r="BM623" s="189"/>
      <c r="BN623" s="189"/>
      <c r="BO623" s="189"/>
      <c r="BP623" s="189"/>
      <c r="BQ623" s="189"/>
      <c r="BR623" s="189"/>
    </row>
    <row r="624" spans="1:70" s="190" customFormat="1">
      <c r="A624" s="176">
        <v>622</v>
      </c>
      <c r="F624" s="171">
        <v>43147.684837962966</v>
      </c>
      <c r="G624" s="171">
        <v>43147.687280092592</v>
      </c>
      <c r="H624" s="247">
        <f>G624-F624</f>
        <v>2.4421296257060021E-3</v>
      </c>
      <c r="I624" s="173">
        <v>49.8</v>
      </c>
      <c r="J624" s="174" t="s">
        <v>260</v>
      </c>
      <c r="K624" s="175" t="s">
        <v>72</v>
      </c>
      <c r="L624" s="175" t="s">
        <v>73</v>
      </c>
      <c r="M624" s="175">
        <v>-369</v>
      </c>
      <c r="N624" s="176">
        <v>1</v>
      </c>
      <c r="O624" s="176">
        <v>200</v>
      </c>
      <c r="P624" s="175">
        <v>348</v>
      </c>
      <c r="Q624" s="175" t="s">
        <v>75</v>
      </c>
      <c r="R624" s="230" t="s">
        <v>721</v>
      </c>
      <c r="S624" s="177"/>
      <c r="T624" s="177"/>
      <c r="U624" s="175">
        <v>983</v>
      </c>
      <c r="V624" s="178">
        <v>1500</v>
      </c>
      <c r="W624" s="179"/>
      <c r="X624" s="177"/>
      <c r="Y624" s="177"/>
      <c r="Z624" s="177"/>
      <c r="AA624" s="177"/>
      <c r="AB624" s="180"/>
      <c r="AC624" s="174">
        <v>160.1</v>
      </c>
      <c r="AD624" s="177">
        <v>-109.9</v>
      </c>
      <c r="AE624" s="177">
        <v>3.94</v>
      </c>
      <c r="AF624" s="177">
        <v>-0.76</v>
      </c>
      <c r="AG624" s="177">
        <v>109.7</v>
      </c>
      <c r="AH624" s="177">
        <v>-110</v>
      </c>
      <c r="AI624" s="177">
        <v>3.7</v>
      </c>
      <c r="AJ624" s="174">
        <v>-0.34</v>
      </c>
      <c r="AK624" s="181"/>
      <c r="AL624" s="182" t="s">
        <v>207</v>
      </c>
      <c r="AM624" s="183"/>
      <c r="AN624" s="182"/>
      <c r="AO624" s="191"/>
      <c r="AP624" s="184"/>
      <c r="AQ624" s="193"/>
      <c r="AR624" s="186"/>
      <c r="AS624" s="187"/>
      <c r="AT624" s="188"/>
      <c r="AU624" s="187"/>
      <c r="AV624" s="187"/>
      <c r="AW624" s="177"/>
      <c r="AX624" s="177"/>
      <c r="AY624" s="177"/>
      <c r="AZ624" s="177"/>
      <c r="BA624" s="187"/>
      <c r="BB624" s="180"/>
      <c r="BC624" s="189"/>
      <c r="BD624" s="189"/>
      <c r="BE624" s="189"/>
      <c r="BF624" s="189"/>
      <c r="BG624" s="189"/>
      <c r="BH624" s="189"/>
      <c r="BI624" s="189"/>
      <c r="BJ624" s="189"/>
      <c r="BK624" s="189"/>
      <c r="BL624" s="189"/>
      <c r="BM624" s="189"/>
      <c r="BN624" s="189"/>
      <c r="BO624" s="189"/>
      <c r="BP624" s="189"/>
      <c r="BQ624" s="189"/>
      <c r="BR624" s="189"/>
    </row>
    <row r="625" spans="1:70">
      <c r="A625" s="108">
        <v>623</v>
      </c>
      <c r="F625" s="45">
        <v>43147.688194444447</v>
      </c>
      <c r="G625" s="45">
        <v>43147.733020833337</v>
      </c>
      <c r="H625" s="38">
        <f>G625-F625-SUM('user time'!Z142:Z146)</f>
        <v>4.1712962964288613E-2</v>
      </c>
      <c r="I625" s="86">
        <v>49.92</v>
      </c>
      <c r="J625" s="109" t="s">
        <v>260</v>
      </c>
      <c r="K625" s="88" t="s">
        <v>72</v>
      </c>
      <c r="L625" s="88" t="s">
        <v>73</v>
      </c>
      <c r="M625" s="88">
        <v>-369</v>
      </c>
      <c r="N625" s="108">
        <v>1</v>
      </c>
      <c r="O625" s="108">
        <v>200</v>
      </c>
      <c r="P625" s="88">
        <v>348</v>
      </c>
      <c r="Q625" s="88" t="s">
        <v>75</v>
      </c>
      <c r="R625" s="88" t="s">
        <v>348</v>
      </c>
      <c r="S625" s="110">
        <v>10000</v>
      </c>
      <c r="T625" s="110">
        <v>919</v>
      </c>
      <c r="U625" s="88">
        <v>983</v>
      </c>
      <c r="V625" s="90">
        <v>1500</v>
      </c>
      <c r="W625" s="111">
        <v>10</v>
      </c>
      <c r="X625" s="110">
        <v>48261</v>
      </c>
      <c r="Y625" s="110">
        <v>835907</v>
      </c>
      <c r="Z625" s="110">
        <v>6778164</v>
      </c>
      <c r="AA625" s="110">
        <v>2073661</v>
      </c>
      <c r="AB625" s="112">
        <v>4729621</v>
      </c>
      <c r="AC625" s="109">
        <v>160.1</v>
      </c>
      <c r="AD625" s="110">
        <v>-109.9</v>
      </c>
      <c r="AE625" s="110">
        <v>3.94</v>
      </c>
      <c r="AF625" s="110">
        <v>-0.76</v>
      </c>
      <c r="AG625" s="110">
        <v>109.7</v>
      </c>
      <c r="AH625" s="110">
        <v>-110</v>
      </c>
      <c r="AI625" s="110">
        <v>3.7</v>
      </c>
      <c r="AJ625" s="109">
        <v>-0.34</v>
      </c>
      <c r="AK625" s="113" t="s">
        <v>59</v>
      </c>
      <c r="AL625" s="107" t="s">
        <v>181</v>
      </c>
      <c r="AN625" s="107">
        <v>0.95399999999999996</v>
      </c>
      <c r="AO625" s="48">
        <f t="shared" ref="AO625:AO626" si="850">(HOUR(H625)*60*60+MINUTE(H625)*60+SECOND(H625))/5.2*AA625/W625*AN625</f>
        <v>137109508.24569231</v>
      </c>
      <c r="AP625" s="156">
        <f t="shared" ref="AP625:AP626" si="851">AO625*0.7</f>
        <v>95976655.771984607</v>
      </c>
      <c r="AQ625" s="161">
        <f>AP625+AQ619</f>
        <v>26576181967.195999</v>
      </c>
      <c r="AR625" s="163">
        <f>H625+AR619</f>
        <v>11.913171296265123</v>
      </c>
      <c r="AS625" s="49">
        <f t="shared" ref="AS625:AS626" si="852">I625*(HOUR(H625)*60+MINUTE(H625))/60/(7*24)</f>
        <v>0.29714285714285715</v>
      </c>
      <c r="AT625" s="165">
        <f>AS625+AT619</f>
        <v>81.11480952380947</v>
      </c>
      <c r="AU625" s="254">
        <f t="shared" ref="AU625:AU626" si="853">AA625/W625*AN625</f>
        <v>197827.25940000001</v>
      </c>
      <c r="AV625" s="255">
        <f t="shared" ref="AV625:AV626" si="854">AB625/W625+AA625/W625*(1-AN625)</f>
        <v>482500.94059999997</v>
      </c>
      <c r="AW625" s="256">
        <f t="shared" ref="AW625:AW626" si="855">AU625/AV625</f>
        <v>0.41000388342040889</v>
      </c>
    </row>
    <row r="626" spans="1:70">
      <c r="A626" s="108">
        <v>624</v>
      </c>
      <c r="F626" s="45">
        <v>43147.733703703707</v>
      </c>
      <c r="G626" s="45">
        <v>43147.742175925923</v>
      </c>
      <c r="H626" s="38">
        <f>G626-F626-SUM('user time'!Z148:Z150)</f>
        <v>5.057870364517103E-3</v>
      </c>
      <c r="I626" s="86">
        <v>49.8</v>
      </c>
      <c r="J626" s="109" t="s">
        <v>260</v>
      </c>
      <c r="K626" s="88" t="s">
        <v>72</v>
      </c>
      <c r="L626" s="88" t="s">
        <v>73</v>
      </c>
      <c r="M626" s="88">
        <v>-369</v>
      </c>
      <c r="N626" s="108">
        <v>1</v>
      </c>
      <c r="O626" s="108">
        <v>200</v>
      </c>
      <c r="P626" s="88">
        <v>348</v>
      </c>
      <c r="Q626" s="88" t="s">
        <v>75</v>
      </c>
      <c r="R626" s="88" t="s">
        <v>348</v>
      </c>
      <c r="S626" s="110">
        <v>10000</v>
      </c>
      <c r="T626" s="110">
        <v>913</v>
      </c>
      <c r="U626" s="88">
        <v>983</v>
      </c>
      <c r="V626" s="90">
        <v>1500</v>
      </c>
      <c r="W626" s="111">
        <v>10</v>
      </c>
      <c r="X626" s="110">
        <v>48025</v>
      </c>
      <c r="Y626" s="110">
        <v>833277</v>
      </c>
      <c r="Z626" s="110">
        <v>6737655</v>
      </c>
      <c r="AA626" s="110">
        <v>2069824</v>
      </c>
      <c r="AB626" s="112">
        <v>4692635</v>
      </c>
      <c r="AC626" s="109">
        <v>160.1</v>
      </c>
      <c r="AD626" s="110">
        <v>-109.9</v>
      </c>
      <c r="AE626" s="110">
        <v>3.94</v>
      </c>
      <c r="AF626" s="110">
        <v>-0.76</v>
      </c>
      <c r="AG626" s="110">
        <v>109.7</v>
      </c>
      <c r="AH626" s="110">
        <v>-110</v>
      </c>
      <c r="AI626" s="110">
        <v>3.7</v>
      </c>
      <c r="AJ626" s="109">
        <v>-0.34</v>
      </c>
      <c r="AK626" s="113" t="s">
        <v>59</v>
      </c>
      <c r="AL626" s="107" t="s">
        <v>726</v>
      </c>
      <c r="AN626" s="107">
        <f>AN625</f>
        <v>0.95399999999999996</v>
      </c>
      <c r="AO626" s="48">
        <f t="shared" si="850"/>
        <v>16594336.26830769</v>
      </c>
      <c r="AP626" s="156">
        <f t="shared" si="851"/>
        <v>11616035.387815382</v>
      </c>
      <c r="AQ626" s="161">
        <f t="shared" ref="AQ626" si="856">AP626+AQ625</f>
        <v>26587798002.583813</v>
      </c>
      <c r="AR626" s="163">
        <f t="shared" ref="AR626" si="857">H626+AR625</f>
        <v>11.91822916662964</v>
      </c>
      <c r="AS626" s="49">
        <f t="shared" si="852"/>
        <v>3.4583333333333334E-2</v>
      </c>
      <c r="AT626" s="165">
        <f t="shared" ref="AT626" si="858">AS626+AT625</f>
        <v>81.1493928571428</v>
      </c>
      <c r="AU626" s="254">
        <f t="shared" si="853"/>
        <v>197461.20959999997</v>
      </c>
      <c r="AV626" s="255">
        <f t="shared" si="854"/>
        <v>478784.69040000002</v>
      </c>
      <c r="AW626" s="256">
        <f t="shared" si="855"/>
        <v>0.41242172851231163</v>
      </c>
    </row>
    <row r="627" spans="1:70" s="149" customFormat="1">
      <c r="A627" s="138">
        <v>625</v>
      </c>
      <c r="F627" s="133"/>
      <c r="G627" s="133"/>
      <c r="H627" s="245"/>
      <c r="I627" s="135"/>
      <c r="J627" s="136"/>
      <c r="K627" s="137"/>
      <c r="L627" s="137"/>
      <c r="M627" s="137"/>
      <c r="N627" s="138"/>
      <c r="O627" s="138"/>
      <c r="P627" s="137"/>
      <c r="Q627" s="137"/>
      <c r="R627" s="235"/>
      <c r="S627" s="139"/>
      <c r="T627" s="139"/>
      <c r="U627" s="137"/>
      <c r="V627" s="140"/>
      <c r="W627" s="141"/>
      <c r="X627" s="139"/>
      <c r="Y627" s="139"/>
      <c r="Z627" s="139"/>
      <c r="AA627" s="139"/>
      <c r="AB627" s="142"/>
      <c r="AC627" s="136"/>
      <c r="AD627" s="139"/>
      <c r="AE627" s="139"/>
      <c r="AF627" s="139"/>
      <c r="AG627" s="139"/>
      <c r="AH627" s="139"/>
      <c r="AI627" s="139"/>
      <c r="AJ627" s="136"/>
      <c r="AK627" s="143"/>
      <c r="AL627" s="258" t="s">
        <v>727</v>
      </c>
      <c r="AM627" s="145"/>
      <c r="AN627" s="144"/>
      <c r="AO627" s="151"/>
      <c r="AP627" s="146"/>
      <c r="AQ627" s="160"/>
      <c r="AR627" s="162"/>
      <c r="AS627" s="147"/>
      <c r="AT627" s="164"/>
      <c r="AU627" s="147"/>
      <c r="AV627" s="147"/>
      <c r="AW627" s="139"/>
      <c r="AX627" s="139"/>
      <c r="AY627" s="139"/>
      <c r="AZ627" s="139"/>
      <c r="BA627" s="147"/>
      <c r="BB627" s="142"/>
      <c r="BC627" s="148"/>
      <c r="BD627" s="148"/>
      <c r="BE627" s="148"/>
      <c r="BF627" s="148"/>
      <c r="BG627" s="148"/>
      <c r="BH627" s="148"/>
      <c r="BI627" s="148"/>
      <c r="BJ627" s="148"/>
      <c r="BK627" s="148"/>
      <c r="BL627" s="148"/>
      <c r="BM627" s="148"/>
      <c r="BN627" s="148"/>
      <c r="BO627" s="148"/>
      <c r="BP627" s="148"/>
      <c r="BQ627" s="148"/>
      <c r="BR627" s="148"/>
    </row>
    <row r="628" spans="1:70">
      <c r="A628" s="108">
        <v>626</v>
      </c>
      <c r="F628" s="45">
        <v>43147.98945601852</v>
      </c>
      <c r="G628" s="45">
        <v>43148.034363425926</v>
      </c>
      <c r="H628" s="38">
        <f>G628-F628-'user time'!Z155</f>
        <v>4.0925925924362942E-2</v>
      </c>
      <c r="I628" s="86">
        <v>50.52</v>
      </c>
      <c r="J628" s="109" t="s">
        <v>260</v>
      </c>
      <c r="K628" s="88" t="s">
        <v>72</v>
      </c>
      <c r="L628" s="88" t="s">
        <v>73</v>
      </c>
      <c r="M628" s="88">
        <v>-369</v>
      </c>
      <c r="N628" s="108">
        <v>1</v>
      </c>
      <c r="O628" s="108">
        <v>200</v>
      </c>
      <c r="P628" s="88">
        <v>348</v>
      </c>
      <c r="Q628" s="88" t="s">
        <v>75</v>
      </c>
      <c r="R628" s="88" t="s">
        <v>348</v>
      </c>
      <c r="S628" s="110">
        <v>10000</v>
      </c>
      <c r="T628" s="110">
        <v>918</v>
      </c>
      <c r="U628" s="88">
        <v>983</v>
      </c>
      <c r="V628" s="90">
        <v>1500</v>
      </c>
      <c r="W628" s="111">
        <v>10</v>
      </c>
      <c r="X628" s="110">
        <v>48567</v>
      </c>
      <c r="Y628" s="110">
        <v>842602</v>
      </c>
      <c r="Z628" s="110">
        <v>6944072</v>
      </c>
      <c r="AA628" s="110">
        <v>2117231</v>
      </c>
      <c r="AB628" s="112">
        <v>4855840</v>
      </c>
      <c r="AC628" s="109">
        <v>160.1</v>
      </c>
      <c r="AD628" s="110">
        <v>-109.9</v>
      </c>
      <c r="AE628" s="110">
        <v>3.93</v>
      </c>
      <c r="AF628" s="110">
        <v>-0.76</v>
      </c>
      <c r="AG628" s="110">
        <v>109.8</v>
      </c>
      <c r="AH628" s="110">
        <v>-110</v>
      </c>
      <c r="AI628" s="110">
        <v>3.7</v>
      </c>
      <c r="AJ628" s="109">
        <v>-0.33</v>
      </c>
      <c r="AK628" s="113" t="s">
        <v>59</v>
      </c>
      <c r="AL628" s="107" t="s">
        <v>181</v>
      </c>
      <c r="AN628" s="107">
        <v>0.95499999999999996</v>
      </c>
      <c r="AO628" s="48">
        <f t="shared" ref="AO628:AO629" si="859">(HOUR(H628)*60*60+MINUTE(H628)*60+SECOND(H628))/5.2*AA628/W628*AN628</f>
        <v>137492981.13999999</v>
      </c>
      <c r="AP628" s="156">
        <f t="shared" ref="AP628:AP629" si="860">AO628*0.7</f>
        <v>96245086.797999978</v>
      </c>
      <c r="AQ628" s="161">
        <f>AP628+AQ626</f>
        <v>26684043089.381813</v>
      </c>
      <c r="AR628" s="163">
        <f>H628+AR626</f>
        <v>11.959155092554003</v>
      </c>
      <c r="AS628" s="49">
        <f t="shared" ref="AS628:AS629" si="861">I628*(HOUR(H628)*60+MINUTE(H628))/60/(7*24)</f>
        <v>0.29069047619047622</v>
      </c>
      <c r="AT628" s="165">
        <f>AS628+AT626</f>
        <v>81.440083333333277</v>
      </c>
      <c r="AU628" s="254">
        <f t="shared" ref="AU628:AU629" si="862">AA628/W628*AN628</f>
        <v>202195.56049999999</v>
      </c>
      <c r="AV628" s="255">
        <f t="shared" ref="AV628:AV629" si="863">AB628/W628+AA628/W628*(1-AN628)</f>
        <v>495111.53950000001</v>
      </c>
      <c r="AW628" s="256">
        <f t="shared" ref="AW628:AW629" si="864">AU628/AV628</f>
        <v>0.40838385771455038</v>
      </c>
    </row>
    <row r="629" spans="1:70" ht="12.6" customHeight="1">
      <c r="A629" s="108">
        <v>627</v>
      </c>
      <c r="F629" s="45">
        <v>43148.034386574072</v>
      </c>
      <c r="G629" s="45">
        <v>43148.071006944447</v>
      </c>
      <c r="H629" s="38">
        <f>G629-F629-'user time'!Z156</f>
        <v>3.6296296300219924E-2</v>
      </c>
      <c r="I629" s="86">
        <v>50.42</v>
      </c>
      <c r="J629" s="109" t="s">
        <v>260</v>
      </c>
      <c r="K629" s="88" t="s">
        <v>72</v>
      </c>
      <c r="L629" s="88" t="s">
        <v>73</v>
      </c>
      <c r="M629" s="88">
        <v>-369</v>
      </c>
      <c r="N629" s="108">
        <v>1</v>
      </c>
      <c r="O629" s="108">
        <v>200</v>
      </c>
      <c r="P629" s="88">
        <v>348</v>
      </c>
      <c r="Q629" s="88" t="s">
        <v>75</v>
      </c>
      <c r="R629" s="88" t="s">
        <v>348</v>
      </c>
      <c r="S629" s="110">
        <v>9900</v>
      </c>
      <c r="T629" s="110">
        <v>897</v>
      </c>
      <c r="U629" s="88">
        <v>983</v>
      </c>
      <c r="V629" s="90">
        <v>1500</v>
      </c>
      <c r="W629" s="111">
        <v>10</v>
      </c>
      <c r="X629" s="110">
        <v>48615</v>
      </c>
      <c r="Y629" s="110">
        <v>839240</v>
      </c>
      <c r="Z629" s="110">
        <v>6905981</v>
      </c>
      <c r="AA629" s="110">
        <v>2100772</v>
      </c>
      <c r="AB629" s="112">
        <v>4834146</v>
      </c>
      <c r="AC629" s="109">
        <v>160.1</v>
      </c>
      <c r="AD629" s="110">
        <v>-109.9</v>
      </c>
      <c r="AE629" s="110">
        <v>3.93</v>
      </c>
      <c r="AF629" s="110">
        <v>-0.76</v>
      </c>
      <c r="AG629" s="110">
        <v>109.8</v>
      </c>
      <c r="AH629" s="110">
        <v>-110</v>
      </c>
      <c r="AI629" s="110">
        <v>3.71</v>
      </c>
      <c r="AJ629" s="109">
        <v>-0.34</v>
      </c>
      <c r="AK629" s="113" t="s">
        <v>59</v>
      </c>
      <c r="AL629" s="107" t="s">
        <v>238</v>
      </c>
      <c r="AN629" s="107">
        <v>0.95499999999999996</v>
      </c>
      <c r="AO629" s="48">
        <f t="shared" si="859"/>
        <v>120991539.37230769</v>
      </c>
      <c r="AP629" s="156">
        <f t="shared" si="860"/>
        <v>84694077.560615376</v>
      </c>
      <c r="AQ629" s="161">
        <f t="shared" ref="AQ629" si="865">AP629+AQ628</f>
        <v>26768737166.942429</v>
      </c>
      <c r="AR629" s="163">
        <f t="shared" ref="AR629" si="866">H629+AR628</f>
        <v>11.995451388854223</v>
      </c>
      <c r="AS629" s="49">
        <f t="shared" si="861"/>
        <v>0.26010317460317461</v>
      </c>
      <c r="AT629" s="165">
        <f t="shared" ref="AT629" si="867">AS629+AT628</f>
        <v>81.700186507936451</v>
      </c>
      <c r="AU629" s="254">
        <f t="shared" si="862"/>
        <v>200623.726</v>
      </c>
      <c r="AV629" s="255">
        <f t="shared" si="863"/>
        <v>492868.07399999996</v>
      </c>
      <c r="AW629" s="256">
        <f t="shared" si="864"/>
        <v>0.40705360436878291</v>
      </c>
    </row>
    <row r="630" spans="1:70" s="149" customFormat="1">
      <c r="A630" s="138">
        <v>628</v>
      </c>
      <c r="F630" s="133"/>
      <c r="G630" s="133"/>
      <c r="H630" s="245"/>
      <c r="I630" s="135"/>
      <c r="J630" s="136"/>
      <c r="K630" s="137"/>
      <c r="L630" s="137"/>
      <c r="M630" s="137"/>
      <c r="N630" s="138"/>
      <c r="O630" s="138"/>
      <c r="P630" s="137"/>
      <c r="Q630" s="137"/>
      <c r="R630" s="235"/>
      <c r="S630" s="139"/>
      <c r="T630" s="139"/>
      <c r="U630" s="137"/>
      <c r="V630" s="140"/>
      <c r="W630" s="141"/>
      <c r="X630" s="139"/>
      <c r="Y630" s="139"/>
      <c r="Z630" s="139"/>
      <c r="AA630" s="139"/>
      <c r="AB630" s="142"/>
      <c r="AC630" s="136"/>
      <c r="AD630" s="139"/>
      <c r="AE630" s="139"/>
      <c r="AF630" s="139"/>
      <c r="AG630" s="139"/>
      <c r="AH630" s="139"/>
      <c r="AI630" s="139"/>
      <c r="AJ630" s="136"/>
      <c r="AK630" s="143"/>
      <c r="AL630" s="258" t="s">
        <v>719</v>
      </c>
      <c r="AM630" s="145"/>
      <c r="AN630" s="144"/>
      <c r="AO630" s="151"/>
      <c r="AP630" s="146"/>
      <c r="AQ630" s="160"/>
      <c r="AR630" s="162"/>
      <c r="AS630" s="147"/>
      <c r="AT630" s="164"/>
      <c r="AU630" s="147"/>
      <c r="AV630" s="147"/>
      <c r="AW630" s="139"/>
      <c r="AX630" s="139"/>
      <c r="AY630" s="139"/>
      <c r="AZ630" s="139"/>
      <c r="BA630" s="147"/>
      <c r="BB630" s="142"/>
      <c r="BC630" s="148"/>
      <c r="BD630" s="148"/>
      <c r="BE630" s="148"/>
      <c r="BF630" s="148"/>
      <c r="BG630" s="148"/>
      <c r="BH630" s="148"/>
      <c r="BI630" s="148"/>
      <c r="BJ630" s="148"/>
      <c r="BK630" s="148"/>
      <c r="BL630" s="148"/>
      <c r="BM630" s="148"/>
      <c r="BN630" s="148"/>
      <c r="BO630" s="148"/>
      <c r="BP630" s="148"/>
      <c r="BQ630" s="148"/>
      <c r="BR630" s="148"/>
    </row>
    <row r="631" spans="1:70" s="149" customFormat="1">
      <c r="A631" s="138">
        <v>629</v>
      </c>
      <c r="F631" s="133"/>
      <c r="G631" s="133"/>
      <c r="H631" s="245"/>
      <c r="I631" s="135"/>
      <c r="J631" s="136"/>
      <c r="K631" s="137"/>
      <c r="L631" s="137"/>
      <c r="M631" s="137"/>
      <c r="N631" s="138"/>
      <c r="O631" s="138"/>
      <c r="P631" s="137"/>
      <c r="Q631" s="137"/>
      <c r="R631" s="235"/>
      <c r="S631" s="139"/>
      <c r="T631" s="139"/>
      <c r="U631" s="137"/>
      <c r="V631" s="140"/>
      <c r="W631" s="141"/>
      <c r="X631" s="139"/>
      <c r="Y631" s="139"/>
      <c r="Z631" s="139"/>
      <c r="AA631" s="139"/>
      <c r="AB631" s="142"/>
      <c r="AC631" s="136"/>
      <c r="AD631" s="139"/>
      <c r="AE631" s="139"/>
      <c r="AF631" s="139"/>
      <c r="AG631" s="139"/>
      <c r="AH631" s="139"/>
      <c r="AI631" s="139"/>
      <c r="AJ631" s="136"/>
      <c r="AK631" s="143"/>
      <c r="AL631" s="258" t="s">
        <v>733</v>
      </c>
      <c r="AM631" s="145" t="s">
        <v>731</v>
      </c>
      <c r="AN631" s="144"/>
      <c r="AO631" s="151"/>
      <c r="AP631" s="146"/>
      <c r="AQ631" s="160"/>
      <c r="AR631" s="162"/>
      <c r="AS631" s="147"/>
      <c r="AT631" s="164"/>
      <c r="AU631" s="147"/>
      <c r="AV631" s="147"/>
      <c r="AW631" s="139"/>
      <c r="AX631" s="139"/>
      <c r="AY631" s="139"/>
      <c r="AZ631" s="139"/>
      <c r="BA631" s="147"/>
      <c r="BB631" s="142"/>
      <c r="BC631" s="148"/>
      <c r="BD631" s="148"/>
      <c r="BE631" s="148"/>
      <c r="BF631" s="148"/>
      <c r="BG631" s="148"/>
      <c r="BH631" s="148"/>
      <c r="BI631" s="148"/>
      <c r="BJ631" s="148"/>
      <c r="BK631" s="148"/>
      <c r="BL631" s="148"/>
      <c r="BM631" s="148"/>
      <c r="BN631" s="148"/>
      <c r="BO631" s="148"/>
      <c r="BP631" s="148"/>
      <c r="BQ631" s="148"/>
      <c r="BR631" s="148"/>
    </row>
    <row r="632" spans="1:70">
      <c r="A632" s="108">
        <v>630</v>
      </c>
      <c r="F632" s="45">
        <v>43148.730821759258</v>
      </c>
      <c r="G632" s="45">
        <v>43148.790416666663</v>
      </c>
      <c r="H632" s="38">
        <f>G632-F632-SUM('user time'!Z158:Z164)</f>
        <v>4.2465277775341703E-2</v>
      </c>
      <c r="I632" s="86">
        <v>50.36</v>
      </c>
      <c r="J632" s="109" t="s">
        <v>260</v>
      </c>
      <c r="K632" s="88" t="s">
        <v>72</v>
      </c>
      <c r="L632" s="88" t="s">
        <v>73</v>
      </c>
      <c r="M632" s="88">
        <v>-369</v>
      </c>
      <c r="N632" s="108">
        <v>1</v>
      </c>
      <c r="O632" s="108">
        <v>200</v>
      </c>
      <c r="P632" s="88">
        <v>348</v>
      </c>
      <c r="Q632" s="88" t="s">
        <v>75</v>
      </c>
      <c r="R632" s="88" t="s">
        <v>348</v>
      </c>
      <c r="S632" s="110">
        <v>10000</v>
      </c>
      <c r="T632" s="110">
        <v>906</v>
      </c>
      <c r="U632" s="88">
        <v>983</v>
      </c>
      <c r="V632" s="90">
        <v>1500</v>
      </c>
      <c r="W632" s="111">
        <v>10</v>
      </c>
      <c r="X632" s="110">
        <v>49083</v>
      </c>
      <c r="Y632" s="110">
        <v>839077</v>
      </c>
      <c r="Z632" s="110">
        <v>6859566</v>
      </c>
      <c r="AA632" s="110">
        <v>2116768</v>
      </c>
      <c r="AB632" s="112">
        <v>4787070</v>
      </c>
      <c r="AC632" s="109">
        <v>160.1</v>
      </c>
      <c r="AD632" s="110">
        <v>-109.9</v>
      </c>
      <c r="AE632" s="110">
        <v>3.94</v>
      </c>
      <c r="AF632" s="110">
        <v>-0.76</v>
      </c>
      <c r="AG632" s="110">
        <v>109.8</v>
      </c>
      <c r="AH632" s="110">
        <v>-110.1</v>
      </c>
      <c r="AI632" s="110">
        <v>3.7</v>
      </c>
      <c r="AJ632" s="109">
        <v>-0.34</v>
      </c>
      <c r="AK632" s="113" t="s">
        <v>59</v>
      </c>
      <c r="AL632" s="107" t="s">
        <v>736</v>
      </c>
      <c r="AN632" s="107">
        <v>0.95599999999999996</v>
      </c>
      <c r="AO632" s="48">
        <f t="shared" ref="AO632:AO646" si="868">(HOUR(H632)*60*60+MINUTE(H632)*60+SECOND(H632))/5.2*AA632/W632*AN632</f>
        <v>142782677.56061536</v>
      </c>
      <c r="AP632" s="156">
        <f t="shared" ref="AP632:AP646" si="869">AO632*0.7</f>
        <v>99947874.292430744</v>
      </c>
      <c r="AQ632" s="161">
        <f>AP632+AQ629</f>
        <v>26868685041.234859</v>
      </c>
      <c r="AR632" s="163">
        <f>H632+AR629</f>
        <v>12.037916666629565</v>
      </c>
      <c r="AS632" s="49">
        <f t="shared" ref="AS632:AS646" si="870">I632*(HOUR(H632)*60+MINUTE(H632))/60/(7*24)</f>
        <v>0.30475793650793653</v>
      </c>
      <c r="AT632" s="165">
        <f>AS632+AT629</f>
        <v>82.004944444444391</v>
      </c>
      <c r="AU632" s="254">
        <f t="shared" ref="AU632" si="871">AA632/W632*AN632</f>
        <v>202363.02079999997</v>
      </c>
      <c r="AV632" s="255">
        <f t="shared" ref="AV632" si="872">AB632/W632+AA632/W632*(1-AN632)</f>
        <v>488020.77919999999</v>
      </c>
      <c r="AW632" s="256">
        <f t="shared" ref="AW632" si="873">AU632/AV632</f>
        <v>0.41466066492440856</v>
      </c>
    </row>
    <row r="633" spans="1:70">
      <c r="A633" s="108">
        <v>631</v>
      </c>
      <c r="F633" s="45">
        <v>43148.790451388886</v>
      </c>
      <c r="G633" s="45">
        <v>43148.835636574076</v>
      </c>
      <c r="H633" s="38">
        <f>G633-F633-SUM('user time'!Z165:Z171)</f>
        <v>3.8877314819977693E-2</v>
      </c>
      <c r="I633" s="86">
        <v>50.37</v>
      </c>
      <c r="J633" s="109" t="s">
        <v>260</v>
      </c>
      <c r="K633" s="88" t="s">
        <v>72</v>
      </c>
      <c r="L633" s="88" t="s">
        <v>73</v>
      </c>
      <c r="M633" s="88">
        <v>-369</v>
      </c>
      <c r="N633" s="108">
        <v>1</v>
      </c>
      <c r="O633" s="108">
        <v>200</v>
      </c>
      <c r="P633" s="88">
        <v>348</v>
      </c>
      <c r="Q633" s="88" t="s">
        <v>75</v>
      </c>
      <c r="R633" s="88" t="s">
        <v>348</v>
      </c>
      <c r="S633" s="110">
        <v>10000</v>
      </c>
      <c r="T633" s="110">
        <v>909</v>
      </c>
      <c r="U633" s="88">
        <v>983</v>
      </c>
      <c r="V633" s="90">
        <v>1500</v>
      </c>
      <c r="W633" s="111">
        <v>10</v>
      </c>
      <c r="X633" s="110">
        <v>48972</v>
      </c>
      <c r="Y633" s="110">
        <v>841008</v>
      </c>
      <c r="Z633" s="110">
        <v>6763951</v>
      </c>
      <c r="AA633" s="110">
        <v>2084666</v>
      </c>
      <c r="AB633" s="112">
        <v>4710768</v>
      </c>
      <c r="AC633" s="109">
        <v>160.1</v>
      </c>
      <c r="AD633" s="110">
        <v>-109.9</v>
      </c>
      <c r="AE633" s="110">
        <v>3.93</v>
      </c>
      <c r="AF633" s="110">
        <v>-0.75</v>
      </c>
      <c r="AG633" s="110">
        <v>109.8</v>
      </c>
      <c r="AH633" s="110">
        <v>-110</v>
      </c>
      <c r="AI633" s="110">
        <v>3.71</v>
      </c>
      <c r="AJ633" s="109">
        <v>-0.33</v>
      </c>
      <c r="AK633" s="113" t="s">
        <v>59</v>
      </c>
      <c r="AL633" s="107" t="s">
        <v>738</v>
      </c>
      <c r="AN633" s="107">
        <v>0.94899999999999995</v>
      </c>
      <c r="AO633" s="48">
        <f t="shared" si="868"/>
        <v>127793673.96549998</v>
      </c>
      <c r="AP633" s="156">
        <f t="shared" si="869"/>
        <v>89455571.775849983</v>
      </c>
      <c r="AQ633" s="161">
        <f t="shared" ref="AQ633:AQ646" si="874">AP633+AQ632</f>
        <v>26958140613.010708</v>
      </c>
      <c r="AR633" s="163">
        <f t="shared" ref="AR633:AR646" si="875">H633+AR632</f>
        <v>12.076793981449542</v>
      </c>
      <c r="AS633" s="49">
        <f t="shared" si="870"/>
        <v>0.2748363095238095</v>
      </c>
      <c r="AT633" s="165">
        <f t="shared" ref="AT633:AT646" si="876">AS633+AT632</f>
        <v>82.279780753968197</v>
      </c>
      <c r="AU633" s="254">
        <f t="shared" ref="AU633:AU646" si="877">AA633/W633*AN633</f>
        <v>197834.8034</v>
      </c>
      <c r="AV633" s="255">
        <f t="shared" ref="AV633:AV646" si="878">AB633/W633+AA633/W633*(1-AN633)</f>
        <v>481708.59659999999</v>
      </c>
      <c r="AW633" s="256">
        <f t="shared" ref="AW633:AW646" si="879">AU633/AV633</f>
        <v>0.41069394400755854</v>
      </c>
    </row>
    <row r="634" spans="1:70">
      <c r="A634" s="108">
        <v>632</v>
      </c>
      <c r="F634" s="45">
        <v>43148.838888888888</v>
      </c>
      <c r="G634" s="45">
        <v>43148.90121527778</v>
      </c>
      <c r="H634" s="38">
        <f>G634-F634-SUM('user time'!Z173:Z181)</f>
        <v>4.2094907410479832E-2</v>
      </c>
      <c r="I634" s="86">
        <v>50.5</v>
      </c>
      <c r="J634" s="109" t="s">
        <v>260</v>
      </c>
      <c r="K634" s="88" t="s">
        <v>72</v>
      </c>
      <c r="L634" s="88" t="s">
        <v>73</v>
      </c>
      <c r="M634" s="88">
        <v>-369</v>
      </c>
      <c r="N634" s="108">
        <v>1</v>
      </c>
      <c r="O634" s="108">
        <v>200</v>
      </c>
      <c r="P634" s="88">
        <v>348</v>
      </c>
      <c r="Q634" s="88" t="s">
        <v>75</v>
      </c>
      <c r="R634" s="88" t="s">
        <v>348</v>
      </c>
      <c r="S634" s="110">
        <v>10000</v>
      </c>
      <c r="T634" s="110">
        <v>917</v>
      </c>
      <c r="U634" s="88">
        <v>983</v>
      </c>
      <c r="V634" s="90">
        <v>1500</v>
      </c>
      <c r="W634" s="111">
        <v>10</v>
      </c>
      <c r="X634" s="110">
        <v>48643</v>
      </c>
      <c r="Y634" s="110">
        <v>842741</v>
      </c>
      <c r="Z634" s="110">
        <v>6740172</v>
      </c>
      <c r="AA634" s="110">
        <v>2077336</v>
      </c>
      <c r="AB634" s="112">
        <v>4694284</v>
      </c>
      <c r="AC634" s="109">
        <v>160.1</v>
      </c>
      <c r="AD634" s="110">
        <v>-109.8</v>
      </c>
      <c r="AE634" s="110">
        <v>3.93</v>
      </c>
      <c r="AF634" s="110">
        <v>-0.75</v>
      </c>
      <c r="AG634" s="110">
        <v>109.8</v>
      </c>
      <c r="AH634" s="110">
        <v>-110</v>
      </c>
      <c r="AI634" s="110">
        <v>3.71</v>
      </c>
      <c r="AJ634" s="109">
        <v>-0.33</v>
      </c>
      <c r="AK634" s="113" t="s">
        <v>59</v>
      </c>
      <c r="AL634" s="107" t="s">
        <v>181</v>
      </c>
      <c r="AN634" s="107">
        <v>0.94899999999999995</v>
      </c>
      <c r="AO634" s="48">
        <f t="shared" si="868"/>
        <v>137883696.33399999</v>
      </c>
      <c r="AP634" s="156">
        <f t="shared" si="869"/>
        <v>96518587.433799982</v>
      </c>
      <c r="AQ634" s="161">
        <f t="shared" si="874"/>
        <v>27054659200.444508</v>
      </c>
      <c r="AR634" s="163">
        <f t="shared" si="875"/>
        <v>12.118888888860022</v>
      </c>
      <c r="AS634" s="49">
        <f t="shared" si="870"/>
        <v>0.30059523809523808</v>
      </c>
      <c r="AT634" s="165">
        <f t="shared" si="876"/>
        <v>82.580375992063438</v>
      </c>
      <c r="AU634" s="254">
        <f t="shared" si="877"/>
        <v>197139.18640000001</v>
      </c>
      <c r="AV634" s="255">
        <f t="shared" si="878"/>
        <v>480022.81360000005</v>
      </c>
      <c r="AW634" s="256">
        <f t="shared" si="879"/>
        <v>0.41068711905904298</v>
      </c>
    </row>
    <row r="635" spans="1:70">
      <c r="A635" s="108">
        <v>633</v>
      </c>
      <c r="F635" s="45">
        <v>43148.901238425926</v>
      </c>
      <c r="G635" s="45">
        <v>43148.943761574075</v>
      </c>
      <c r="H635" s="38">
        <f>G635-F635-'user time'!Z182</f>
        <v>4.2175925927262492E-2</v>
      </c>
      <c r="I635" s="86">
        <v>50.46</v>
      </c>
      <c r="J635" s="109" t="s">
        <v>260</v>
      </c>
      <c r="K635" s="88" t="s">
        <v>72</v>
      </c>
      <c r="L635" s="88" t="s">
        <v>73</v>
      </c>
      <c r="M635" s="88">
        <v>-369</v>
      </c>
      <c r="N635" s="108">
        <v>1</v>
      </c>
      <c r="O635" s="108">
        <v>200</v>
      </c>
      <c r="P635" s="88">
        <v>348</v>
      </c>
      <c r="Q635" s="88" t="s">
        <v>75</v>
      </c>
      <c r="R635" s="88" t="s">
        <v>348</v>
      </c>
      <c r="S635" s="110">
        <v>10000</v>
      </c>
      <c r="T635" s="110">
        <v>914</v>
      </c>
      <c r="U635" s="88">
        <v>983</v>
      </c>
      <c r="V635" s="90">
        <v>1500</v>
      </c>
      <c r="W635" s="111">
        <v>10</v>
      </c>
      <c r="X635" s="110">
        <v>48858</v>
      </c>
      <c r="Y635" s="110">
        <v>844099</v>
      </c>
      <c r="Z635" s="110">
        <v>6753105</v>
      </c>
      <c r="AA635" s="110">
        <v>2084040</v>
      </c>
      <c r="AB635" s="112">
        <v>4700025</v>
      </c>
      <c r="AC635" s="109">
        <v>160.1</v>
      </c>
      <c r="AD635" s="110">
        <v>-109.8</v>
      </c>
      <c r="AE635" s="110">
        <v>3.93</v>
      </c>
      <c r="AF635" s="110">
        <v>-0.75</v>
      </c>
      <c r="AG635" s="110">
        <v>109.8</v>
      </c>
      <c r="AH635" s="110">
        <v>-110</v>
      </c>
      <c r="AI635" s="110">
        <v>3.71</v>
      </c>
      <c r="AJ635" s="109">
        <v>-0.34</v>
      </c>
      <c r="AK635" s="113" t="s">
        <v>59</v>
      </c>
      <c r="AL635" s="107" t="s">
        <v>181</v>
      </c>
      <c r="AN635" s="107">
        <v>0.94899999999999995</v>
      </c>
      <c r="AO635" s="48">
        <f t="shared" si="868"/>
        <v>138594912.11999997</v>
      </c>
      <c r="AP635" s="156">
        <f t="shared" si="869"/>
        <v>97016438.483999982</v>
      </c>
      <c r="AQ635" s="161">
        <f t="shared" si="874"/>
        <v>27151675638.928509</v>
      </c>
      <c r="AR635" s="163">
        <f t="shared" si="875"/>
        <v>12.161064814787284</v>
      </c>
      <c r="AS635" s="49">
        <f t="shared" si="870"/>
        <v>0.30035714285714288</v>
      </c>
      <c r="AT635" s="165">
        <f t="shared" si="876"/>
        <v>82.880733134920575</v>
      </c>
      <c r="AU635" s="254">
        <f t="shared" si="877"/>
        <v>197775.39599999998</v>
      </c>
      <c r="AV635" s="255">
        <f t="shared" si="878"/>
        <v>480631.10399999999</v>
      </c>
      <c r="AW635" s="256">
        <f t="shared" si="879"/>
        <v>0.41149104657196717</v>
      </c>
    </row>
    <row r="636" spans="1:70">
      <c r="A636" s="108">
        <v>634</v>
      </c>
      <c r="F636" s="45">
        <v>43148.943796296298</v>
      </c>
      <c r="G636" s="45">
        <v>43148.987650462965</v>
      </c>
      <c r="H636" s="38">
        <f>G636-F636-'user time'!Z183</f>
        <v>4.3483796295908261E-2</v>
      </c>
      <c r="I636" s="86">
        <v>50.49</v>
      </c>
      <c r="J636" s="109" t="s">
        <v>260</v>
      </c>
      <c r="K636" s="88" t="s">
        <v>72</v>
      </c>
      <c r="L636" s="88" t="s">
        <v>73</v>
      </c>
      <c r="M636" s="88">
        <v>-369</v>
      </c>
      <c r="N636" s="108">
        <v>1</v>
      </c>
      <c r="O636" s="108">
        <v>200</v>
      </c>
      <c r="P636" s="88">
        <v>348</v>
      </c>
      <c r="Q636" s="88" t="s">
        <v>75</v>
      </c>
      <c r="R636" s="88" t="s">
        <v>348</v>
      </c>
      <c r="S636" s="110">
        <v>10000</v>
      </c>
      <c r="T636" s="110">
        <v>916</v>
      </c>
      <c r="U636" s="88">
        <v>983</v>
      </c>
      <c r="V636" s="90">
        <v>1500</v>
      </c>
      <c r="W636" s="111">
        <v>10</v>
      </c>
      <c r="X636" s="110">
        <v>48395</v>
      </c>
      <c r="Y636" s="110">
        <v>843289</v>
      </c>
      <c r="Z636" s="110">
        <v>6748631</v>
      </c>
      <c r="AA636" s="110">
        <v>2079645</v>
      </c>
      <c r="AB636" s="112">
        <v>4698218</v>
      </c>
      <c r="AC636" s="109">
        <v>160.1</v>
      </c>
      <c r="AD636" s="110">
        <v>-109.8</v>
      </c>
      <c r="AE636" s="110">
        <v>3.93</v>
      </c>
      <c r="AF636" s="110">
        <v>-0.75</v>
      </c>
      <c r="AG636" s="110">
        <v>109.8</v>
      </c>
      <c r="AH636" s="110">
        <v>-110</v>
      </c>
      <c r="AI636" s="110">
        <v>3.7</v>
      </c>
      <c r="AJ636" s="109">
        <v>-0.34</v>
      </c>
      <c r="AK636" s="113" t="s">
        <v>59</v>
      </c>
      <c r="AL636" s="107" t="s">
        <v>181</v>
      </c>
      <c r="AN636" s="107">
        <v>0.94699999999999995</v>
      </c>
      <c r="AO636" s="48">
        <f t="shared" si="868"/>
        <v>142290870.63374999</v>
      </c>
      <c r="AP636" s="156">
        <f t="shared" si="869"/>
        <v>99603609.443624988</v>
      </c>
      <c r="AQ636" s="161">
        <f t="shared" si="874"/>
        <v>27251279248.372135</v>
      </c>
      <c r="AR636" s="163">
        <f t="shared" si="875"/>
        <v>12.204548611083192</v>
      </c>
      <c r="AS636" s="49">
        <f t="shared" si="870"/>
        <v>0.31055357142857143</v>
      </c>
      <c r="AT636" s="165">
        <f t="shared" si="876"/>
        <v>83.191286706349146</v>
      </c>
      <c r="AU636" s="254">
        <f t="shared" si="877"/>
        <v>196942.38149999999</v>
      </c>
      <c r="AV636" s="255">
        <f t="shared" si="878"/>
        <v>480843.91849999997</v>
      </c>
      <c r="AW636" s="256">
        <f t="shared" si="879"/>
        <v>0.40957652561014973</v>
      </c>
    </row>
    <row r="637" spans="1:70">
      <c r="A637" s="108">
        <v>635</v>
      </c>
      <c r="F637" s="45">
        <v>43148.987673611111</v>
      </c>
      <c r="G637" s="45">
        <v>43149.026516203703</v>
      </c>
      <c r="H637" s="38">
        <f>G637-F637-SUM('user time'!AE76:AE81)</f>
        <v>3.6273148147673864E-2</v>
      </c>
      <c r="I637" s="86">
        <v>50.48</v>
      </c>
      <c r="J637" s="109" t="s">
        <v>260</v>
      </c>
      <c r="K637" s="88" t="s">
        <v>72</v>
      </c>
      <c r="L637" s="88" t="s">
        <v>73</v>
      </c>
      <c r="M637" s="88">
        <v>-369</v>
      </c>
      <c r="N637" s="108">
        <v>1</v>
      </c>
      <c r="O637" s="108">
        <v>200</v>
      </c>
      <c r="P637" s="88">
        <v>348</v>
      </c>
      <c r="Q637" s="88" t="s">
        <v>75</v>
      </c>
      <c r="R637" s="88" t="s">
        <v>348</v>
      </c>
      <c r="S637" s="110">
        <v>10000</v>
      </c>
      <c r="T637" s="110">
        <v>921</v>
      </c>
      <c r="U637" s="88">
        <v>983</v>
      </c>
      <c r="V637" s="90">
        <v>1500</v>
      </c>
      <c r="W637" s="111">
        <v>10</v>
      </c>
      <c r="X637" s="110">
        <v>48090</v>
      </c>
      <c r="Y637" s="110">
        <v>842393</v>
      </c>
      <c r="Z637" s="110">
        <v>6704947</v>
      </c>
      <c r="AA637" s="110">
        <v>2074834</v>
      </c>
      <c r="AB637" s="112">
        <v>4659023</v>
      </c>
      <c r="AC637" s="109">
        <v>160.1</v>
      </c>
      <c r="AD637" s="110">
        <v>-109.8</v>
      </c>
      <c r="AE637" s="110">
        <v>3.93</v>
      </c>
      <c r="AF637" s="110">
        <v>-0.75</v>
      </c>
      <c r="AG637" s="110">
        <v>109.8</v>
      </c>
      <c r="AH637" s="110">
        <v>-110</v>
      </c>
      <c r="AI637" s="110">
        <v>3.7</v>
      </c>
      <c r="AJ637" s="109">
        <v>-0.33</v>
      </c>
      <c r="AK637" s="113" t="s">
        <v>59</v>
      </c>
      <c r="AL637" s="107" t="s">
        <v>745</v>
      </c>
      <c r="AN637" s="107">
        <f>AN636</f>
        <v>0.94699999999999995</v>
      </c>
      <c r="AO637" s="48">
        <f t="shared" si="868"/>
        <v>118421070.74869229</v>
      </c>
      <c r="AP637" s="156">
        <f t="shared" si="869"/>
        <v>82894749.524084598</v>
      </c>
      <c r="AQ637" s="161">
        <f t="shared" si="874"/>
        <v>27334173997.896221</v>
      </c>
      <c r="AR637" s="163">
        <f t="shared" si="875"/>
        <v>12.240821759230865</v>
      </c>
      <c r="AS637" s="49">
        <f t="shared" si="870"/>
        <v>0.26041269841269843</v>
      </c>
      <c r="AT637" s="165">
        <f t="shared" si="876"/>
        <v>83.45169940476184</v>
      </c>
      <c r="AU637" s="254">
        <f t="shared" si="877"/>
        <v>196486.77979999999</v>
      </c>
      <c r="AV637" s="255">
        <f t="shared" si="878"/>
        <v>476898.92019999999</v>
      </c>
      <c r="AW637" s="256">
        <f t="shared" si="879"/>
        <v>0.41200927801974924</v>
      </c>
    </row>
    <row r="638" spans="1:70">
      <c r="A638" s="108">
        <v>636</v>
      </c>
      <c r="F638" s="45">
        <v>43149.030034722222</v>
      </c>
      <c r="G638" s="45">
        <v>43149.040127314816</v>
      </c>
      <c r="H638" s="38">
        <f>G638-F638-SUM('user time'!AE84:AE86)</f>
        <v>9.1203703722243859E-3</v>
      </c>
      <c r="I638" s="86">
        <v>50.45</v>
      </c>
      <c r="J638" s="109" t="s">
        <v>260</v>
      </c>
      <c r="K638" s="88" t="s">
        <v>72</v>
      </c>
      <c r="L638" s="88" t="s">
        <v>73</v>
      </c>
      <c r="M638" s="88">
        <v>-369</v>
      </c>
      <c r="N638" s="108">
        <v>1</v>
      </c>
      <c r="O638" s="108">
        <v>200</v>
      </c>
      <c r="P638" s="88">
        <v>348</v>
      </c>
      <c r="Q638" s="88" t="s">
        <v>75</v>
      </c>
      <c r="R638" s="88" t="s">
        <v>348</v>
      </c>
      <c r="S638" s="110">
        <v>9863</v>
      </c>
      <c r="T638" s="110">
        <v>873</v>
      </c>
      <c r="U638" s="88">
        <v>983</v>
      </c>
      <c r="V638" s="90">
        <v>1500</v>
      </c>
      <c r="W638" s="111">
        <v>10</v>
      </c>
      <c r="X638" s="110">
        <v>48326</v>
      </c>
      <c r="Y638" s="110">
        <v>843216</v>
      </c>
      <c r="Z638" s="110">
        <v>6718530</v>
      </c>
      <c r="AA638" s="110">
        <v>2078328</v>
      </c>
      <c r="AB638" s="112">
        <v>4668429</v>
      </c>
      <c r="AC638" s="109">
        <v>160.1</v>
      </c>
      <c r="AD638" s="110">
        <v>-109.8</v>
      </c>
      <c r="AE638" s="110">
        <v>3.93</v>
      </c>
      <c r="AF638" s="110">
        <v>-0.75</v>
      </c>
      <c r="AG638" s="110">
        <v>109.8</v>
      </c>
      <c r="AH638" s="110">
        <v>-110</v>
      </c>
      <c r="AI638" s="110">
        <v>3.71</v>
      </c>
      <c r="AJ638" s="109">
        <v>-0.33</v>
      </c>
      <c r="AK638" s="113" t="s">
        <v>59</v>
      </c>
      <c r="AL638" s="107" t="s">
        <v>761</v>
      </c>
      <c r="AN638" s="107">
        <v>0.95</v>
      </c>
      <c r="AO638" s="48">
        <f t="shared" si="868"/>
        <v>29919929.63076923</v>
      </c>
      <c r="AP638" s="156">
        <f t="shared" si="869"/>
        <v>20943950.741538461</v>
      </c>
      <c r="AQ638" s="161">
        <f t="shared" si="874"/>
        <v>27355117948.63776</v>
      </c>
      <c r="AR638" s="163">
        <f t="shared" si="875"/>
        <v>12.24994212960309</v>
      </c>
      <c r="AS638" s="49">
        <f t="shared" si="870"/>
        <v>6.5064484126984137E-2</v>
      </c>
      <c r="AT638" s="165">
        <f t="shared" si="876"/>
        <v>83.516763888888818</v>
      </c>
      <c r="AU638" s="254">
        <f t="shared" si="877"/>
        <v>197441.15999999997</v>
      </c>
      <c r="AV638" s="255">
        <f t="shared" si="878"/>
        <v>477234.54000000004</v>
      </c>
      <c r="AW638" s="256">
        <f t="shared" si="879"/>
        <v>0.41371934227560303</v>
      </c>
    </row>
    <row r="639" spans="1:70">
      <c r="A639" s="108">
        <v>637</v>
      </c>
      <c r="F639" s="45">
        <v>43149.042546296296</v>
      </c>
      <c r="G639" s="45">
        <v>43149.092858796299</v>
      </c>
      <c r="H639" s="38">
        <f>G639-F639-SUM('user time'!AE87:AE93)</f>
        <v>4.5185185188386601E-2</v>
      </c>
      <c r="I639" s="86">
        <v>50.45</v>
      </c>
      <c r="J639" s="109" t="s">
        <v>260</v>
      </c>
      <c r="K639" s="88" t="s">
        <v>72</v>
      </c>
      <c r="L639" s="88" t="s">
        <v>73</v>
      </c>
      <c r="M639" s="88">
        <v>-369</v>
      </c>
      <c r="N639" s="108">
        <v>1</v>
      </c>
      <c r="O639" s="108">
        <v>200</v>
      </c>
      <c r="P639" s="88">
        <v>348</v>
      </c>
      <c r="Q639" s="88" t="s">
        <v>75</v>
      </c>
      <c r="R639" s="88" t="s">
        <v>348</v>
      </c>
      <c r="S639" s="110">
        <v>10105</v>
      </c>
      <c r="T639" s="110">
        <v>911</v>
      </c>
      <c r="U639" s="88">
        <v>983</v>
      </c>
      <c r="V639" s="90">
        <v>1500</v>
      </c>
      <c r="W639" s="111">
        <v>10</v>
      </c>
      <c r="X639" s="110">
        <v>48084</v>
      </c>
      <c r="Y639" s="110">
        <v>842313</v>
      </c>
      <c r="Z639" s="110">
        <v>6688332</v>
      </c>
      <c r="AA639" s="110">
        <v>2070084</v>
      </c>
      <c r="AB639" s="112">
        <v>4647016</v>
      </c>
      <c r="AC639" s="109">
        <v>160.1</v>
      </c>
      <c r="AD639" s="110">
        <v>-109.8</v>
      </c>
      <c r="AE639" s="110">
        <v>3.93</v>
      </c>
      <c r="AF639" s="110">
        <v>-0.75</v>
      </c>
      <c r="AG639" s="110">
        <v>109.8</v>
      </c>
      <c r="AH639" s="110">
        <v>-110</v>
      </c>
      <c r="AI639" s="110">
        <v>3.71</v>
      </c>
      <c r="AJ639" s="109">
        <v>-0.34</v>
      </c>
      <c r="AK639" s="113" t="s">
        <v>59</v>
      </c>
      <c r="AL639" s="107" t="s">
        <v>760</v>
      </c>
      <c r="AN639" s="107">
        <v>0.94799999999999995</v>
      </c>
      <c r="AO639" s="48">
        <f t="shared" si="868"/>
        <v>147333929.2947692</v>
      </c>
      <c r="AP639" s="156">
        <f t="shared" si="869"/>
        <v>103133750.50633843</v>
      </c>
      <c r="AQ639" s="161">
        <f t="shared" si="874"/>
        <v>27458251699.1441</v>
      </c>
      <c r="AR639" s="163">
        <f t="shared" si="875"/>
        <v>12.295127314791477</v>
      </c>
      <c r="AS639" s="49">
        <f t="shared" si="870"/>
        <v>0.32532242063492067</v>
      </c>
      <c r="AT639" s="165">
        <f t="shared" si="876"/>
        <v>83.842086309523737</v>
      </c>
      <c r="AU639" s="254">
        <f t="shared" si="877"/>
        <v>196243.9632</v>
      </c>
      <c r="AV639" s="255">
        <f t="shared" si="878"/>
        <v>475466.0368</v>
      </c>
      <c r="AW639" s="256">
        <f t="shared" si="879"/>
        <v>0.41274023381516112</v>
      </c>
    </row>
    <row r="640" spans="1:70">
      <c r="A640" s="108">
        <v>638</v>
      </c>
      <c r="F640" s="45">
        <v>43149.092534722222</v>
      </c>
      <c r="G640" s="45">
        <v>43149.133437500001</v>
      </c>
      <c r="H640" s="38">
        <f>G640-F640</f>
        <v>4.090277777868323E-2</v>
      </c>
      <c r="I640" s="86">
        <v>50.36</v>
      </c>
      <c r="J640" s="109" t="s">
        <v>260</v>
      </c>
      <c r="K640" s="88" t="s">
        <v>72</v>
      </c>
      <c r="L640" s="88" t="s">
        <v>73</v>
      </c>
      <c r="M640" s="88">
        <v>-369</v>
      </c>
      <c r="N640" s="108">
        <v>1</v>
      </c>
      <c r="O640" s="108">
        <v>200</v>
      </c>
      <c r="P640" s="88">
        <v>348</v>
      </c>
      <c r="Q640" s="88" t="s">
        <v>75</v>
      </c>
      <c r="R640" s="88" t="s">
        <v>348</v>
      </c>
      <c r="S640" s="110">
        <v>10000</v>
      </c>
      <c r="T640" s="110">
        <v>950</v>
      </c>
      <c r="U640" s="88">
        <v>983</v>
      </c>
      <c r="V640" s="90">
        <v>1500</v>
      </c>
      <c r="W640" s="111">
        <v>10</v>
      </c>
      <c r="X640" s="110">
        <v>48398</v>
      </c>
      <c r="Y640" s="110">
        <v>840718</v>
      </c>
      <c r="Z640" s="110">
        <v>6695992</v>
      </c>
      <c r="AA640" s="110">
        <v>2076464</v>
      </c>
      <c r="AB640" s="112">
        <v>4647753</v>
      </c>
      <c r="AC640" s="109">
        <v>160.1</v>
      </c>
      <c r="AD640" s="110">
        <v>-109.8</v>
      </c>
      <c r="AE640" s="110">
        <v>3.93</v>
      </c>
      <c r="AF640" s="110">
        <v>-0.75</v>
      </c>
      <c r="AG640" s="110">
        <v>109.8</v>
      </c>
      <c r="AH640" s="110">
        <v>-110</v>
      </c>
      <c r="AI640" s="110">
        <v>3.71</v>
      </c>
      <c r="AJ640" s="109">
        <v>-0.33</v>
      </c>
      <c r="AK640" s="113" t="s">
        <v>59</v>
      </c>
      <c r="AL640" s="107" t="s">
        <v>181</v>
      </c>
      <c r="AN640" s="107">
        <v>0.94799999999999995</v>
      </c>
      <c r="AO640" s="48">
        <f t="shared" si="868"/>
        <v>133781464.22399999</v>
      </c>
      <c r="AP640" s="156">
        <f t="shared" si="869"/>
        <v>93647024.956799984</v>
      </c>
      <c r="AQ640" s="161">
        <f t="shared" si="874"/>
        <v>27551898724.100899</v>
      </c>
      <c r="AR640" s="163">
        <f t="shared" si="875"/>
        <v>12.33603009257016</v>
      </c>
      <c r="AS640" s="49">
        <f t="shared" si="870"/>
        <v>0.28976984126984129</v>
      </c>
      <c r="AT640" s="165">
        <f t="shared" si="876"/>
        <v>84.131856150793581</v>
      </c>
      <c r="AU640" s="254">
        <f t="shared" si="877"/>
        <v>196848.78719999999</v>
      </c>
      <c r="AV640" s="255">
        <f t="shared" si="878"/>
        <v>475572.91279999999</v>
      </c>
      <c r="AW640" s="256">
        <f t="shared" si="879"/>
        <v>0.41391925801876744</v>
      </c>
    </row>
    <row r="641" spans="1:70">
      <c r="A641" s="108">
        <v>639</v>
      </c>
      <c r="F641" s="45">
        <v>43149.133449074077</v>
      </c>
      <c r="G641" s="45">
        <v>43149.174687500003</v>
      </c>
      <c r="H641" s="38">
        <f>G641-F641-SUM('user time'!AE94:AE96)</f>
        <v>4.012731481414647E-2</v>
      </c>
      <c r="I641" s="86">
        <v>50.45</v>
      </c>
      <c r="J641" s="109" t="s">
        <v>260</v>
      </c>
      <c r="K641" s="88" t="s">
        <v>72</v>
      </c>
      <c r="L641" s="88" t="s">
        <v>73</v>
      </c>
      <c r="M641" s="88">
        <v>-369</v>
      </c>
      <c r="N641" s="108">
        <v>1</v>
      </c>
      <c r="O641" s="108">
        <v>200</v>
      </c>
      <c r="P641" s="88">
        <v>348</v>
      </c>
      <c r="Q641" s="88" t="s">
        <v>75</v>
      </c>
      <c r="R641" s="88" t="s">
        <v>348</v>
      </c>
      <c r="S641" s="110">
        <v>10300</v>
      </c>
      <c r="T641" s="110">
        <v>910</v>
      </c>
      <c r="U641" s="88">
        <v>983</v>
      </c>
      <c r="V641" s="90">
        <v>1500</v>
      </c>
      <c r="W641" s="111">
        <v>10</v>
      </c>
      <c r="X641" s="110">
        <v>48485</v>
      </c>
      <c r="Y641" s="110">
        <v>844373</v>
      </c>
      <c r="Z641" s="110">
        <v>6719552</v>
      </c>
      <c r="AA641" s="110">
        <v>2083893</v>
      </c>
      <c r="AB641" s="112">
        <v>4663432</v>
      </c>
      <c r="AC641" s="109">
        <v>160.1</v>
      </c>
      <c r="AD641" s="110">
        <v>-109.8</v>
      </c>
      <c r="AE641" s="110">
        <v>3.93</v>
      </c>
      <c r="AF641" s="110">
        <v>-0.75</v>
      </c>
      <c r="AG641" s="110">
        <v>109.8</v>
      </c>
      <c r="AH641" s="110">
        <v>-110</v>
      </c>
      <c r="AI641" s="110">
        <v>3.71</v>
      </c>
      <c r="AJ641" s="109">
        <v>-0.34</v>
      </c>
      <c r="AK641" s="113" t="s">
        <v>59</v>
      </c>
      <c r="AL641" s="107" t="s">
        <v>181</v>
      </c>
      <c r="AN641" s="107">
        <v>0.95099999999999996</v>
      </c>
      <c r="AO641" s="48">
        <f t="shared" si="868"/>
        <v>132131519.93232688</v>
      </c>
      <c r="AP641" s="156">
        <f t="shared" si="869"/>
        <v>92492063.952628806</v>
      </c>
      <c r="AQ641" s="161">
        <f t="shared" si="874"/>
        <v>27644390788.053528</v>
      </c>
      <c r="AR641" s="163">
        <f t="shared" si="875"/>
        <v>12.376157407384307</v>
      </c>
      <c r="AS641" s="49">
        <f t="shared" si="870"/>
        <v>0.28528273809523813</v>
      </c>
      <c r="AT641" s="165">
        <f t="shared" si="876"/>
        <v>84.417138888888815</v>
      </c>
      <c r="AU641" s="254">
        <f t="shared" si="877"/>
        <v>198178.22429999997</v>
      </c>
      <c r="AV641" s="255">
        <f t="shared" si="878"/>
        <v>476554.2757</v>
      </c>
      <c r="AW641" s="256">
        <f t="shared" si="879"/>
        <v>0.41585656535952881</v>
      </c>
    </row>
    <row r="642" spans="1:70">
      <c r="A642" s="108">
        <v>640</v>
      </c>
      <c r="F642" s="45">
        <v>43149.174733796295</v>
      </c>
      <c r="G642" s="45">
        <v>43149.199548611112</v>
      </c>
      <c r="H642" s="38">
        <f>G642-F642-'user time'!AE97</f>
        <v>2.4131944446266124E-2</v>
      </c>
      <c r="I642" s="86">
        <v>50.32</v>
      </c>
      <c r="J642" s="109" t="s">
        <v>260</v>
      </c>
      <c r="K642" s="88" t="s">
        <v>72</v>
      </c>
      <c r="L642" s="88" t="s">
        <v>73</v>
      </c>
      <c r="M642" s="88">
        <v>-369</v>
      </c>
      <c r="N642" s="108">
        <v>1</v>
      </c>
      <c r="O642" s="108">
        <v>200</v>
      </c>
      <c r="P642" s="88">
        <v>348</v>
      </c>
      <c r="Q642" s="88" t="s">
        <v>75</v>
      </c>
      <c r="R642" s="88" t="s">
        <v>348</v>
      </c>
      <c r="S642" s="110">
        <v>10100</v>
      </c>
      <c r="T642" s="110">
        <v>930</v>
      </c>
      <c r="U642" s="88">
        <v>983</v>
      </c>
      <c r="V642" s="90">
        <v>1500</v>
      </c>
      <c r="W642" s="111">
        <v>10</v>
      </c>
      <c r="X642" s="110">
        <v>48748</v>
      </c>
      <c r="Y642" s="110">
        <v>843181</v>
      </c>
      <c r="Z642" s="110">
        <v>6655328</v>
      </c>
      <c r="AA642" s="110">
        <v>2068891</v>
      </c>
      <c r="AB642" s="112">
        <v>4614250</v>
      </c>
      <c r="AC642" s="109">
        <v>160.1</v>
      </c>
      <c r="AD642" s="110">
        <v>-109.8</v>
      </c>
      <c r="AE642" s="110">
        <v>3.93</v>
      </c>
      <c r="AF642" s="110">
        <v>-0.75</v>
      </c>
      <c r="AG642" s="110">
        <v>109.8</v>
      </c>
      <c r="AH642" s="110">
        <v>-110</v>
      </c>
      <c r="AI642" s="110">
        <v>3.71</v>
      </c>
      <c r="AJ642" s="109">
        <v>-0.34</v>
      </c>
      <c r="AK642" s="113" t="s">
        <v>59</v>
      </c>
      <c r="AL642" s="107" t="s">
        <v>738</v>
      </c>
      <c r="AN642" s="107">
        <v>0.94799999999999995</v>
      </c>
      <c r="AO642" s="48">
        <f t="shared" si="868"/>
        <v>78640934.091923073</v>
      </c>
      <c r="AP642" s="156">
        <f t="shared" si="869"/>
        <v>55048653.864346147</v>
      </c>
      <c r="AQ642" s="161">
        <f t="shared" si="874"/>
        <v>27699439441.917873</v>
      </c>
      <c r="AR642" s="163">
        <f t="shared" si="875"/>
        <v>12.400289351830573</v>
      </c>
      <c r="AS642" s="49">
        <f t="shared" si="870"/>
        <v>0.16973015873015873</v>
      </c>
      <c r="AT642" s="165">
        <f t="shared" si="876"/>
        <v>84.586869047618976</v>
      </c>
      <c r="AU642" s="254">
        <f t="shared" si="877"/>
        <v>196130.86679999999</v>
      </c>
      <c r="AV642" s="255">
        <f t="shared" si="878"/>
        <v>472183.23320000002</v>
      </c>
      <c r="AW642" s="256">
        <f t="shared" si="879"/>
        <v>0.41537024826319052</v>
      </c>
    </row>
    <row r="643" spans="1:70">
      <c r="A643" s="108">
        <v>641</v>
      </c>
      <c r="F643" s="45">
        <v>43149.209236111114</v>
      </c>
      <c r="G643" s="45">
        <v>43149.251608796294</v>
      </c>
      <c r="H643" s="38">
        <f>G643-F643-'user time'!AE99</f>
        <v>4.2164351847119808E-2</v>
      </c>
      <c r="I643" s="86">
        <v>50.19</v>
      </c>
      <c r="J643" s="109" t="s">
        <v>260</v>
      </c>
      <c r="K643" s="88" t="s">
        <v>72</v>
      </c>
      <c r="L643" s="88" t="s">
        <v>73</v>
      </c>
      <c r="M643" s="88">
        <v>-369</v>
      </c>
      <c r="N643" s="108">
        <v>1</v>
      </c>
      <c r="O643" s="108">
        <v>200</v>
      </c>
      <c r="P643" s="88">
        <v>348</v>
      </c>
      <c r="Q643" s="88" t="s">
        <v>75</v>
      </c>
      <c r="R643" s="88" t="s">
        <v>348</v>
      </c>
      <c r="S643" s="110">
        <v>10100</v>
      </c>
      <c r="T643" s="110">
        <v>910</v>
      </c>
      <c r="U643" s="88">
        <v>983</v>
      </c>
      <c r="V643" s="90">
        <v>1500</v>
      </c>
      <c r="W643" s="111">
        <v>10</v>
      </c>
      <c r="X643" s="110">
        <v>48435</v>
      </c>
      <c r="Y643" s="110">
        <v>845576</v>
      </c>
      <c r="Z643" s="110">
        <v>6680580</v>
      </c>
      <c r="AA643" s="110">
        <v>2077960</v>
      </c>
      <c r="AB643" s="112">
        <v>4630711</v>
      </c>
      <c r="AC643" s="109">
        <v>160.1</v>
      </c>
      <c r="AD643" s="110">
        <v>-109.8</v>
      </c>
      <c r="AE643" s="110">
        <v>3.93</v>
      </c>
      <c r="AF643" s="110">
        <v>-0.75</v>
      </c>
      <c r="AG643" s="110">
        <v>109.8</v>
      </c>
      <c r="AH643" s="110">
        <v>-110</v>
      </c>
      <c r="AI643" s="110">
        <v>3.7</v>
      </c>
      <c r="AJ643" s="109">
        <v>-0.34</v>
      </c>
      <c r="AK643" s="113" t="s">
        <v>59</v>
      </c>
      <c r="AL643" s="107" t="s">
        <v>181</v>
      </c>
      <c r="AN643" s="107">
        <v>0.95099999999999996</v>
      </c>
      <c r="AO643" s="48">
        <f t="shared" si="868"/>
        <v>138443805.27461538</v>
      </c>
      <c r="AP643" s="156">
        <f t="shared" si="869"/>
        <v>96910663.692230761</v>
      </c>
      <c r="AQ643" s="161">
        <f t="shared" si="874"/>
        <v>27796350105.610104</v>
      </c>
      <c r="AR643" s="163">
        <f t="shared" si="875"/>
        <v>12.442453703677693</v>
      </c>
      <c r="AS643" s="49">
        <f t="shared" si="870"/>
        <v>0.29874999999999996</v>
      </c>
      <c r="AT643" s="165">
        <f t="shared" si="876"/>
        <v>84.885619047618974</v>
      </c>
      <c r="AU643" s="254">
        <f t="shared" si="877"/>
        <v>197613.99599999998</v>
      </c>
      <c r="AV643" s="255">
        <f t="shared" si="878"/>
        <v>473253.10399999999</v>
      </c>
      <c r="AW643" s="256">
        <f t="shared" si="879"/>
        <v>0.41756513444864801</v>
      </c>
    </row>
    <row r="644" spans="1:70">
      <c r="A644" s="108">
        <v>642</v>
      </c>
      <c r="F644" s="45">
        <v>43149.251655092594</v>
      </c>
      <c r="G644" s="45">
        <v>43149.265370370369</v>
      </c>
      <c r="H644" s="38">
        <f>G644-F644</f>
        <v>1.3715277775190771E-2</v>
      </c>
      <c r="I644" s="86">
        <v>50.25</v>
      </c>
      <c r="J644" s="109" t="s">
        <v>260</v>
      </c>
      <c r="K644" s="88" t="s">
        <v>72</v>
      </c>
      <c r="L644" s="88" t="s">
        <v>73</v>
      </c>
      <c r="M644" s="88">
        <v>-369</v>
      </c>
      <c r="N644" s="108">
        <v>1</v>
      </c>
      <c r="O644" s="108">
        <v>200</v>
      </c>
      <c r="P644" s="88">
        <v>348</v>
      </c>
      <c r="Q644" s="88" t="s">
        <v>75</v>
      </c>
      <c r="R644" s="88" t="s">
        <v>348</v>
      </c>
      <c r="S644" s="110">
        <v>10245</v>
      </c>
      <c r="T644" s="110">
        <v>917</v>
      </c>
      <c r="U644" s="88">
        <v>983</v>
      </c>
      <c r="V644" s="90">
        <v>1500</v>
      </c>
      <c r="W644" s="111">
        <v>10</v>
      </c>
      <c r="X644" s="110">
        <v>48604</v>
      </c>
      <c r="Y644" s="110">
        <v>844182</v>
      </c>
      <c r="Z644" s="110">
        <v>6700242</v>
      </c>
      <c r="AA644" s="110">
        <v>2081208</v>
      </c>
      <c r="AB644" s="112">
        <v>4646496</v>
      </c>
      <c r="AC644" s="109">
        <v>160.1</v>
      </c>
      <c r="AD644" s="110">
        <v>-109.9</v>
      </c>
      <c r="AE644" s="110">
        <v>3.93</v>
      </c>
      <c r="AF644" s="110">
        <v>-0.75</v>
      </c>
      <c r="AG644" s="110">
        <v>109.8</v>
      </c>
      <c r="AH644" s="110">
        <v>-110</v>
      </c>
      <c r="AI644" s="110">
        <v>3.7</v>
      </c>
      <c r="AJ644" s="109">
        <v>-0.33</v>
      </c>
      <c r="AK644" s="113" t="s">
        <v>59</v>
      </c>
      <c r="AL644" s="107" t="s">
        <v>459</v>
      </c>
      <c r="AN644" s="107">
        <v>0.95</v>
      </c>
      <c r="AO644" s="48">
        <f t="shared" si="868"/>
        <v>45056152.038461536</v>
      </c>
      <c r="AP644" s="156">
        <f t="shared" si="869"/>
        <v>31539306.426923074</v>
      </c>
      <c r="AQ644" s="161">
        <f t="shared" si="874"/>
        <v>27827889412.037025</v>
      </c>
      <c r="AR644" s="163">
        <f t="shared" si="875"/>
        <v>12.456168981452883</v>
      </c>
      <c r="AS644" s="49">
        <f t="shared" si="870"/>
        <v>9.4717261904761901E-2</v>
      </c>
      <c r="AT644" s="165">
        <f t="shared" si="876"/>
        <v>84.980336309523736</v>
      </c>
      <c r="AU644" s="254">
        <f t="shared" si="877"/>
        <v>197714.75999999998</v>
      </c>
      <c r="AV644" s="255">
        <f t="shared" si="878"/>
        <v>475055.64</v>
      </c>
      <c r="AW644" s="256">
        <f t="shared" si="879"/>
        <v>0.41619284848402172</v>
      </c>
    </row>
    <row r="645" spans="1:70">
      <c r="A645" s="108">
        <v>643</v>
      </c>
      <c r="F645" s="45">
        <v>43149.2658912037</v>
      </c>
      <c r="G645" s="45">
        <v>43149.27</v>
      </c>
      <c r="H645" s="38">
        <f>G645-F645</f>
        <v>4.1087962963501923E-3</v>
      </c>
      <c r="I645" s="86">
        <v>50.49</v>
      </c>
      <c r="J645" s="109" t="s">
        <v>260</v>
      </c>
      <c r="K645" s="88" t="s">
        <v>72</v>
      </c>
      <c r="L645" s="88" t="s">
        <v>73</v>
      </c>
      <c r="M645" s="88">
        <v>-369</v>
      </c>
      <c r="N645" s="108">
        <v>1</v>
      </c>
      <c r="O645" s="108">
        <v>200</v>
      </c>
      <c r="P645" s="88">
        <v>348</v>
      </c>
      <c r="Q645" s="88" t="s">
        <v>75</v>
      </c>
      <c r="R645" s="88" t="s">
        <v>348</v>
      </c>
      <c r="S645" s="110">
        <v>10200</v>
      </c>
      <c r="T645" s="110">
        <v>980</v>
      </c>
      <c r="U645" s="88">
        <v>983</v>
      </c>
      <c r="V645" s="90">
        <v>1500</v>
      </c>
      <c r="W645" s="111">
        <v>10</v>
      </c>
      <c r="X645" s="110">
        <v>48608</v>
      </c>
      <c r="Y645" s="110">
        <v>843802</v>
      </c>
      <c r="Z645" s="110">
        <v>6699029</v>
      </c>
      <c r="AA645" s="110">
        <v>2084722</v>
      </c>
      <c r="AB645" s="112">
        <v>4642192</v>
      </c>
      <c r="AC645" s="109">
        <v>160.1</v>
      </c>
      <c r="AD645" s="110">
        <v>-109.9</v>
      </c>
      <c r="AE645" s="110">
        <v>3.93</v>
      </c>
      <c r="AF645" s="110">
        <v>-0.75</v>
      </c>
      <c r="AG645" s="110">
        <v>109.8</v>
      </c>
      <c r="AH645" s="110">
        <v>-110</v>
      </c>
      <c r="AI645" s="110">
        <v>3.7</v>
      </c>
      <c r="AJ645" s="109">
        <v>-0.34</v>
      </c>
      <c r="AK645" s="113" t="s">
        <v>59</v>
      </c>
      <c r="AL645" s="107" t="s">
        <v>762</v>
      </c>
      <c r="AN645" s="107">
        <f>AN644</f>
        <v>0.95</v>
      </c>
      <c r="AO645" s="48">
        <f t="shared" si="868"/>
        <v>13520624.89423077</v>
      </c>
      <c r="AP645" s="156">
        <f t="shared" si="869"/>
        <v>9464437.4259615391</v>
      </c>
      <c r="AQ645" s="161">
        <f t="shared" si="874"/>
        <v>27837353849.462986</v>
      </c>
      <c r="AR645" s="163">
        <f t="shared" si="875"/>
        <v>12.460277777749234</v>
      </c>
      <c r="AS645" s="49">
        <f t="shared" si="870"/>
        <v>2.5044642857142859E-2</v>
      </c>
      <c r="AT645" s="165">
        <f t="shared" si="876"/>
        <v>85.005380952380875</v>
      </c>
      <c r="AU645" s="254">
        <f t="shared" si="877"/>
        <v>198048.59</v>
      </c>
      <c r="AV645" s="255">
        <f t="shared" si="878"/>
        <v>474642.81</v>
      </c>
      <c r="AW645" s="256">
        <f t="shared" si="879"/>
        <v>0.41725816935897542</v>
      </c>
    </row>
    <row r="646" spans="1:70">
      <c r="A646" s="108">
        <v>644</v>
      </c>
      <c r="F646" s="45">
        <v>43149.278067129628</v>
      </c>
      <c r="G646" s="45">
        <v>43149.320335648146</v>
      </c>
      <c r="H646" s="38">
        <f>G646-F646-SUM('user time'!AE101:AE104)</f>
        <v>3.4837962962984581E-2</v>
      </c>
      <c r="I646" s="86">
        <v>50.4</v>
      </c>
      <c r="J646" s="109" t="s">
        <v>260</v>
      </c>
      <c r="K646" s="88" t="s">
        <v>72</v>
      </c>
      <c r="L646" s="88" t="s">
        <v>73</v>
      </c>
      <c r="M646" s="88">
        <v>-369</v>
      </c>
      <c r="N646" s="108">
        <v>1</v>
      </c>
      <c r="O646" s="108">
        <v>200</v>
      </c>
      <c r="P646" s="88">
        <v>348</v>
      </c>
      <c r="Q646" s="88" t="s">
        <v>75</v>
      </c>
      <c r="R646" s="88" t="s">
        <v>348</v>
      </c>
      <c r="S646" s="110">
        <v>10200</v>
      </c>
      <c r="T646" s="110">
        <v>918</v>
      </c>
      <c r="U646" s="88">
        <v>983</v>
      </c>
      <c r="V646" s="90">
        <v>1500</v>
      </c>
      <c r="W646" s="111">
        <v>10</v>
      </c>
      <c r="X646" s="110">
        <v>48303</v>
      </c>
      <c r="Y646" s="110">
        <v>844130</v>
      </c>
      <c r="Z646" s="110">
        <v>6684487</v>
      </c>
      <c r="AA646" s="110">
        <v>2080429</v>
      </c>
      <c r="AB646" s="112">
        <v>4631722</v>
      </c>
      <c r="AC646" s="109">
        <v>160.1</v>
      </c>
      <c r="AD646" s="110">
        <v>-109.9</v>
      </c>
      <c r="AE646" s="110">
        <v>3.93</v>
      </c>
      <c r="AF646" s="110">
        <v>-0.75</v>
      </c>
      <c r="AG646" s="110">
        <v>109.8</v>
      </c>
      <c r="AH646" s="110">
        <v>-110</v>
      </c>
      <c r="AI646" s="110">
        <v>3.7</v>
      </c>
      <c r="AJ646" s="109">
        <v>-0.34</v>
      </c>
      <c r="AK646" s="113" t="s">
        <v>59</v>
      </c>
      <c r="AL646" s="107" t="s">
        <v>760</v>
      </c>
      <c r="AN646" s="107">
        <v>0.94799999999999995</v>
      </c>
      <c r="AO646" s="48">
        <f t="shared" si="868"/>
        <v>114162741.20999999</v>
      </c>
      <c r="AP646" s="156">
        <f t="shared" si="869"/>
        <v>79913918.846999988</v>
      </c>
      <c r="AQ646" s="161">
        <f t="shared" si="874"/>
        <v>27917267768.309986</v>
      </c>
      <c r="AR646" s="163">
        <f t="shared" si="875"/>
        <v>12.495115740712219</v>
      </c>
      <c r="AS646" s="49">
        <f t="shared" si="870"/>
        <v>0.25</v>
      </c>
      <c r="AT646" s="165">
        <f t="shared" si="876"/>
        <v>85.255380952380875</v>
      </c>
      <c r="AU646" s="254">
        <f t="shared" si="877"/>
        <v>197224.66919999997</v>
      </c>
      <c r="AV646" s="255">
        <f t="shared" si="878"/>
        <v>473990.43080000003</v>
      </c>
      <c r="AW646" s="256">
        <f t="shared" si="879"/>
        <v>0.41609420018696286</v>
      </c>
    </row>
    <row r="647" spans="1:70">
      <c r="A647" s="108">
        <v>645</v>
      </c>
      <c r="F647" s="45">
        <v>43149.320347222223</v>
      </c>
      <c r="G647" s="45">
        <v>43149.362314814818</v>
      </c>
      <c r="H647" s="38">
        <f>G647-F647-'user time'!AE105-'user time'!AE106</f>
        <v>4.1319444446880516E-2</v>
      </c>
      <c r="I647" s="86">
        <v>50.47</v>
      </c>
      <c r="J647" s="109" t="s">
        <v>260</v>
      </c>
      <c r="K647" s="88" t="s">
        <v>72</v>
      </c>
      <c r="L647" s="88" t="s">
        <v>73</v>
      </c>
      <c r="M647" s="88">
        <v>-369</v>
      </c>
      <c r="N647" s="108">
        <v>1</v>
      </c>
      <c r="O647" s="108">
        <v>200</v>
      </c>
      <c r="P647" s="88">
        <v>348</v>
      </c>
      <c r="Q647" s="88" t="s">
        <v>75</v>
      </c>
      <c r="R647" s="88" t="s">
        <v>348</v>
      </c>
      <c r="S647" s="110">
        <v>10200</v>
      </c>
      <c r="T647" s="110">
        <v>940</v>
      </c>
      <c r="U647" s="88">
        <v>983</v>
      </c>
      <c r="V647" s="90">
        <v>1500</v>
      </c>
      <c r="W647" s="111">
        <v>10</v>
      </c>
      <c r="X647" s="110">
        <v>48682</v>
      </c>
      <c r="Y647" s="110">
        <v>845833</v>
      </c>
      <c r="Z647" s="110">
        <v>6707268</v>
      </c>
      <c r="AA647" s="110">
        <v>2090360</v>
      </c>
      <c r="AB647" s="112">
        <v>4644060</v>
      </c>
      <c r="AC647" s="109">
        <v>160.1</v>
      </c>
      <c r="AD647" s="110">
        <v>-109.9</v>
      </c>
      <c r="AE647" s="110">
        <v>3.93</v>
      </c>
      <c r="AF647" s="110">
        <v>-0.75</v>
      </c>
      <c r="AG647" s="110">
        <v>109.8</v>
      </c>
      <c r="AH647" s="110">
        <v>-110</v>
      </c>
      <c r="AI647" s="110">
        <v>3.7</v>
      </c>
      <c r="AJ647" s="109">
        <v>-0.34</v>
      </c>
      <c r="AK647" s="113" t="s">
        <v>59</v>
      </c>
      <c r="AL647" s="107" t="s">
        <v>181</v>
      </c>
      <c r="AN647" s="107">
        <v>0.95</v>
      </c>
      <c r="AO647" s="48">
        <f t="shared" ref="AO647:AO649" si="880">(HOUR(H647)*60*60+MINUTE(H647)*60+SECOND(H647))/5.2*AA647/W647*AN647</f>
        <v>136335691.15384614</v>
      </c>
      <c r="AP647" s="156">
        <f t="shared" ref="AP647:AP649" si="881">AO647*0.7</f>
        <v>95434983.807692289</v>
      </c>
      <c r="AQ647" s="161">
        <f t="shared" ref="AQ647:AQ649" si="882">AP647+AQ646</f>
        <v>28012702752.11768</v>
      </c>
      <c r="AR647" s="163">
        <f t="shared" ref="AR647:AR649" si="883">H647+AR646</f>
        <v>12.5364351851591</v>
      </c>
      <c r="AS647" s="49">
        <f t="shared" ref="AS647:AS649" si="884">I647*(HOUR(H647)*60+MINUTE(H647))/60/(7*24)</f>
        <v>0.29540972222222223</v>
      </c>
      <c r="AT647" s="165">
        <f t="shared" ref="AT647:AT649" si="885">AS647+AT646</f>
        <v>85.550790674603093</v>
      </c>
      <c r="AU647" s="254">
        <f t="shared" ref="AU647:AU649" si="886">AA647/W647*AN647</f>
        <v>198584.19999999998</v>
      </c>
      <c r="AV647" s="255">
        <f t="shared" ref="AV647:AV649" si="887">AB647/W647+AA647/W647*(1-AN647)</f>
        <v>474857.8</v>
      </c>
      <c r="AW647" s="256">
        <f t="shared" ref="AW647:AW649" si="888">AU647/AV647</f>
        <v>0.41819719503396591</v>
      </c>
    </row>
    <row r="648" spans="1:70">
      <c r="A648" s="108">
        <v>646</v>
      </c>
      <c r="F648" s="45">
        <v>43149.362372685187</v>
      </c>
      <c r="G648" s="45">
        <v>43149.403622685182</v>
      </c>
      <c r="H648" s="38">
        <f>G648-F648-SUM('user time'!AE107:AE109)</f>
        <v>3.7650462957724173E-2</v>
      </c>
      <c r="I648" s="86">
        <v>50.42</v>
      </c>
      <c r="J648" s="109" t="s">
        <v>260</v>
      </c>
      <c r="K648" s="88" t="s">
        <v>72</v>
      </c>
      <c r="L648" s="88" t="s">
        <v>73</v>
      </c>
      <c r="M648" s="88">
        <v>-369</v>
      </c>
      <c r="N648" s="108">
        <v>1</v>
      </c>
      <c r="O648" s="108">
        <v>200</v>
      </c>
      <c r="P648" s="88">
        <v>348</v>
      </c>
      <c r="Q648" s="88" t="s">
        <v>75</v>
      </c>
      <c r="R648" s="88" t="s">
        <v>348</v>
      </c>
      <c r="S648" s="110">
        <v>10100</v>
      </c>
      <c r="T648" s="110">
        <v>891</v>
      </c>
      <c r="U648" s="88">
        <v>983</v>
      </c>
      <c r="V648" s="90">
        <v>1500</v>
      </c>
      <c r="W648" s="111">
        <v>10</v>
      </c>
      <c r="X648" s="110">
        <v>49031</v>
      </c>
      <c r="Y648" s="110">
        <v>844953</v>
      </c>
      <c r="Z648" s="110">
        <v>6702730</v>
      </c>
      <c r="AA648" s="110">
        <v>2086227</v>
      </c>
      <c r="AB648" s="112">
        <v>4643237</v>
      </c>
      <c r="AC648" s="109">
        <v>160.1</v>
      </c>
      <c r="AD648" s="110">
        <v>-109.9</v>
      </c>
      <c r="AE648" s="110">
        <v>3.93</v>
      </c>
      <c r="AF648" s="110">
        <v>-0.75</v>
      </c>
      <c r="AG648" s="110">
        <v>109.8</v>
      </c>
      <c r="AH648" s="110">
        <v>-110</v>
      </c>
      <c r="AI648" s="110">
        <v>3.7</v>
      </c>
      <c r="AJ648" s="109">
        <v>-0.34</v>
      </c>
      <c r="AK648" s="113" t="s">
        <v>59</v>
      </c>
      <c r="AL648" s="107" t="s">
        <v>181</v>
      </c>
      <c r="AN648" s="107">
        <v>0.95199999999999996</v>
      </c>
      <c r="AO648" s="48">
        <f t="shared" si="880"/>
        <v>124245088.506</v>
      </c>
      <c r="AP648" s="156">
        <f t="shared" si="881"/>
        <v>86971561.9542</v>
      </c>
      <c r="AQ648" s="161">
        <f t="shared" si="882"/>
        <v>28099674314.07188</v>
      </c>
      <c r="AR648" s="163">
        <f t="shared" si="883"/>
        <v>12.574085648116824</v>
      </c>
      <c r="AS648" s="49">
        <f t="shared" si="884"/>
        <v>0.27010714285714288</v>
      </c>
      <c r="AT648" s="165">
        <f t="shared" si="885"/>
        <v>85.820897817460235</v>
      </c>
      <c r="AU648" s="254">
        <f t="shared" si="886"/>
        <v>198608.81040000002</v>
      </c>
      <c r="AV648" s="255">
        <f t="shared" si="887"/>
        <v>474337.58960000001</v>
      </c>
      <c r="AW648" s="256">
        <f t="shared" si="888"/>
        <v>0.4187077194693406</v>
      </c>
    </row>
    <row r="649" spans="1:70">
      <c r="A649" s="108">
        <v>647</v>
      </c>
      <c r="F649" s="45">
        <v>43149.403680555559</v>
      </c>
      <c r="G649" s="45">
        <v>43149.422071759262</v>
      </c>
      <c r="H649" s="38">
        <f>G649-F649</f>
        <v>1.8391203702776693E-2</v>
      </c>
      <c r="I649" s="86">
        <v>50.33</v>
      </c>
      <c r="J649" s="109" t="s">
        <v>260</v>
      </c>
      <c r="K649" s="88" t="s">
        <v>72</v>
      </c>
      <c r="L649" s="88" t="s">
        <v>73</v>
      </c>
      <c r="M649" s="88">
        <v>-369</v>
      </c>
      <c r="N649" s="108">
        <v>1</v>
      </c>
      <c r="O649" s="108">
        <v>200</v>
      </c>
      <c r="P649" s="88">
        <v>348</v>
      </c>
      <c r="Q649" s="88" t="s">
        <v>75</v>
      </c>
      <c r="R649" s="88" t="s">
        <v>348</v>
      </c>
      <c r="S649" s="110">
        <v>10100</v>
      </c>
      <c r="T649" s="110">
        <v>926</v>
      </c>
      <c r="U649" s="88">
        <v>983</v>
      </c>
      <c r="V649" s="90">
        <v>1500</v>
      </c>
      <c r="W649" s="111">
        <v>10</v>
      </c>
      <c r="X649" s="110">
        <v>48141</v>
      </c>
      <c r="Y649" s="110">
        <v>843739</v>
      </c>
      <c r="Z649" s="110">
        <v>6686655</v>
      </c>
      <c r="AA649" s="110">
        <v>2077329</v>
      </c>
      <c r="AB649" s="112">
        <v>4636462</v>
      </c>
      <c r="AC649" s="109">
        <v>160.1</v>
      </c>
      <c r="AD649" s="110">
        <v>-109.9</v>
      </c>
      <c r="AE649" s="110">
        <v>3.93</v>
      </c>
      <c r="AF649" s="110">
        <v>-0.75</v>
      </c>
      <c r="AG649" s="110">
        <v>109.8</v>
      </c>
      <c r="AH649" s="110">
        <v>-110</v>
      </c>
      <c r="AI649" s="110">
        <v>3.7</v>
      </c>
      <c r="AJ649" s="109">
        <v>-0.34</v>
      </c>
      <c r="AK649" s="113" t="s">
        <v>59</v>
      </c>
      <c r="AL649" s="107" t="s">
        <v>459</v>
      </c>
      <c r="AN649" s="107">
        <v>0.95</v>
      </c>
      <c r="AO649" s="48">
        <f t="shared" si="880"/>
        <v>60304461.383653849</v>
      </c>
      <c r="AP649" s="156">
        <f t="shared" si="881"/>
        <v>42213122.968557693</v>
      </c>
      <c r="AQ649" s="161">
        <f t="shared" si="882"/>
        <v>28141887437.04044</v>
      </c>
      <c r="AR649" s="163">
        <f t="shared" si="883"/>
        <v>12.592476851819601</v>
      </c>
      <c r="AS649" s="49">
        <f t="shared" si="884"/>
        <v>0.12981944444444443</v>
      </c>
      <c r="AT649" s="165">
        <f t="shared" si="885"/>
        <v>85.950717261904686</v>
      </c>
      <c r="AU649" s="254">
        <f t="shared" si="886"/>
        <v>197346.25499999998</v>
      </c>
      <c r="AV649" s="255">
        <f t="shared" si="887"/>
        <v>474032.84500000003</v>
      </c>
      <c r="AW649" s="256">
        <f t="shared" si="888"/>
        <v>0.41631346241419193</v>
      </c>
    </row>
    <row r="650" spans="1:70">
      <c r="A650" s="108">
        <v>648</v>
      </c>
      <c r="F650" s="45">
        <v>43149.422638888886</v>
      </c>
      <c r="G650" s="45">
        <v>43149.463935185187</v>
      </c>
      <c r="H650" s="38">
        <f>G650-F650</f>
        <v>4.129629630187992E-2</v>
      </c>
      <c r="I650" s="86">
        <v>50.45</v>
      </c>
      <c r="J650" s="109" t="s">
        <v>260</v>
      </c>
      <c r="K650" s="88" t="s">
        <v>72</v>
      </c>
      <c r="L650" s="88" t="s">
        <v>73</v>
      </c>
      <c r="M650" s="88">
        <v>-369</v>
      </c>
      <c r="N650" s="108">
        <v>1</v>
      </c>
      <c r="O650" s="108">
        <v>200</v>
      </c>
      <c r="P650" s="88">
        <v>348</v>
      </c>
      <c r="Q650" s="88" t="s">
        <v>75</v>
      </c>
      <c r="R650" s="88" t="s">
        <v>348</v>
      </c>
      <c r="S650" s="110">
        <v>10100</v>
      </c>
      <c r="T650" s="110">
        <v>917</v>
      </c>
      <c r="U650" s="88">
        <v>983</v>
      </c>
      <c r="V650" s="90">
        <v>1500</v>
      </c>
      <c r="W650" s="111">
        <v>10</v>
      </c>
      <c r="X650" s="110">
        <v>48806</v>
      </c>
      <c r="Y650" s="110">
        <v>846703</v>
      </c>
      <c r="Z650" s="110">
        <v>6668030</v>
      </c>
      <c r="AA650" s="110">
        <v>2078206</v>
      </c>
      <c r="AB650" s="112">
        <v>4616392</v>
      </c>
      <c r="AC650" s="109">
        <v>160.1</v>
      </c>
      <c r="AD650" s="110">
        <v>-109.9</v>
      </c>
      <c r="AE650" s="110">
        <v>3.93</v>
      </c>
      <c r="AF650" s="110">
        <v>-0.75</v>
      </c>
      <c r="AG650" s="110">
        <v>109.8</v>
      </c>
      <c r="AH650" s="110">
        <v>-110.1</v>
      </c>
      <c r="AI650" s="110">
        <v>3.7</v>
      </c>
      <c r="AJ650" s="109">
        <v>-0.34</v>
      </c>
      <c r="AK650" s="113" t="s">
        <v>59</v>
      </c>
      <c r="AL650" s="107" t="s">
        <v>181</v>
      </c>
      <c r="AN650" s="107">
        <v>0.95199999999999996</v>
      </c>
      <c r="AO650" s="48">
        <f t="shared" ref="AO650" si="889">(HOUR(H650)*60*60+MINUTE(H650)*60+SECOND(H650))/5.2*AA650/W650*AN650</f>
        <v>135752252.60799998</v>
      </c>
      <c r="AP650" s="156">
        <f t="shared" ref="AP650" si="890">AO650*0.7</f>
        <v>95026576.825599983</v>
      </c>
      <c r="AQ650" s="161">
        <f t="shared" ref="AQ650" si="891">AP650+AQ649</f>
        <v>28236914013.866039</v>
      </c>
      <c r="AR650" s="163">
        <f t="shared" ref="AR650" si="892">H650+AR649</f>
        <v>12.633773148121481</v>
      </c>
      <c r="AS650" s="49">
        <f t="shared" ref="AS650" si="893">I650*(HOUR(H650)*60+MINUTE(H650))/60/(7*24)</f>
        <v>0.29529265873015875</v>
      </c>
      <c r="AT650" s="165">
        <f t="shared" ref="AT650" si="894">AS650+AT649</f>
        <v>86.246009920634847</v>
      </c>
      <c r="AU650" s="254">
        <f t="shared" ref="AU650" si="895">AA650/W650*AN650</f>
        <v>197845.21119999999</v>
      </c>
      <c r="AV650" s="255">
        <f t="shared" ref="AV650" si="896">AB650/W650+AA650/W650*(1-AN650)</f>
        <v>471614.58880000003</v>
      </c>
      <c r="AW650" s="256">
        <f t="shared" ref="AW650" si="897">AU650/AV650</f>
        <v>0.41950613042613322</v>
      </c>
    </row>
    <row r="651" spans="1:70">
      <c r="A651" s="108">
        <v>649</v>
      </c>
      <c r="F651" s="45">
        <v>43149.463993055557</v>
      </c>
      <c r="G651" s="45">
        <v>43149.505960648145</v>
      </c>
      <c r="H651" s="38">
        <f>G651-F651-SUM('user time'!AE110:AE112)</f>
        <v>4.098379629145632E-2</v>
      </c>
      <c r="I651" s="86">
        <v>50.34</v>
      </c>
      <c r="J651" s="109" t="s">
        <v>260</v>
      </c>
      <c r="K651" s="88" t="s">
        <v>72</v>
      </c>
      <c r="L651" s="88" t="s">
        <v>73</v>
      </c>
      <c r="M651" s="88">
        <v>-369</v>
      </c>
      <c r="N651" s="108">
        <v>1</v>
      </c>
      <c r="O651" s="108">
        <v>200</v>
      </c>
      <c r="P651" s="88">
        <v>348</v>
      </c>
      <c r="Q651" s="88" t="s">
        <v>75</v>
      </c>
      <c r="R651" s="88" t="s">
        <v>348</v>
      </c>
      <c r="S651" s="110">
        <v>10200</v>
      </c>
      <c r="T651" s="110">
        <v>900</v>
      </c>
      <c r="U651" s="88">
        <v>983</v>
      </c>
      <c r="V651" s="90">
        <v>1500</v>
      </c>
      <c r="W651" s="111">
        <v>10</v>
      </c>
      <c r="X651" s="110">
        <v>48565</v>
      </c>
      <c r="Y651" s="110">
        <v>846255</v>
      </c>
      <c r="Z651" s="110">
        <v>6728375</v>
      </c>
      <c r="AA651" s="110">
        <v>2093702</v>
      </c>
      <c r="AB651" s="112">
        <v>4661397</v>
      </c>
      <c r="AC651" s="109">
        <v>160.1</v>
      </c>
      <c r="AD651" s="110">
        <v>-109.9</v>
      </c>
      <c r="AE651" s="110">
        <v>3.93</v>
      </c>
      <c r="AF651" s="110">
        <v>-0.75</v>
      </c>
      <c r="AG651" s="110">
        <v>109.8</v>
      </c>
      <c r="AH651" s="110">
        <v>-110</v>
      </c>
      <c r="AI651" s="110">
        <v>3.7</v>
      </c>
      <c r="AJ651" s="109">
        <v>-0.34</v>
      </c>
      <c r="AK651" s="113" t="s">
        <v>59</v>
      </c>
      <c r="AL651" s="107" t="s">
        <v>181</v>
      </c>
      <c r="AN651" s="107">
        <v>0.95399999999999996</v>
      </c>
      <c r="AO651" s="48">
        <f t="shared" ref="AO651" si="898">(HOUR(H651)*60*60+MINUTE(H651)*60+SECOND(H651))/5.2*AA651/W651*AN651</f>
        <v>136014693.039</v>
      </c>
      <c r="AP651" s="156">
        <f t="shared" ref="AP651" si="899">AO651*0.7</f>
        <v>95210285.127299994</v>
      </c>
      <c r="AQ651" s="161">
        <f t="shared" ref="AQ651" si="900">AP651+AQ650</f>
        <v>28332124298.99334</v>
      </c>
      <c r="AR651" s="163">
        <f t="shared" ref="AR651" si="901">H651+AR650</f>
        <v>12.674756944412938</v>
      </c>
      <c r="AS651" s="49">
        <f t="shared" ref="AS651" si="902">I651*(HOUR(H651)*60+MINUTE(H651))/60/(7*24)</f>
        <v>0.29464880952380956</v>
      </c>
      <c r="AT651" s="165">
        <f t="shared" ref="AT651" si="903">AS651+AT650</f>
        <v>86.540658730158654</v>
      </c>
      <c r="AU651" s="254">
        <f t="shared" ref="AU651" si="904">AA651/W651*AN651</f>
        <v>199739.17079999999</v>
      </c>
      <c r="AV651" s="255">
        <f t="shared" ref="AV651" si="905">AB651/W651+AA651/W651*(1-AN651)</f>
        <v>475770.7292</v>
      </c>
      <c r="AW651" s="256">
        <f t="shared" ref="AW651" si="906">AU651/AV651</f>
        <v>0.41982231890527993</v>
      </c>
    </row>
    <row r="652" spans="1:70">
      <c r="A652" s="108">
        <v>650</v>
      </c>
      <c r="F652" s="45">
        <v>43149.506030092591</v>
      </c>
      <c r="G652" s="45">
        <v>43149.548344907409</v>
      </c>
      <c r="H652" s="38">
        <f>G652-F652</f>
        <v>4.2314814818382729E-2</v>
      </c>
      <c r="I652" s="86">
        <v>50.29</v>
      </c>
      <c r="J652" s="109" t="s">
        <v>260</v>
      </c>
      <c r="K652" s="88" t="s">
        <v>72</v>
      </c>
      <c r="L652" s="88" t="s">
        <v>73</v>
      </c>
      <c r="M652" s="88">
        <v>-369</v>
      </c>
      <c r="N652" s="108">
        <v>1</v>
      </c>
      <c r="O652" s="108">
        <v>200</v>
      </c>
      <c r="P652" s="88">
        <v>348</v>
      </c>
      <c r="Q652" s="88" t="s">
        <v>75</v>
      </c>
      <c r="R652" s="88" t="s">
        <v>348</v>
      </c>
      <c r="S652" s="110">
        <v>10200</v>
      </c>
      <c r="T652" s="110">
        <v>925</v>
      </c>
      <c r="U652" s="88">
        <v>983</v>
      </c>
      <c r="V652" s="90">
        <v>1500</v>
      </c>
      <c r="W652" s="111">
        <v>10</v>
      </c>
      <c r="X652" s="110">
        <v>48360</v>
      </c>
      <c r="Y652" s="110">
        <v>844887</v>
      </c>
      <c r="Z652" s="110">
        <v>6722143</v>
      </c>
      <c r="AA652" s="110">
        <v>2092732</v>
      </c>
      <c r="AB652" s="112">
        <v>4656991</v>
      </c>
      <c r="AC652" s="109">
        <v>160.1</v>
      </c>
      <c r="AD652" s="110">
        <v>-109.9</v>
      </c>
      <c r="AE652" s="110">
        <v>3.93</v>
      </c>
      <c r="AF652" s="110">
        <v>-0.75</v>
      </c>
      <c r="AG652" s="110">
        <v>109.8</v>
      </c>
      <c r="AH652" s="110">
        <v>-110.1</v>
      </c>
      <c r="AI652" s="110">
        <v>3.7</v>
      </c>
      <c r="AJ652" s="109">
        <v>-0.34</v>
      </c>
      <c r="AK652" s="113" t="s">
        <v>59</v>
      </c>
      <c r="AL652" s="107" t="s">
        <v>181</v>
      </c>
      <c r="AN652" s="107">
        <v>0.95399999999999996</v>
      </c>
      <c r="AO652" s="48">
        <f t="shared" ref="AO652" si="907">(HOUR(H652)*60*60+MINUTE(H652)*60+SECOND(H652))/5.2*AA652/W652*AN652</f>
        <v>140366940.29169229</v>
      </c>
      <c r="AP652" s="156">
        <f t="shared" ref="AP652" si="908">AO652*0.7</f>
        <v>98256858.204184592</v>
      </c>
      <c r="AQ652" s="161">
        <f t="shared" ref="AQ652" si="909">AP652+AQ651</f>
        <v>28430381157.197525</v>
      </c>
      <c r="AR652" s="163">
        <f t="shared" ref="AR652" si="910">H652+AR651</f>
        <v>12.71707175923132</v>
      </c>
      <c r="AS652" s="49">
        <f t="shared" ref="AS652" si="911">I652*(HOUR(H652)*60+MINUTE(H652))/60/(7*24)</f>
        <v>0.29934523809523811</v>
      </c>
      <c r="AT652" s="165">
        <f t="shared" ref="AT652" si="912">AS652+AT651</f>
        <v>86.840003968253896</v>
      </c>
      <c r="AU652" s="254">
        <f t="shared" ref="AU652" si="913">AA652/W652*AN652</f>
        <v>199646.63279999999</v>
      </c>
      <c r="AV652" s="255">
        <f t="shared" ref="AV652" si="914">AB652/W652+AA652/W652*(1-AN652)</f>
        <v>475325.66719999997</v>
      </c>
      <c r="AW652" s="256">
        <f t="shared" ref="AW652" si="915">AU652/AV652</f>
        <v>0.42002072805379531</v>
      </c>
    </row>
    <row r="653" spans="1:70">
      <c r="A653" s="108">
        <v>651</v>
      </c>
      <c r="F653" s="45">
        <v>43149.548402777778</v>
      </c>
      <c r="G653" s="45">
        <v>43149.58971064815</v>
      </c>
      <c r="H653" s="38">
        <f>G653-F653-'user time'!AE113</f>
        <v>4.079861111212435E-2</v>
      </c>
      <c r="I653" s="86">
        <v>50.47</v>
      </c>
      <c r="J653" s="109" t="s">
        <v>260</v>
      </c>
      <c r="K653" s="88" t="s">
        <v>72</v>
      </c>
      <c r="L653" s="88" t="s">
        <v>73</v>
      </c>
      <c r="M653" s="88">
        <v>-369</v>
      </c>
      <c r="N653" s="108">
        <v>1</v>
      </c>
      <c r="O653" s="108">
        <v>200</v>
      </c>
      <c r="P653" s="88">
        <v>348</v>
      </c>
      <c r="Q653" s="88" t="s">
        <v>75</v>
      </c>
      <c r="R653" s="88" t="s">
        <v>348</v>
      </c>
      <c r="S653" s="110">
        <v>10100</v>
      </c>
      <c r="T653" s="110">
        <v>931</v>
      </c>
      <c r="U653" s="88">
        <v>983</v>
      </c>
      <c r="V653" s="90">
        <v>1500</v>
      </c>
      <c r="W653" s="111">
        <v>10</v>
      </c>
      <c r="X653" s="110">
        <v>48433</v>
      </c>
      <c r="Y653" s="110">
        <v>845365</v>
      </c>
      <c r="Z653" s="110">
        <v>6790270</v>
      </c>
      <c r="AA653" s="110">
        <v>2112270</v>
      </c>
      <c r="AB653" s="112">
        <v>4705341</v>
      </c>
      <c r="AC653" s="109">
        <v>160.1</v>
      </c>
      <c r="AD653" s="110">
        <v>-110</v>
      </c>
      <c r="AE653" s="110">
        <v>3.94</v>
      </c>
      <c r="AF653" s="110">
        <v>-0.76</v>
      </c>
      <c r="AG653" s="110">
        <v>109.8</v>
      </c>
      <c r="AH653" s="110">
        <v>-110</v>
      </c>
      <c r="AI653" s="110">
        <v>3.71</v>
      </c>
      <c r="AJ653" s="109">
        <v>-0.34</v>
      </c>
      <c r="AK653" s="113" t="s">
        <v>59</v>
      </c>
      <c r="AL653" s="107" t="s">
        <v>181</v>
      </c>
      <c r="AN653" s="107">
        <v>0.95199999999999996</v>
      </c>
      <c r="AO653" s="48">
        <f t="shared" ref="AO653" si="916">(HOUR(H653)*60*60+MINUTE(H653)*60+SECOND(H653))/5.2*AA653/W653*AN653</f>
        <v>136314532.03846154</v>
      </c>
      <c r="AP653" s="156">
        <f t="shared" ref="AP653" si="917">AO653*0.7</f>
        <v>95420172.426923066</v>
      </c>
      <c r="AQ653" s="161">
        <f t="shared" ref="AQ653" si="918">AP653+AQ652</f>
        <v>28525801329.624447</v>
      </c>
      <c r="AR653" s="163">
        <f t="shared" ref="AR653" si="919">H653+AR652</f>
        <v>12.757870370343445</v>
      </c>
      <c r="AS653" s="49">
        <f t="shared" ref="AS653" si="920">I653*(HOUR(H653)*60+MINUTE(H653))/60/(7*24)</f>
        <v>0.29040277777777773</v>
      </c>
      <c r="AT653" s="165">
        <f t="shared" ref="AT653" si="921">AS653+AT652</f>
        <v>87.130406746031667</v>
      </c>
      <c r="AU653" s="254">
        <f t="shared" ref="AU653" si="922">AA653/W653*AN653</f>
        <v>201088.10399999999</v>
      </c>
      <c r="AV653" s="255">
        <f t="shared" ref="AV653" si="923">AB653/W653+AA653/W653*(1-AN653)</f>
        <v>480672.99599999998</v>
      </c>
      <c r="AW653" s="256">
        <f t="shared" ref="AW653" si="924">AU653/AV653</f>
        <v>0.41834699613539345</v>
      </c>
    </row>
    <row r="654" spans="1:70">
      <c r="A654" s="108">
        <v>652</v>
      </c>
      <c r="F654" s="45">
        <v>43149.589756944442</v>
      </c>
      <c r="G654" s="45">
        <v>43149.631724537037</v>
      </c>
      <c r="H654" s="38">
        <f>G654-F654</f>
        <v>4.1967592595028691E-2</v>
      </c>
      <c r="I654" s="86">
        <v>50.37</v>
      </c>
      <c r="J654" s="109" t="s">
        <v>260</v>
      </c>
      <c r="K654" s="88" t="s">
        <v>72</v>
      </c>
      <c r="L654" s="88" t="s">
        <v>73</v>
      </c>
      <c r="M654" s="88">
        <v>-369</v>
      </c>
      <c r="N654" s="108">
        <v>1</v>
      </c>
      <c r="O654" s="108">
        <v>200</v>
      </c>
      <c r="P654" s="88">
        <v>348</v>
      </c>
      <c r="Q654" s="88" t="s">
        <v>75</v>
      </c>
      <c r="R654" s="88" t="s">
        <v>348</v>
      </c>
      <c r="S654" s="110">
        <v>10200</v>
      </c>
      <c r="T654" s="110">
        <v>934</v>
      </c>
      <c r="U654" s="88">
        <v>983</v>
      </c>
      <c r="V654" s="90">
        <v>1500</v>
      </c>
      <c r="W654" s="111">
        <v>10</v>
      </c>
      <c r="X654" s="110">
        <v>48879</v>
      </c>
      <c r="Y654" s="110">
        <v>845444</v>
      </c>
      <c r="Z654" s="110">
        <v>6762701</v>
      </c>
      <c r="AA654" s="110">
        <v>2111092</v>
      </c>
      <c r="AB654" s="112">
        <v>4679629</v>
      </c>
      <c r="AC654" s="109">
        <v>160.1</v>
      </c>
      <c r="AD654" s="110">
        <v>-110</v>
      </c>
      <c r="AE654" s="110">
        <v>3.93</v>
      </c>
      <c r="AF654" s="110">
        <v>-0.76</v>
      </c>
      <c r="AG654" s="110">
        <v>109.8</v>
      </c>
      <c r="AH654" s="110">
        <v>-110</v>
      </c>
      <c r="AI654" s="110">
        <v>3.71</v>
      </c>
      <c r="AJ654" s="109">
        <v>-0.34</v>
      </c>
      <c r="AK654" s="113" t="s">
        <v>59</v>
      </c>
      <c r="AL654" s="107" t="s">
        <v>181</v>
      </c>
      <c r="AM654" s="260"/>
      <c r="AN654" s="157">
        <v>0.95299999999999996</v>
      </c>
      <c r="AO654" s="48">
        <f t="shared" ref="AO654" si="925">(HOUR(H654)*60*60+MINUTE(H654)*60+SECOND(H654))/5.2*AA654/W654*AN654</f>
        <v>140289289.83030769</v>
      </c>
      <c r="AP654" s="156">
        <f t="shared" ref="AP654" si="926">AO654*0.7</f>
        <v>98202502.881215379</v>
      </c>
      <c r="AQ654" s="161">
        <f t="shared" ref="AQ654" si="927">AP654+AQ653</f>
        <v>28624003832.505661</v>
      </c>
      <c r="AR654" s="163">
        <f t="shared" ref="AR654" si="928">H654+AR653</f>
        <v>12.799837962938474</v>
      </c>
      <c r="AS654" s="49">
        <f t="shared" ref="AS654" si="929">I654*(HOUR(H654)*60+MINUTE(H654))/60/(7*24)</f>
        <v>0.29982142857142857</v>
      </c>
      <c r="AT654" s="165">
        <f t="shared" ref="AT654" si="930">AS654+AT653</f>
        <v>87.430228174603101</v>
      </c>
      <c r="AU654" s="254">
        <f t="shared" ref="AU654" si="931">AA654/W654*AN654</f>
        <v>201187.06760000001</v>
      </c>
      <c r="AV654" s="255">
        <f t="shared" ref="AV654" si="932">AB654/W654+AA654/W654*(1-AN654)</f>
        <v>477885.03240000003</v>
      </c>
      <c r="AW654" s="256">
        <f t="shared" ref="AW654" si="933">AU654/AV654</f>
        <v>0.42099470366253722</v>
      </c>
    </row>
    <row r="655" spans="1:70">
      <c r="A655" s="108">
        <v>653</v>
      </c>
      <c r="F655" s="45">
        <v>43149.631782407407</v>
      </c>
      <c r="G655" s="45">
        <v>43149.673761574071</v>
      </c>
      <c r="H655" s="38">
        <f>G655-F655-'user time'!AE114</f>
        <v>4.1689814812680526E-2</v>
      </c>
      <c r="I655" s="86">
        <v>50.28</v>
      </c>
      <c r="J655" s="109" t="s">
        <v>260</v>
      </c>
      <c r="K655" s="88" t="s">
        <v>72</v>
      </c>
      <c r="L655" s="88" t="s">
        <v>73</v>
      </c>
      <c r="M655" s="88">
        <v>-369</v>
      </c>
      <c r="N655" s="108">
        <v>1</v>
      </c>
      <c r="O655" s="108">
        <v>200</v>
      </c>
      <c r="P655" s="88">
        <v>348</v>
      </c>
      <c r="Q655" s="88" t="s">
        <v>75</v>
      </c>
      <c r="R655" s="88" t="s">
        <v>348</v>
      </c>
      <c r="S655" s="110">
        <v>10100</v>
      </c>
      <c r="T655" s="110">
        <v>910</v>
      </c>
      <c r="U655" s="88">
        <v>983</v>
      </c>
      <c r="V655" s="90">
        <v>1500</v>
      </c>
      <c r="W655" s="111">
        <v>10</v>
      </c>
      <c r="X655" s="110">
        <v>48895</v>
      </c>
      <c r="Y655" s="110">
        <v>845720</v>
      </c>
      <c r="Z655" s="110">
        <v>6741105</v>
      </c>
      <c r="AA655" s="110">
        <v>2105150</v>
      </c>
      <c r="AB655" s="112">
        <v>4663947</v>
      </c>
      <c r="AC655" s="109">
        <v>160</v>
      </c>
      <c r="AD655" s="110">
        <v>-110</v>
      </c>
      <c r="AE655" s="110">
        <v>3.94</v>
      </c>
      <c r="AF655" s="110">
        <v>-0.76</v>
      </c>
      <c r="AG655" s="110">
        <v>109.8</v>
      </c>
      <c r="AH655" s="110">
        <v>-110</v>
      </c>
      <c r="AI655" s="110">
        <v>3.71</v>
      </c>
      <c r="AJ655" s="109">
        <v>-0.34</v>
      </c>
      <c r="AK655" s="113" t="s">
        <v>59</v>
      </c>
      <c r="AL655" s="107" t="s">
        <v>181</v>
      </c>
      <c r="AM655" s="116"/>
      <c r="AN655" s="157">
        <v>0.95099999999999996</v>
      </c>
      <c r="AO655" s="48">
        <f t="shared" ref="AO655" si="934">(HOUR(H655)*60*60+MINUTE(H655)*60+SECOND(H655))/5.2*AA655/W655*AN655</f>
        <v>138676837.21730769</v>
      </c>
      <c r="AP655" s="156">
        <f t="shared" ref="AP655" si="935">AO655*0.7</f>
        <v>97073786.052115381</v>
      </c>
      <c r="AQ655" s="161">
        <f t="shared" ref="AQ655" si="936">AP655+AQ654</f>
        <v>28721077618.557777</v>
      </c>
      <c r="AR655" s="163">
        <f t="shared" ref="AR655" si="937">H655+AR654</f>
        <v>12.841527777751155</v>
      </c>
      <c r="AS655" s="49">
        <f t="shared" ref="AS655" si="938">I655*(HOUR(H655)*60+MINUTE(H655))/60/(7*24)</f>
        <v>0.29928571428571427</v>
      </c>
      <c r="AT655" s="165">
        <f t="shared" ref="AT655" si="939">AS655+AT654</f>
        <v>87.729513888888818</v>
      </c>
      <c r="AU655" s="254">
        <f t="shared" ref="AU655" si="940">AA655/W655*AN655</f>
        <v>200199.76499999998</v>
      </c>
      <c r="AV655" s="255">
        <f t="shared" ref="AV655" si="941">AB655/W655+AA655/W655*(1-AN655)</f>
        <v>476709.935</v>
      </c>
      <c r="AW655" s="256">
        <f t="shared" ref="AW655" si="942">AU655/AV655</f>
        <v>0.41996138595265481</v>
      </c>
    </row>
    <row r="656" spans="1:70" s="149" customFormat="1">
      <c r="A656" s="138">
        <v>654</v>
      </c>
      <c r="F656" s="133">
        <v>43149.67527777778</v>
      </c>
      <c r="G656" s="133">
        <v>43149.67633101852</v>
      </c>
      <c r="H656" s="245">
        <f>G656-F656</f>
        <v>1.0532407395658083E-3</v>
      </c>
      <c r="I656" s="135">
        <v>50.28</v>
      </c>
      <c r="J656" s="136" t="s">
        <v>260</v>
      </c>
      <c r="K656" s="137" t="s">
        <v>72</v>
      </c>
      <c r="L656" s="137" t="s">
        <v>73</v>
      </c>
      <c r="M656" s="137">
        <v>-369</v>
      </c>
      <c r="N656" s="138">
        <v>1</v>
      </c>
      <c r="O656" s="138">
        <v>200</v>
      </c>
      <c r="P656" s="137">
        <v>348</v>
      </c>
      <c r="Q656" s="137" t="s">
        <v>774</v>
      </c>
      <c r="R656" s="235" t="s">
        <v>775</v>
      </c>
      <c r="S656" s="139"/>
      <c r="T656" s="139"/>
      <c r="U656" s="137">
        <v>983</v>
      </c>
      <c r="V656" s="140">
        <v>1500</v>
      </c>
      <c r="W656" s="141"/>
      <c r="X656" s="139"/>
      <c r="Y656" s="139"/>
      <c r="Z656" s="139"/>
      <c r="AA656" s="139"/>
      <c r="AB656" s="142"/>
      <c r="AC656" s="136">
        <v>160</v>
      </c>
      <c r="AD656" s="139">
        <v>-110</v>
      </c>
      <c r="AE656" s="139">
        <v>3.94</v>
      </c>
      <c r="AF656" s="139">
        <v>-0.76</v>
      </c>
      <c r="AG656" s="139">
        <v>109.8</v>
      </c>
      <c r="AH656" s="139">
        <v>-110</v>
      </c>
      <c r="AI656" s="139">
        <v>3.71</v>
      </c>
      <c r="AJ656" s="136">
        <v>-0.34</v>
      </c>
      <c r="AK656" s="143"/>
      <c r="AL656" s="144" t="s">
        <v>779</v>
      </c>
      <c r="AM656" s="145"/>
      <c r="AN656" s="144"/>
      <c r="AO656" s="151"/>
      <c r="AP656" s="146"/>
      <c r="AQ656" s="160"/>
      <c r="AR656" s="162"/>
      <c r="AS656" s="147"/>
      <c r="AT656" s="164"/>
      <c r="AU656" s="147"/>
      <c r="AV656" s="147"/>
      <c r="AW656" s="139"/>
      <c r="AX656" s="139"/>
      <c r="AY656" s="139"/>
      <c r="AZ656" s="139"/>
      <c r="BA656" s="147"/>
      <c r="BB656" s="142"/>
      <c r="BC656" s="148"/>
      <c r="BD656" s="148"/>
      <c r="BE656" s="148"/>
      <c r="BF656" s="148"/>
      <c r="BG656" s="148"/>
      <c r="BH656" s="148"/>
      <c r="BI656" s="148"/>
      <c r="BJ656" s="148"/>
      <c r="BK656" s="148"/>
      <c r="BL656" s="148"/>
      <c r="BM656" s="148"/>
      <c r="BN656" s="148"/>
      <c r="BO656" s="148"/>
      <c r="BP656" s="148"/>
      <c r="BQ656" s="148"/>
      <c r="BR656" s="148"/>
    </row>
    <row r="657" spans="1:70" s="190" customFormat="1">
      <c r="A657" s="176">
        <v>655</v>
      </c>
      <c r="F657" s="171">
        <v>43149.677106481482</v>
      </c>
      <c r="G657" s="171">
        <v>43149.679652777777</v>
      </c>
      <c r="H657" s="247">
        <f t="shared" ref="H657:H658" si="943">G657-F657</f>
        <v>2.5462962948950008E-3</v>
      </c>
      <c r="I657" s="173">
        <v>50.28</v>
      </c>
      <c r="J657" s="174" t="s">
        <v>260</v>
      </c>
      <c r="K657" s="175" t="s">
        <v>72</v>
      </c>
      <c r="L657" s="175" t="s">
        <v>73</v>
      </c>
      <c r="M657" s="175">
        <v>-369</v>
      </c>
      <c r="N657" s="176">
        <v>1</v>
      </c>
      <c r="O657" s="176">
        <v>200</v>
      </c>
      <c r="P657" s="175">
        <v>348</v>
      </c>
      <c r="Q657" s="175" t="s">
        <v>774</v>
      </c>
      <c r="R657" s="230" t="s">
        <v>775</v>
      </c>
      <c r="S657" s="177"/>
      <c r="T657" s="177"/>
      <c r="U657" s="175">
        <v>983</v>
      </c>
      <c r="V657" s="178">
        <v>1500</v>
      </c>
      <c r="W657" s="179"/>
      <c r="X657" s="177"/>
      <c r="Y657" s="177"/>
      <c r="Z657" s="177"/>
      <c r="AA657" s="177"/>
      <c r="AB657" s="180"/>
      <c r="AC657" s="174">
        <v>160</v>
      </c>
      <c r="AD657" s="177">
        <v>-110</v>
      </c>
      <c r="AE657" s="177">
        <v>3.94</v>
      </c>
      <c r="AF657" s="177">
        <v>-0.76</v>
      </c>
      <c r="AG657" s="177">
        <v>109.8</v>
      </c>
      <c r="AH657" s="177">
        <v>-110</v>
      </c>
      <c r="AI657" s="177">
        <v>3.71</v>
      </c>
      <c r="AJ657" s="174">
        <v>-0.34</v>
      </c>
      <c r="AK657" s="181"/>
      <c r="AL657" s="182" t="s">
        <v>777</v>
      </c>
      <c r="AM657" s="183"/>
      <c r="AN657" s="182"/>
      <c r="AO657" s="191"/>
      <c r="AP657" s="184"/>
      <c r="AQ657" s="193"/>
      <c r="AR657" s="186"/>
      <c r="AS657" s="187"/>
      <c r="AT657" s="188"/>
      <c r="AU657" s="187"/>
      <c r="AV657" s="187"/>
      <c r="AW657" s="177"/>
      <c r="AX657" s="177"/>
      <c r="AY657" s="177"/>
      <c r="AZ657" s="177"/>
      <c r="BA657" s="187"/>
      <c r="BB657" s="180"/>
      <c r="BC657" s="189"/>
      <c r="BD657" s="189"/>
      <c r="BE657" s="189"/>
      <c r="BF657" s="189"/>
      <c r="BG657" s="189"/>
      <c r="BH657" s="189"/>
      <c r="BI657" s="189"/>
      <c r="BJ657" s="189"/>
      <c r="BK657" s="189"/>
      <c r="BL657" s="189"/>
      <c r="BM657" s="189"/>
      <c r="BN657" s="189"/>
      <c r="BO657" s="189"/>
      <c r="BP657" s="189"/>
      <c r="BQ657" s="189"/>
      <c r="BR657" s="189"/>
    </row>
    <row r="658" spans="1:70" s="190" customFormat="1">
      <c r="A658" s="176">
        <v>656</v>
      </c>
      <c r="F658" s="171">
        <v>43149.679918981485</v>
      </c>
      <c r="G658" s="171">
        <v>43149.68241898148</v>
      </c>
      <c r="H658" s="247">
        <f t="shared" si="943"/>
        <v>2.4999999950523488E-3</v>
      </c>
      <c r="I658" s="173">
        <v>50.28</v>
      </c>
      <c r="J658" s="174" t="s">
        <v>260</v>
      </c>
      <c r="K658" s="175" t="s">
        <v>72</v>
      </c>
      <c r="L658" s="175" t="s">
        <v>73</v>
      </c>
      <c r="M658" s="175">
        <v>-369</v>
      </c>
      <c r="N658" s="176">
        <v>1</v>
      </c>
      <c r="O658" s="176">
        <v>200</v>
      </c>
      <c r="P658" s="175">
        <v>348</v>
      </c>
      <c r="Q658" s="175" t="s">
        <v>774</v>
      </c>
      <c r="R658" s="230" t="s">
        <v>775</v>
      </c>
      <c r="S658" s="177"/>
      <c r="T658" s="177"/>
      <c r="U658" s="175">
        <v>983</v>
      </c>
      <c r="V658" s="178">
        <v>1500</v>
      </c>
      <c r="W658" s="179"/>
      <c r="X658" s="177"/>
      <c r="Y658" s="177"/>
      <c r="Z658" s="177"/>
      <c r="AA658" s="177"/>
      <c r="AB658" s="180"/>
      <c r="AC658" s="174">
        <v>160</v>
      </c>
      <c r="AD658" s="177">
        <v>-110</v>
      </c>
      <c r="AE658" s="177">
        <v>3.94</v>
      </c>
      <c r="AF658" s="177">
        <v>-0.76</v>
      </c>
      <c r="AG658" s="177">
        <v>109.8</v>
      </c>
      <c r="AH658" s="177">
        <v>-110</v>
      </c>
      <c r="AI658" s="177">
        <v>3.71</v>
      </c>
      <c r="AJ658" s="174">
        <v>-0.34</v>
      </c>
      <c r="AK658" s="181"/>
      <c r="AL658" s="182" t="s">
        <v>207</v>
      </c>
      <c r="AM658" s="183"/>
      <c r="AN658" s="182"/>
      <c r="AO658" s="191"/>
      <c r="AP658" s="184"/>
      <c r="AQ658" s="193"/>
      <c r="AR658" s="186"/>
      <c r="AS658" s="187"/>
      <c r="AT658" s="188"/>
      <c r="AU658" s="187"/>
      <c r="AV658" s="187"/>
      <c r="AW658" s="177"/>
      <c r="AX658" s="177"/>
      <c r="AY658" s="177"/>
      <c r="AZ658" s="177"/>
      <c r="BA658" s="187"/>
      <c r="BB658" s="180"/>
      <c r="BC658" s="189"/>
      <c r="BD658" s="189"/>
      <c r="BE658" s="189"/>
      <c r="BF658" s="189"/>
      <c r="BG658" s="189"/>
      <c r="BH658" s="189"/>
      <c r="BI658" s="189"/>
      <c r="BJ658" s="189"/>
      <c r="BK658" s="189"/>
      <c r="BL658" s="189"/>
      <c r="BM658" s="189"/>
      <c r="BN658" s="189"/>
      <c r="BO658" s="189"/>
      <c r="BP658" s="189"/>
      <c r="BQ658" s="189"/>
      <c r="BR658" s="189"/>
    </row>
    <row r="659" spans="1:70" s="149" customFormat="1">
      <c r="A659" s="138">
        <v>657</v>
      </c>
      <c r="F659" s="133">
        <v>43149.683310185188</v>
      </c>
      <c r="G659" s="133">
        <v>43149.683831018519</v>
      </c>
      <c r="H659" s="245">
        <f t="shared" ref="H659:H661" si="944">G659-F659</f>
        <v>5.2083333139307797E-4</v>
      </c>
      <c r="I659" s="135">
        <v>50.28</v>
      </c>
      <c r="J659" s="136" t="s">
        <v>260</v>
      </c>
      <c r="K659" s="137" t="s">
        <v>72</v>
      </c>
      <c r="L659" s="137" t="s">
        <v>73</v>
      </c>
      <c r="M659" s="137">
        <v>-369</v>
      </c>
      <c r="N659" s="138">
        <v>1</v>
      </c>
      <c r="O659" s="138">
        <v>200</v>
      </c>
      <c r="P659" s="137">
        <v>348</v>
      </c>
      <c r="Q659" s="137" t="s">
        <v>774</v>
      </c>
      <c r="R659" s="235" t="s">
        <v>778</v>
      </c>
      <c r="S659" s="139"/>
      <c r="T659" s="139"/>
      <c r="U659" s="137">
        <v>983</v>
      </c>
      <c r="V659" s="140">
        <v>-1900</v>
      </c>
      <c r="W659" s="141"/>
      <c r="X659" s="139"/>
      <c r="Y659" s="139"/>
      <c r="Z659" s="139"/>
      <c r="AA659" s="139"/>
      <c r="AB659" s="142"/>
      <c r="AC659" s="136">
        <v>160</v>
      </c>
      <c r="AD659" s="139">
        <v>-110</v>
      </c>
      <c r="AE659" s="139">
        <v>3.94</v>
      </c>
      <c r="AF659" s="139">
        <v>-0.76</v>
      </c>
      <c r="AG659" s="139">
        <v>109.8</v>
      </c>
      <c r="AH659" s="139">
        <v>-110</v>
      </c>
      <c r="AI659" s="139">
        <v>3.71</v>
      </c>
      <c r="AJ659" s="136">
        <v>-0.34</v>
      </c>
      <c r="AK659" s="143"/>
      <c r="AL659" s="144" t="s">
        <v>780</v>
      </c>
      <c r="AM659" s="145"/>
      <c r="AN659" s="144"/>
      <c r="AO659" s="151"/>
      <c r="AP659" s="146"/>
      <c r="AQ659" s="160"/>
      <c r="AR659" s="162"/>
      <c r="AS659" s="147"/>
      <c r="AT659" s="164"/>
      <c r="AU659" s="147"/>
      <c r="AV659" s="147"/>
      <c r="AW659" s="139"/>
      <c r="AX659" s="139"/>
      <c r="AY659" s="139"/>
      <c r="AZ659" s="139"/>
      <c r="BA659" s="147"/>
      <c r="BB659" s="142"/>
      <c r="BC659" s="148"/>
      <c r="BD659" s="148"/>
      <c r="BE659" s="148"/>
      <c r="BF659" s="148"/>
      <c r="BG659" s="148"/>
      <c r="BH659" s="148"/>
      <c r="BI659" s="148"/>
      <c r="BJ659" s="148"/>
      <c r="BK659" s="148"/>
      <c r="BL659" s="148"/>
      <c r="BM659" s="148"/>
      <c r="BN659" s="148"/>
      <c r="BO659" s="148"/>
      <c r="BP659" s="148"/>
      <c r="BQ659" s="148"/>
      <c r="BR659" s="148"/>
    </row>
    <row r="660" spans="1:70" s="149" customFormat="1">
      <c r="A660" s="138">
        <v>658</v>
      </c>
      <c r="F660" s="133">
        <v>43149.684155092589</v>
      </c>
      <c r="G660" s="133">
        <v>43149.684374999997</v>
      </c>
      <c r="H660" s="245">
        <f t="shared" si="944"/>
        <v>2.1990740788169205E-4</v>
      </c>
      <c r="I660" s="135">
        <v>50.28</v>
      </c>
      <c r="J660" s="136" t="s">
        <v>260</v>
      </c>
      <c r="K660" s="137" t="s">
        <v>72</v>
      </c>
      <c r="L660" s="137" t="s">
        <v>73</v>
      </c>
      <c r="M660" s="137">
        <v>-369</v>
      </c>
      <c r="N660" s="138">
        <v>1</v>
      </c>
      <c r="O660" s="138">
        <v>200</v>
      </c>
      <c r="P660" s="137">
        <v>348</v>
      </c>
      <c r="Q660" s="137" t="s">
        <v>774</v>
      </c>
      <c r="R660" s="235" t="s">
        <v>778</v>
      </c>
      <c r="S660" s="139"/>
      <c r="T660" s="139"/>
      <c r="U660" s="137">
        <v>983</v>
      </c>
      <c r="V660" s="140">
        <v>-1900</v>
      </c>
      <c r="W660" s="141"/>
      <c r="X660" s="139"/>
      <c r="Y660" s="139"/>
      <c r="Z660" s="139"/>
      <c r="AA660" s="139"/>
      <c r="AB660" s="142"/>
      <c r="AC660" s="136">
        <v>160</v>
      </c>
      <c r="AD660" s="139">
        <v>-110</v>
      </c>
      <c r="AE660" s="139">
        <v>3.94</v>
      </c>
      <c r="AF660" s="139">
        <v>-0.76</v>
      </c>
      <c r="AG660" s="139">
        <v>109.8</v>
      </c>
      <c r="AH660" s="139">
        <v>-110</v>
      </c>
      <c r="AI660" s="139">
        <v>3.71</v>
      </c>
      <c r="AJ660" s="136">
        <v>-0.34</v>
      </c>
      <c r="AK660" s="143"/>
      <c r="AL660" s="144" t="s">
        <v>780</v>
      </c>
      <c r="AM660" s="145"/>
      <c r="AN660" s="144"/>
      <c r="AO660" s="151"/>
      <c r="AP660" s="146"/>
      <c r="AQ660" s="160"/>
      <c r="AR660" s="162"/>
      <c r="AS660" s="147"/>
      <c r="AT660" s="164"/>
      <c r="AU660" s="147"/>
      <c r="AV660" s="147"/>
      <c r="AW660" s="139"/>
      <c r="AX660" s="139"/>
      <c r="AY660" s="139"/>
      <c r="AZ660" s="139"/>
      <c r="BA660" s="147"/>
      <c r="BB660" s="142"/>
      <c r="BC660" s="148"/>
      <c r="BD660" s="148"/>
      <c r="BE660" s="148"/>
      <c r="BF660" s="148"/>
      <c r="BG660" s="148"/>
      <c r="BH660" s="148"/>
      <c r="BI660" s="148"/>
      <c r="BJ660" s="148"/>
      <c r="BK660" s="148"/>
      <c r="BL660" s="148"/>
      <c r="BM660" s="148"/>
      <c r="BN660" s="148"/>
      <c r="BO660" s="148"/>
      <c r="BP660" s="148"/>
      <c r="BQ660" s="148"/>
      <c r="BR660" s="148"/>
    </row>
    <row r="661" spans="1:70" s="149" customFormat="1">
      <c r="A661" s="138">
        <v>659</v>
      </c>
      <c r="F661" s="133">
        <v>43149.68472222222</v>
      </c>
      <c r="G661" s="133">
        <v>43149.685243055559</v>
      </c>
      <c r="H661" s="245">
        <f t="shared" si="944"/>
        <v>5.2083333866903558E-4</v>
      </c>
      <c r="I661" s="135">
        <v>50.28</v>
      </c>
      <c r="J661" s="136" t="s">
        <v>260</v>
      </c>
      <c r="K661" s="137" t="s">
        <v>72</v>
      </c>
      <c r="L661" s="137" t="s">
        <v>73</v>
      </c>
      <c r="M661" s="137">
        <v>-369</v>
      </c>
      <c r="N661" s="138">
        <v>1</v>
      </c>
      <c r="O661" s="138">
        <v>200</v>
      </c>
      <c r="P661" s="137">
        <v>348</v>
      </c>
      <c r="Q661" s="137" t="s">
        <v>774</v>
      </c>
      <c r="R661" s="235" t="s">
        <v>778</v>
      </c>
      <c r="S661" s="139"/>
      <c r="T661" s="139"/>
      <c r="U661" s="137">
        <v>983</v>
      </c>
      <c r="V661" s="140">
        <v>-1900</v>
      </c>
      <c r="W661" s="141"/>
      <c r="X661" s="139"/>
      <c r="Y661" s="139"/>
      <c r="Z661" s="139"/>
      <c r="AA661" s="139"/>
      <c r="AB661" s="142"/>
      <c r="AC661" s="136">
        <v>160</v>
      </c>
      <c r="AD661" s="139">
        <v>-110</v>
      </c>
      <c r="AE661" s="139">
        <v>3.94</v>
      </c>
      <c r="AF661" s="139">
        <v>-0.76</v>
      </c>
      <c r="AG661" s="139">
        <v>109.8</v>
      </c>
      <c r="AH661" s="139">
        <v>-110</v>
      </c>
      <c r="AI661" s="139">
        <v>3.71</v>
      </c>
      <c r="AJ661" s="136">
        <v>-0.34</v>
      </c>
      <c r="AK661" s="143"/>
      <c r="AL661" s="144" t="s">
        <v>780</v>
      </c>
      <c r="AM661" s="145"/>
      <c r="AN661" s="144"/>
      <c r="AO661" s="151"/>
      <c r="AP661" s="146"/>
      <c r="AQ661" s="160"/>
      <c r="AR661" s="162"/>
      <c r="AS661" s="147"/>
      <c r="AT661" s="164"/>
      <c r="AU661" s="147"/>
      <c r="AV661" s="147"/>
      <c r="AW661" s="139"/>
      <c r="AX661" s="139"/>
      <c r="AY661" s="139"/>
      <c r="AZ661" s="139"/>
      <c r="BA661" s="147"/>
      <c r="BB661" s="142"/>
      <c r="BC661" s="148"/>
      <c r="BD661" s="148"/>
      <c r="BE661" s="148"/>
      <c r="BF661" s="148"/>
      <c r="BG661" s="148"/>
      <c r="BH661" s="148"/>
      <c r="BI661" s="148"/>
      <c r="BJ661" s="148"/>
      <c r="BK661" s="148"/>
      <c r="BL661" s="148"/>
      <c r="BM661" s="148"/>
      <c r="BN661" s="148"/>
      <c r="BO661" s="148"/>
      <c r="BP661" s="148"/>
      <c r="BQ661" s="148"/>
      <c r="BR661" s="148"/>
    </row>
    <row r="662" spans="1:70" s="149" customFormat="1">
      <c r="A662" s="138">
        <v>660</v>
      </c>
      <c r="F662" s="133">
        <v>43149.685567129629</v>
      </c>
      <c r="G662" s="133">
        <v>43149.686550925922</v>
      </c>
      <c r="H662" s="245">
        <f t="shared" ref="H662" si="945">G662-F662</f>
        <v>9.8379629343980923E-4</v>
      </c>
      <c r="I662" s="135">
        <v>50.28</v>
      </c>
      <c r="J662" s="136" t="s">
        <v>260</v>
      </c>
      <c r="K662" s="137" t="s">
        <v>72</v>
      </c>
      <c r="L662" s="137" t="s">
        <v>73</v>
      </c>
      <c r="M662" s="137">
        <v>-369</v>
      </c>
      <c r="N662" s="138">
        <v>1</v>
      </c>
      <c r="O662" s="138">
        <v>200</v>
      </c>
      <c r="P662" s="137">
        <v>348</v>
      </c>
      <c r="Q662" s="137" t="s">
        <v>774</v>
      </c>
      <c r="R662" s="235" t="s">
        <v>778</v>
      </c>
      <c r="S662" s="139"/>
      <c r="T662" s="139"/>
      <c r="U662" s="137">
        <v>983</v>
      </c>
      <c r="V662" s="140">
        <v>-1900</v>
      </c>
      <c r="W662" s="141"/>
      <c r="X662" s="139"/>
      <c r="Y662" s="139"/>
      <c r="Z662" s="139"/>
      <c r="AA662" s="139"/>
      <c r="AB662" s="142"/>
      <c r="AC662" s="136">
        <v>160</v>
      </c>
      <c r="AD662" s="139">
        <v>-110</v>
      </c>
      <c r="AE662" s="139">
        <v>3.94</v>
      </c>
      <c r="AF662" s="139">
        <v>-0.76</v>
      </c>
      <c r="AG662" s="139">
        <v>109.8</v>
      </c>
      <c r="AH662" s="139">
        <v>-110</v>
      </c>
      <c r="AI662" s="139">
        <v>3.71</v>
      </c>
      <c r="AJ662" s="136">
        <v>-0.34</v>
      </c>
      <c r="AK662" s="143"/>
      <c r="AL662" s="144" t="s">
        <v>780</v>
      </c>
      <c r="AM662" s="145"/>
      <c r="AN662" s="144"/>
      <c r="AO662" s="135"/>
      <c r="AP662" s="146"/>
      <c r="AQ662" s="158"/>
      <c r="AR662" s="162"/>
      <c r="AS662" s="147"/>
      <c r="AT662" s="164"/>
      <c r="AU662" s="147"/>
      <c r="AV662" s="147"/>
      <c r="AW662" s="139"/>
      <c r="AX662" s="139"/>
      <c r="AY662" s="139"/>
      <c r="AZ662" s="139"/>
      <c r="BA662" s="147"/>
      <c r="BB662" s="142"/>
      <c r="BC662" s="148"/>
      <c r="BD662" s="148"/>
      <c r="BE662" s="148"/>
      <c r="BF662" s="148"/>
      <c r="BG662" s="148"/>
      <c r="BH662" s="148"/>
      <c r="BI662" s="148"/>
      <c r="BJ662" s="148"/>
      <c r="BK662" s="148"/>
      <c r="BL662" s="148"/>
      <c r="BM662" s="148"/>
      <c r="BN662" s="148"/>
      <c r="BO662" s="148"/>
      <c r="BP662" s="148"/>
      <c r="BQ662" s="148"/>
      <c r="BR662" s="148"/>
    </row>
    <row r="663" spans="1:70" s="149" customFormat="1">
      <c r="A663" s="138">
        <v>661</v>
      </c>
      <c r="F663" s="133">
        <v>43149.686597222222</v>
      </c>
      <c r="G663" s="133">
        <v>43149.687835648147</v>
      </c>
      <c r="H663" s="245">
        <f t="shared" ref="H663" si="946">G663-F663</f>
        <v>1.2384259243845008E-3</v>
      </c>
      <c r="I663" s="135">
        <v>50.28</v>
      </c>
      <c r="J663" s="136" t="s">
        <v>260</v>
      </c>
      <c r="K663" s="137" t="s">
        <v>72</v>
      </c>
      <c r="L663" s="137" t="s">
        <v>73</v>
      </c>
      <c r="M663" s="137">
        <v>-369</v>
      </c>
      <c r="N663" s="138">
        <v>1</v>
      </c>
      <c r="O663" s="138">
        <v>200</v>
      </c>
      <c r="P663" s="137">
        <v>348</v>
      </c>
      <c r="Q663" s="137" t="s">
        <v>774</v>
      </c>
      <c r="R663" s="235" t="s">
        <v>778</v>
      </c>
      <c r="S663" s="139"/>
      <c r="T663" s="139"/>
      <c r="U663" s="137">
        <v>983</v>
      </c>
      <c r="V663" s="140">
        <v>-1900</v>
      </c>
      <c r="W663" s="141"/>
      <c r="X663" s="139"/>
      <c r="Y663" s="139"/>
      <c r="Z663" s="139"/>
      <c r="AA663" s="139"/>
      <c r="AB663" s="142"/>
      <c r="AC663" s="136">
        <v>160</v>
      </c>
      <c r="AD663" s="139">
        <v>-110</v>
      </c>
      <c r="AE663" s="139">
        <v>3.94</v>
      </c>
      <c r="AF663" s="139">
        <v>-0.76</v>
      </c>
      <c r="AG663" s="139">
        <v>109.8</v>
      </c>
      <c r="AH663" s="139">
        <v>-110</v>
      </c>
      <c r="AI663" s="139">
        <v>3.71</v>
      </c>
      <c r="AJ663" s="136">
        <v>-0.34</v>
      </c>
      <c r="AK663" s="143"/>
      <c r="AL663" s="144" t="s">
        <v>780</v>
      </c>
      <c r="AM663" s="145"/>
      <c r="AN663" s="144"/>
      <c r="AO663" s="135"/>
      <c r="AP663" s="146"/>
      <c r="AQ663" s="158"/>
      <c r="AR663" s="162"/>
      <c r="AS663" s="147"/>
      <c r="AT663" s="164"/>
      <c r="AU663" s="147"/>
      <c r="AV663" s="147"/>
      <c r="AW663" s="139"/>
      <c r="AX663" s="139"/>
      <c r="AY663" s="139"/>
      <c r="AZ663" s="139"/>
      <c r="BA663" s="147"/>
      <c r="BB663" s="142"/>
      <c r="BC663" s="148"/>
      <c r="BD663" s="148"/>
      <c r="BE663" s="148"/>
      <c r="BF663" s="148"/>
      <c r="BG663" s="148"/>
      <c r="BH663" s="148"/>
      <c r="BI663" s="148"/>
      <c r="BJ663" s="148"/>
      <c r="BK663" s="148"/>
      <c r="BL663" s="148"/>
      <c r="BM663" s="148"/>
      <c r="BN663" s="148"/>
      <c r="BO663" s="148"/>
      <c r="BP663" s="148"/>
      <c r="BQ663" s="148"/>
      <c r="BR663" s="148"/>
    </row>
    <row r="664" spans="1:70" s="190" customFormat="1">
      <c r="A664" s="176">
        <v>662</v>
      </c>
      <c r="F664" s="171">
        <v>43149.688032407408</v>
      </c>
      <c r="G664" s="171">
        <v>43149.688391203701</v>
      </c>
      <c r="H664" s="247">
        <f t="shared" ref="H664" si="947">G664-F664</f>
        <v>3.5879629285773262E-4</v>
      </c>
      <c r="I664" s="173">
        <v>50.28</v>
      </c>
      <c r="J664" s="174" t="s">
        <v>260</v>
      </c>
      <c r="K664" s="175" t="s">
        <v>72</v>
      </c>
      <c r="L664" s="175" t="s">
        <v>73</v>
      </c>
      <c r="M664" s="175">
        <v>-369</v>
      </c>
      <c r="N664" s="176">
        <v>1</v>
      </c>
      <c r="O664" s="176">
        <v>200</v>
      </c>
      <c r="P664" s="175">
        <v>348</v>
      </c>
      <c r="Q664" s="175" t="s">
        <v>774</v>
      </c>
      <c r="R664" s="230" t="s">
        <v>778</v>
      </c>
      <c r="S664" s="177"/>
      <c r="T664" s="177"/>
      <c r="U664" s="175">
        <v>983</v>
      </c>
      <c r="V664" s="178">
        <v>-1900</v>
      </c>
      <c r="W664" s="179"/>
      <c r="X664" s="177"/>
      <c r="Y664" s="177"/>
      <c r="Z664" s="177"/>
      <c r="AA664" s="177"/>
      <c r="AB664" s="180"/>
      <c r="AC664" s="174">
        <v>160</v>
      </c>
      <c r="AD664" s="177">
        <v>-110</v>
      </c>
      <c r="AE664" s="177">
        <v>3.94</v>
      </c>
      <c r="AF664" s="177">
        <v>-0.76</v>
      </c>
      <c r="AG664" s="177">
        <v>109.8</v>
      </c>
      <c r="AH664" s="177">
        <v>-110</v>
      </c>
      <c r="AI664" s="177">
        <v>3.71</v>
      </c>
      <c r="AJ664" s="174">
        <v>-0.34</v>
      </c>
      <c r="AK664" s="181"/>
      <c r="AL664" s="182" t="s">
        <v>335</v>
      </c>
      <c r="AM664" s="183"/>
      <c r="AN664" s="182"/>
      <c r="AO664" s="173"/>
      <c r="AP664" s="184"/>
      <c r="AQ664" s="185"/>
      <c r="AR664" s="186"/>
      <c r="AS664" s="187"/>
      <c r="AT664" s="188"/>
      <c r="AU664" s="187"/>
      <c r="AV664" s="187"/>
      <c r="AW664" s="177"/>
      <c r="AX664" s="177"/>
      <c r="AY664" s="177"/>
      <c r="AZ664" s="177"/>
      <c r="BA664" s="187"/>
      <c r="BB664" s="180"/>
      <c r="BC664" s="189"/>
      <c r="BD664" s="189"/>
      <c r="BE664" s="189"/>
      <c r="BF664" s="189"/>
      <c r="BG664" s="189"/>
      <c r="BH664" s="189"/>
      <c r="BI664" s="189"/>
      <c r="BJ664" s="189"/>
      <c r="BK664" s="189"/>
      <c r="BL664" s="189"/>
      <c r="BM664" s="189"/>
      <c r="BN664" s="189"/>
      <c r="BO664" s="189"/>
      <c r="BP664" s="189"/>
      <c r="BQ664" s="189"/>
      <c r="BR664" s="189"/>
    </row>
    <row r="665" spans="1:70" s="190" customFormat="1">
      <c r="A665" s="176">
        <v>663</v>
      </c>
      <c r="F665" s="171">
        <v>43149.688877314817</v>
      </c>
      <c r="G665" s="171">
        <v>43149.690300925926</v>
      </c>
      <c r="H665" s="247">
        <f t="shared" ref="H665" si="948">G665-F665</f>
        <v>1.4236111092031933E-3</v>
      </c>
      <c r="I665" s="173">
        <v>50.28</v>
      </c>
      <c r="J665" s="174" t="s">
        <v>260</v>
      </c>
      <c r="K665" s="175" t="s">
        <v>72</v>
      </c>
      <c r="L665" s="175" t="s">
        <v>73</v>
      </c>
      <c r="M665" s="175">
        <v>-369</v>
      </c>
      <c r="N665" s="176">
        <v>1</v>
      </c>
      <c r="O665" s="176">
        <v>200</v>
      </c>
      <c r="P665" s="175">
        <v>348</v>
      </c>
      <c r="Q665" s="175" t="s">
        <v>774</v>
      </c>
      <c r="R665" s="230" t="s">
        <v>778</v>
      </c>
      <c r="S665" s="177"/>
      <c r="T665" s="177"/>
      <c r="U665" s="175">
        <v>983</v>
      </c>
      <c r="V665" s="178">
        <v>-1550</v>
      </c>
      <c r="W665" s="179"/>
      <c r="X665" s="177"/>
      <c r="Y665" s="177"/>
      <c r="Z665" s="177"/>
      <c r="AA665" s="177"/>
      <c r="AB665" s="180"/>
      <c r="AC665" s="174">
        <v>160</v>
      </c>
      <c r="AD665" s="177">
        <v>-110</v>
      </c>
      <c r="AE665" s="177">
        <v>3.94</v>
      </c>
      <c r="AF665" s="177">
        <v>-0.76</v>
      </c>
      <c r="AG665" s="177">
        <v>109.8</v>
      </c>
      <c r="AH665" s="177">
        <v>-110</v>
      </c>
      <c r="AI665" s="177">
        <v>3.71</v>
      </c>
      <c r="AJ665" s="174">
        <v>-0.34</v>
      </c>
      <c r="AK665" s="181"/>
      <c r="AL665" s="182" t="s">
        <v>336</v>
      </c>
      <c r="AM665" s="183"/>
      <c r="AN665" s="182"/>
      <c r="AO665" s="173"/>
      <c r="AP665" s="184"/>
      <c r="AQ665" s="185"/>
      <c r="AR665" s="186"/>
      <c r="AS665" s="187"/>
      <c r="AT665" s="188"/>
      <c r="AU665" s="187"/>
      <c r="AV665" s="187"/>
      <c r="AW665" s="177"/>
      <c r="AX665" s="177"/>
      <c r="AY665" s="177"/>
      <c r="AZ665" s="177"/>
      <c r="BA665" s="187"/>
      <c r="BB665" s="180"/>
      <c r="BC665" s="189"/>
      <c r="BD665" s="189"/>
      <c r="BE665" s="189"/>
      <c r="BF665" s="189"/>
      <c r="BG665" s="189"/>
      <c r="BH665" s="189"/>
      <c r="BI665" s="189"/>
      <c r="BJ665" s="189"/>
      <c r="BK665" s="189"/>
      <c r="BL665" s="189"/>
      <c r="BM665" s="189"/>
      <c r="BN665" s="189"/>
      <c r="BO665" s="189"/>
      <c r="BP665" s="189"/>
      <c r="BQ665" s="189"/>
      <c r="BR665" s="189"/>
    </row>
    <row r="666" spans="1:70" s="190" customFormat="1">
      <c r="A666" s="176">
        <v>664</v>
      </c>
      <c r="F666" s="171">
        <v>43149.690474537034</v>
      </c>
      <c r="G666" s="171">
        <v>43149.691747685189</v>
      </c>
      <c r="H666" s="247">
        <f t="shared" ref="H666" si="949">G666-F666</f>
        <v>1.273148154723458E-3</v>
      </c>
      <c r="I666" s="173">
        <v>50.28</v>
      </c>
      <c r="J666" s="174" t="s">
        <v>260</v>
      </c>
      <c r="K666" s="175" t="s">
        <v>72</v>
      </c>
      <c r="L666" s="175" t="s">
        <v>73</v>
      </c>
      <c r="M666" s="175">
        <v>-369</v>
      </c>
      <c r="N666" s="176">
        <v>1</v>
      </c>
      <c r="O666" s="176">
        <v>200</v>
      </c>
      <c r="P666" s="175">
        <v>348</v>
      </c>
      <c r="Q666" s="175" t="s">
        <v>774</v>
      </c>
      <c r="R666" s="230" t="s">
        <v>778</v>
      </c>
      <c r="S666" s="177"/>
      <c r="T666" s="177"/>
      <c r="U666" s="175">
        <v>983</v>
      </c>
      <c r="V666" s="178">
        <v>-1200</v>
      </c>
      <c r="W666" s="179"/>
      <c r="X666" s="177"/>
      <c r="Y666" s="177"/>
      <c r="Z666" s="177"/>
      <c r="AA666" s="177"/>
      <c r="AB666" s="180"/>
      <c r="AC666" s="174">
        <v>160</v>
      </c>
      <c r="AD666" s="177">
        <v>-110</v>
      </c>
      <c r="AE666" s="177">
        <v>3.94</v>
      </c>
      <c r="AF666" s="177">
        <v>-0.76</v>
      </c>
      <c r="AG666" s="177">
        <v>109.8</v>
      </c>
      <c r="AH666" s="177">
        <v>-110</v>
      </c>
      <c r="AI666" s="177">
        <v>3.71</v>
      </c>
      <c r="AJ666" s="174">
        <v>-0.34</v>
      </c>
      <c r="AK666" s="181"/>
      <c r="AL666" s="182" t="s">
        <v>337</v>
      </c>
      <c r="AM666" s="183"/>
      <c r="AN666" s="182"/>
      <c r="AO666" s="173"/>
      <c r="AP666" s="184"/>
      <c r="AQ666" s="185"/>
      <c r="AR666" s="186"/>
      <c r="AS666" s="187"/>
      <c r="AT666" s="188"/>
      <c r="AU666" s="187"/>
      <c r="AV666" s="187"/>
      <c r="AW666" s="177"/>
      <c r="AX666" s="177"/>
      <c r="AY666" s="177"/>
      <c r="AZ666" s="177"/>
      <c r="BA666" s="187"/>
      <c r="BB666" s="180"/>
      <c r="BC666" s="189"/>
      <c r="BD666" s="189"/>
      <c r="BE666" s="189"/>
      <c r="BF666" s="189"/>
      <c r="BG666" s="189"/>
      <c r="BH666" s="189"/>
      <c r="BI666" s="189"/>
      <c r="BJ666" s="189"/>
      <c r="BK666" s="189"/>
      <c r="BL666" s="189"/>
      <c r="BM666" s="189"/>
      <c r="BN666" s="189"/>
      <c r="BO666" s="189"/>
      <c r="BP666" s="189"/>
      <c r="BQ666" s="189"/>
      <c r="BR666" s="189"/>
    </row>
    <row r="667" spans="1:70" s="190" customFormat="1">
      <c r="A667" s="176">
        <v>665</v>
      </c>
      <c r="F667" s="171">
        <v>43149.691863425927</v>
      </c>
      <c r="G667" s="171">
        <v>43149.693124999998</v>
      </c>
      <c r="H667" s="247">
        <f t="shared" ref="H667" si="950">G667-F667</f>
        <v>1.261574070667848E-3</v>
      </c>
      <c r="I667" s="173">
        <v>50.28</v>
      </c>
      <c r="J667" s="174" t="s">
        <v>260</v>
      </c>
      <c r="K667" s="175" t="s">
        <v>72</v>
      </c>
      <c r="L667" s="175" t="s">
        <v>73</v>
      </c>
      <c r="M667" s="175">
        <v>-369</v>
      </c>
      <c r="N667" s="176">
        <v>1</v>
      </c>
      <c r="O667" s="176">
        <v>200</v>
      </c>
      <c r="P667" s="175">
        <v>348</v>
      </c>
      <c r="Q667" s="175" t="s">
        <v>774</v>
      </c>
      <c r="R667" s="230" t="s">
        <v>778</v>
      </c>
      <c r="S667" s="177"/>
      <c r="T667" s="177"/>
      <c r="U667" s="175">
        <v>983</v>
      </c>
      <c r="V667" s="178">
        <v>-900</v>
      </c>
      <c r="W667" s="179"/>
      <c r="X667" s="177"/>
      <c r="Y667" s="177"/>
      <c r="Z667" s="177"/>
      <c r="AA667" s="177"/>
      <c r="AB667" s="180"/>
      <c r="AC667" s="174">
        <v>160</v>
      </c>
      <c r="AD667" s="177">
        <v>-110</v>
      </c>
      <c r="AE667" s="177">
        <v>3.94</v>
      </c>
      <c r="AF667" s="177">
        <v>-0.76</v>
      </c>
      <c r="AG667" s="177">
        <v>109.8</v>
      </c>
      <c r="AH667" s="177">
        <v>-110</v>
      </c>
      <c r="AI667" s="177">
        <v>3.71</v>
      </c>
      <c r="AJ667" s="174">
        <v>-0.34</v>
      </c>
      <c r="AK667" s="181"/>
      <c r="AL667" s="182" t="s">
        <v>338</v>
      </c>
      <c r="AM667" s="183"/>
      <c r="AN667" s="182"/>
      <c r="AO667" s="173"/>
      <c r="AP667" s="184"/>
      <c r="AQ667" s="185"/>
      <c r="AR667" s="186"/>
      <c r="AS667" s="187"/>
      <c r="AT667" s="188"/>
      <c r="AU667" s="187"/>
      <c r="AV667" s="187"/>
      <c r="AW667" s="177"/>
      <c r="AX667" s="177"/>
      <c r="AY667" s="177"/>
      <c r="AZ667" s="177"/>
      <c r="BA667" s="187"/>
      <c r="BB667" s="180"/>
      <c r="BC667" s="189"/>
      <c r="BD667" s="189"/>
      <c r="BE667" s="189"/>
      <c r="BF667" s="189"/>
      <c r="BG667" s="189"/>
      <c r="BH667" s="189"/>
      <c r="BI667" s="189"/>
      <c r="BJ667" s="189"/>
      <c r="BK667" s="189"/>
      <c r="BL667" s="189"/>
      <c r="BM667" s="189"/>
      <c r="BN667" s="189"/>
      <c r="BO667" s="189"/>
      <c r="BP667" s="189"/>
      <c r="BQ667" s="189"/>
      <c r="BR667" s="189"/>
    </row>
    <row r="668" spans="1:70" s="149" customFormat="1">
      <c r="A668" s="138">
        <v>666</v>
      </c>
      <c r="F668" s="133">
        <v>43149.693310185183</v>
      </c>
      <c r="G668" s="133">
        <v>43149.693923611114</v>
      </c>
      <c r="H668" s="245">
        <f t="shared" ref="H668:H673" si="951">G668-F668</f>
        <v>6.1342593107838184E-4</v>
      </c>
      <c r="I668" s="135">
        <v>50.28</v>
      </c>
      <c r="J668" s="136" t="s">
        <v>260</v>
      </c>
      <c r="K668" s="137" t="s">
        <v>72</v>
      </c>
      <c r="L668" s="137" t="s">
        <v>73</v>
      </c>
      <c r="M668" s="137">
        <v>-369</v>
      </c>
      <c r="N668" s="138">
        <v>1</v>
      </c>
      <c r="O668" s="138">
        <v>200</v>
      </c>
      <c r="P668" s="137">
        <v>348</v>
      </c>
      <c r="Q668" s="137" t="s">
        <v>774</v>
      </c>
      <c r="R668" s="235" t="s">
        <v>778</v>
      </c>
      <c r="S668" s="139"/>
      <c r="T668" s="139"/>
      <c r="U668" s="137">
        <v>983</v>
      </c>
      <c r="V668" s="140">
        <v>-600</v>
      </c>
      <c r="W668" s="141"/>
      <c r="X668" s="139"/>
      <c r="Y668" s="139"/>
      <c r="Z668" s="139"/>
      <c r="AA668" s="139"/>
      <c r="AB668" s="142"/>
      <c r="AC668" s="136">
        <v>160</v>
      </c>
      <c r="AD668" s="139">
        <v>-110</v>
      </c>
      <c r="AE668" s="139">
        <v>3.94</v>
      </c>
      <c r="AF668" s="139">
        <v>-0.76</v>
      </c>
      <c r="AG668" s="139">
        <v>109.8</v>
      </c>
      <c r="AH668" s="139">
        <v>-110</v>
      </c>
      <c r="AI668" s="139">
        <v>3.71</v>
      </c>
      <c r="AJ668" s="136">
        <v>-0.34</v>
      </c>
      <c r="AK668" s="143"/>
      <c r="AL668" s="144" t="s">
        <v>781</v>
      </c>
      <c r="AM668" s="145"/>
      <c r="AN668" s="144"/>
      <c r="AO668" s="135"/>
      <c r="AP668" s="146"/>
      <c r="AQ668" s="158"/>
      <c r="AR668" s="162"/>
      <c r="AS668" s="147"/>
      <c r="AT668" s="164"/>
      <c r="AU668" s="147"/>
      <c r="AV668" s="147"/>
      <c r="AW668" s="139"/>
      <c r="AX668" s="139"/>
      <c r="AY668" s="139"/>
      <c r="AZ668" s="139"/>
      <c r="BA668" s="147"/>
      <c r="BB668" s="142"/>
      <c r="BC668" s="148"/>
      <c r="BD668" s="148"/>
      <c r="BE668" s="148"/>
      <c r="BF668" s="148"/>
      <c r="BG668" s="148"/>
      <c r="BH668" s="148"/>
      <c r="BI668" s="148"/>
      <c r="BJ668" s="148"/>
      <c r="BK668" s="148"/>
      <c r="BL668" s="148"/>
      <c r="BM668" s="148"/>
      <c r="BN668" s="148"/>
      <c r="BO668" s="148"/>
      <c r="BP668" s="148"/>
      <c r="BQ668" s="148"/>
      <c r="BR668" s="148"/>
    </row>
    <row r="669" spans="1:70" s="190" customFormat="1">
      <c r="A669" s="176">
        <v>667</v>
      </c>
      <c r="F669" s="171">
        <v>43149.698148148149</v>
      </c>
      <c r="G669" s="171">
        <v>43149.699386574073</v>
      </c>
      <c r="H669" s="247">
        <f t="shared" si="951"/>
        <v>1.2384259243845008E-3</v>
      </c>
      <c r="I669" s="173">
        <v>50.28</v>
      </c>
      <c r="J669" s="174" t="s">
        <v>260</v>
      </c>
      <c r="K669" s="175" t="s">
        <v>72</v>
      </c>
      <c r="L669" s="175" t="s">
        <v>73</v>
      </c>
      <c r="M669" s="175">
        <v>-369</v>
      </c>
      <c r="N669" s="176">
        <v>1</v>
      </c>
      <c r="O669" s="176">
        <v>200</v>
      </c>
      <c r="P669" s="175">
        <v>348</v>
      </c>
      <c r="Q669" s="175" t="s">
        <v>774</v>
      </c>
      <c r="R669" s="230" t="s">
        <v>778</v>
      </c>
      <c r="S669" s="177"/>
      <c r="T669" s="177"/>
      <c r="U669" s="175">
        <v>983</v>
      </c>
      <c r="V669" s="178">
        <v>-600</v>
      </c>
      <c r="W669" s="179"/>
      <c r="X669" s="177"/>
      <c r="Y669" s="177"/>
      <c r="Z669" s="177"/>
      <c r="AA669" s="177"/>
      <c r="AB669" s="180"/>
      <c r="AC669" s="174">
        <v>160</v>
      </c>
      <c r="AD669" s="177">
        <v>-110</v>
      </c>
      <c r="AE669" s="177">
        <v>3.94</v>
      </c>
      <c r="AF669" s="177">
        <v>-0.76</v>
      </c>
      <c r="AG669" s="177">
        <v>109.8</v>
      </c>
      <c r="AH669" s="177">
        <v>-110</v>
      </c>
      <c r="AI669" s="177">
        <v>3.71</v>
      </c>
      <c r="AJ669" s="174">
        <v>-0.34</v>
      </c>
      <c r="AK669" s="181"/>
      <c r="AL669" s="182" t="s">
        <v>339</v>
      </c>
      <c r="AM669" s="183"/>
      <c r="AN669" s="182"/>
      <c r="AO669" s="173"/>
      <c r="AP669" s="184"/>
      <c r="AQ669" s="185"/>
      <c r="AR669" s="186"/>
      <c r="AS669" s="187"/>
      <c r="AT669" s="188"/>
      <c r="AU669" s="187"/>
      <c r="AV669" s="187"/>
      <c r="AW669" s="177"/>
      <c r="AX669" s="177"/>
      <c r="AY669" s="177"/>
      <c r="AZ669" s="177"/>
      <c r="BA669" s="187"/>
      <c r="BB669" s="180"/>
      <c r="BC669" s="189"/>
      <c r="BD669" s="189"/>
      <c r="BE669" s="189"/>
      <c r="BF669" s="189"/>
      <c r="BG669" s="189"/>
      <c r="BH669" s="189"/>
      <c r="BI669" s="189"/>
      <c r="BJ669" s="189"/>
      <c r="BK669" s="189"/>
      <c r="BL669" s="189"/>
      <c r="BM669" s="189"/>
      <c r="BN669" s="189"/>
      <c r="BO669" s="189"/>
      <c r="BP669" s="189"/>
      <c r="BQ669" s="189"/>
      <c r="BR669" s="189"/>
    </row>
    <row r="670" spans="1:70" s="190" customFormat="1">
      <c r="A670" s="176">
        <v>668</v>
      </c>
      <c r="F670" s="171">
        <v>43149.699467592596</v>
      </c>
      <c r="G670" s="171">
        <v>43149.700833333336</v>
      </c>
      <c r="H670" s="247">
        <f t="shared" si="951"/>
        <v>1.3657407398568466E-3</v>
      </c>
      <c r="I670" s="173">
        <v>50.28</v>
      </c>
      <c r="J670" s="174" t="s">
        <v>260</v>
      </c>
      <c r="K670" s="175" t="s">
        <v>72</v>
      </c>
      <c r="L670" s="175" t="s">
        <v>73</v>
      </c>
      <c r="M670" s="175">
        <v>-369</v>
      </c>
      <c r="N670" s="176">
        <v>1</v>
      </c>
      <c r="O670" s="176">
        <v>200</v>
      </c>
      <c r="P670" s="175">
        <v>348</v>
      </c>
      <c r="Q670" s="175" t="s">
        <v>774</v>
      </c>
      <c r="R670" s="230" t="s">
        <v>778</v>
      </c>
      <c r="S670" s="177"/>
      <c r="T670" s="177"/>
      <c r="U670" s="175">
        <v>983</v>
      </c>
      <c r="V670" s="178">
        <v>-300</v>
      </c>
      <c r="W670" s="179"/>
      <c r="X670" s="177"/>
      <c r="Y670" s="177"/>
      <c r="Z670" s="177"/>
      <c r="AA670" s="177"/>
      <c r="AB670" s="180"/>
      <c r="AC670" s="174">
        <v>160</v>
      </c>
      <c r="AD670" s="177">
        <v>-110</v>
      </c>
      <c r="AE670" s="177">
        <v>3.94</v>
      </c>
      <c r="AF670" s="177">
        <v>-0.76</v>
      </c>
      <c r="AG670" s="177">
        <v>109.8</v>
      </c>
      <c r="AH670" s="177">
        <v>-110</v>
      </c>
      <c r="AI670" s="177">
        <v>3.71</v>
      </c>
      <c r="AJ670" s="174">
        <v>-0.34</v>
      </c>
      <c r="AK670" s="181"/>
      <c r="AL670" s="182" t="s">
        <v>340</v>
      </c>
      <c r="AM670" s="183"/>
      <c r="AN670" s="182"/>
      <c r="AO670" s="173"/>
      <c r="AP670" s="184"/>
      <c r="AQ670" s="185"/>
      <c r="AR670" s="186"/>
      <c r="AS670" s="187"/>
      <c r="AT670" s="188"/>
      <c r="AU670" s="187"/>
      <c r="AV670" s="187"/>
      <c r="AW670" s="177"/>
      <c r="AX670" s="177"/>
      <c r="AY670" s="177"/>
      <c r="AZ670" s="177"/>
      <c r="BA670" s="187"/>
      <c r="BB670" s="180"/>
      <c r="BC670" s="189"/>
      <c r="BD670" s="189"/>
      <c r="BE670" s="189"/>
      <c r="BF670" s="189"/>
      <c r="BG670" s="189"/>
      <c r="BH670" s="189"/>
      <c r="BI670" s="189"/>
      <c r="BJ670" s="189"/>
      <c r="BK670" s="189"/>
      <c r="BL670" s="189"/>
      <c r="BM670" s="189"/>
      <c r="BN670" s="189"/>
      <c r="BO670" s="189"/>
      <c r="BP670" s="189"/>
      <c r="BQ670" s="189"/>
      <c r="BR670" s="189"/>
    </row>
    <row r="671" spans="1:70" s="190" customFormat="1">
      <c r="A671" s="176">
        <v>669</v>
      </c>
      <c r="F671" s="171">
        <v>43149.701099537036</v>
      </c>
      <c r="G671" s="171">
        <v>43149.702337962961</v>
      </c>
      <c r="H671" s="247">
        <f t="shared" si="951"/>
        <v>1.2384259243845008E-3</v>
      </c>
      <c r="I671" s="173">
        <v>50.28</v>
      </c>
      <c r="J671" s="174" t="s">
        <v>260</v>
      </c>
      <c r="K671" s="175" t="s">
        <v>72</v>
      </c>
      <c r="L671" s="175" t="s">
        <v>73</v>
      </c>
      <c r="M671" s="175">
        <v>-369</v>
      </c>
      <c r="N671" s="176">
        <v>1</v>
      </c>
      <c r="O671" s="176">
        <v>200</v>
      </c>
      <c r="P671" s="175">
        <v>348</v>
      </c>
      <c r="Q671" s="175" t="s">
        <v>774</v>
      </c>
      <c r="R671" s="230" t="s">
        <v>778</v>
      </c>
      <c r="S671" s="177"/>
      <c r="T671" s="177"/>
      <c r="U671" s="175">
        <v>983</v>
      </c>
      <c r="V671" s="178">
        <v>0</v>
      </c>
      <c r="W671" s="179"/>
      <c r="X671" s="177"/>
      <c r="Y671" s="177"/>
      <c r="Z671" s="177"/>
      <c r="AA671" s="177"/>
      <c r="AB671" s="180"/>
      <c r="AC671" s="174">
        <v>160</v>
      </c>
      <c r="AD671" s="177">
        <v>-110</v>
      </c>
      <c r="AE671" s="177">
        <v>3.94</v>
      </c>
      <c r="AF671" s="177">
        <v>-0.76</v>
      </c>
      <c r="AG671" s="177">
        <v>109.8</v>
      </c>
      <c r="AH671" s="177">
        <v>-110</v>
      </c>
      <c r="AI671" s="177">
        <v>3.71</v>
      </c>
      <c r="AJ671" s="174">
        <v>-0.34</v>
      </c>
      <c r="AK671" s="181"/>
      <c r="AL671" s="182" t="s">
        <v>246</v>
      </c>
      <c r="AM671" s="183"/>
      <c r="AN671" s="182"/>
      <c r="AO671" s="173"/>
      <c r="AP671" s="184"/>
      <c r="AQ671" s="185"/>
      <c r="AR671" s="186"/>
      <c r="AS671" s="187"/>
      <c r="AT671" s="188"/>
      <c r="AU671" s="187"/>
      <c r="AV671" s="187"/>
      <c r="AW671" s="177"/>
      <c r="AX671" s="177"/>
      <c r="AY671" s="177"/>
      <c r="AZ671" s="177"/>
      <c r="BA671" s="187"/>
      <c r="BB671" s="180"/>
      <c r="BC671" s="189"/>
      <c r="BD671" s="189"/>
      <c r="BE671" s="189"/>
      <c r="BF671" s="189"/>
      <c r="BG671" s="189"/>
      <c r="BH671" s="189"/>
      <c r="BI671" s="189"/>
      <c r="BJ671" s="189"/>
      <c r="BK671" s="189"/>
      <c r="BL671" s="189"/>
      <c r="BM671" s="189"/>
      <c r="BN671" s="189"/>
      <c r="BO671" s="189"/>
      <c r="BP671" s="189"/>
      <c r="BQ671" s="189"/>
      <c r="BR671" s="189"/>
    </row>
    <row r="672" spans="1:70" s="190" customFormat="1">
      <c r="A672" s="176">
        <v>670</v>
      </c>
      <c r="F672" s="171">
        <v>43149.702789351853</v>
      </c>
      <c r="G672" s="171">
        <v>43149.704143518517</v>
      </c>
      <c r="H672" s="247">
        <f t="shared" si="951"/>
        <v>1.3541666630771942E-3</v>
      </c>
      <c r="I672" s="173">
        <v>50.28</v>
      </c>
      <c r="J672" s="174" t="s">
        <v>260</v>
      </c>
      <c r="K672" s="175" t="s">
        <v>72</v>
      </c>
      <c r="L672" s="175" t="s">
        <v>73</v>
      </c>
      <c r="M672" s="175">
        <v>-369</v>
      </c>
      <c r="N672" s="176">
        <v>1</v>
      </c>
      <c r="O672" s="176">
        <v>200</v>
      </c>
      <c r="P672" s="175">
        <v>348</v>
      </c>
      <c r="Q672" s="175" t="s">
        <v>774</v>
      </c>
      <c r="R672" s="230" t="s">
        <v>778</v>
      </c>
      <c r="S672" s="177"/>
      <c r="T672" s="177"/>
      <c r="U672" s="175">
        <v>983</v>
      </c>
      <c r="V672" s="178">
        <v>350</v>
      </c>
      <c r="W672" s="179"/>
      <c r="X672" s="177"/>
      <c r="Y672" s="177"/>
      <c r="Z672" s="177"/>
      <c r="AA672" s="177"/>
      <c r="AB672" s="180"/>
      <c r="AC672" s="174">
        <v>160</v>
      </c>
      <c r="AD672" s="177">
        <v>-110</v>
      </c>
      <c r="AE672" s="177">
        <v>3.94</v>
      </c>
      <c r="AF672" s="177">
        <v>-0.76</v>
      </c>
      <c r="AG672" s="177">
        <v>109.8</v>
      </c>
      <c r="AH672" s="177">
        <v>-110</v>
      </c>
      <c r="AI672" s="177">
        <v>3.71</v>
      </c>
      <c r="AJ672" s="174">
        <v>-0.34</v>
      </c>
      <c r="AK672" s="181"/>
      <c r="AL672" s="182" t="s">
        <v>247</v>
      </c>
      <c r="AM672" s="183"/>
      <c r="AN672" s="182"/>
      <c r="AO672" s="173"/>
      <c r="AP672" s="184"/>
      <c r="AQ672" s="185"/>
      <c r="AR672" s="186"/>
      <c r="AS672" s="187"/>
      <c r="AT672" s="188"/>
      <c r="AU672" s="187"/>
      <c r="AV672" s="187"/>
      <c r="AW672" s="177"/>
      <c r="AX672" s="177"/>
      <c r="AY672" s="177"/>
      <c r="AZ672" s="177"/>
      <c r="BA672" s="187"/>
      <c r="BB672" s="180"/>
      <c r="BC672" s="189"/>
      <c r="BD672" s="189"/>
      <c r="BE672" s="189"/>
      <c r="BF672" s="189"/>
      <c r="BG672" s="189"/>
      <c r="BH672" s="189"/>
      <c r="BI672" s="189"/>
      <c r="BJ672" s="189"/>
      <c r="BK672" s="189"/>
      <c r="BL672" s="189"/>
      <c r="BM672" s="189"/>
      <c r="BN672" s="189"/>
      <c r="BO672" s="189"/>
      <c r="BP672" s="189"/>
      <c r="BQ672" s="189"/>
      <c r="BR672" s="189"/>
    </row>
    <row r="673" spans="1:70" s="190" customFormat="1">
      <c r="A673" s="176">
        <v>671</v>
      </c>
      <c r="F673" s="171">
        <v>43149.704293981478</v>
      </c>
      <c r="G673" s="171">
        <v>43149.705590277779</v>
      </c>
      <c r="H673" s="247">
        <f t="shared" si="951"/>
        <v>1.2962963010068052E-3</v>
      </c>
      <c r="I673" s="173">
        <v>50.28</v>
      </c>
      <c r="J673" s="174" t="s">
        <v>260</v>
      </c>
      <c r="K673" s="175" t="s">
        <v>72</v>
      </c>
      <c r="L673" s="175" t="s">
        <v>73</v>
      </c>
      <c r="M673" s="175">
        <v>-369</v>
      </c>
      <c r="N673" s="176">
        <v>1</v>
      </c>
      <c r="O673" s="176">
        <v>200</v>
      </c>
      <c r="P673" s="175">
        <v>348</v>
      </c>
      <c r="Q673" s="175" t="s">
        <v>774</v>
      </c>
      <c r="R673" s="230" t="s">
        <v>778</v>
      </c>
      <c r="S673" s="177"/>
      <c r="T673" s="177"/>
      <c r="U673" s="175">
        <v>983</v>
      </c>
      <c r="V673" s="178">
        <v>700</v>
      </c>
      <c r="W673" s="179"/>
      <c r="X673" s="177"/>
      <c r="Y673" s="177"/>
      <c r="Z673" s="177"/>
      <c r="AA673" s="177"/>
      <c r="AB673" s="180"/>
      <c r="AC673" s="174">
        <v>160</v>
      </c>
      <c r="AD673" s="177">
        <v>-110</v>
      </c>
      <c r="AE673" s="177">
        <v>3.94</v>
      </c>
      <c r="AF673" s="177">
        <v>-0.76</v>
      </c>
      <c r="AG673" s="177">
        <v>109.8</v>
      </c>
      <c r="AH673" s="177">
        <v>-110</v>
      </c>
      <c r="AI673" s="177">
        <v>3.71</v>
      </c>
      <c r="AJ673" s="174">
        <v>-0.34</v>
      </c>
      <c r="AK673" s="181"/>
      <c r="AL673" s="182" t="s">
        <v>248</v>
      </c>
      <c r="AM673" s="183"/>
      <c r="AN673" s="182"/>
      <c r="AO673" s="173"/>
      <c r="AP673" s="184"/>
      <c r="AQ673" s="185"/>
      <c r="AR673" s="186"/>
      <c r="AS673" s="187"/>
      <c r="AT673" s="188"/>
      <c r="AU673" s="187"/>
      <c r="AV673" s="187"/>
      <c r="AW673" s="177"/>
      <c r="AX673" s="177"/>
      <c r="AY673" s="177"/>
      <c r="AZ673" s="177"/>
      <c r="BA673" s="187"/>
      <c r="BB673" s="180"/>
      <c r="BC673" s="189"/>
      <c r="BD673" s="189"/>
      <c r="BE673" s="189"/>
      <c r="BF673" s="189"/>
      <c r="BG673" s="189"/>
      <c r="BH673" s="189"/>
      <c r="BI673" s="189"/>
      <c r="BJ673" s="189"/>
      <c r="BK673" s="189"/>
      <c r="BL673" s="189"/>
      <c r="BM673" s="189"/>
      <c r="BN673" s="189"/>
      <c r="BO673" s="189"/>
      <c r="BP673" s="189"/>
      <c r="BQ673" s="189"/>
      <c r="BR673" s="189"/>
    </row>
    <row r="674" spans="1:70" s="190" customFormat="1">
      <c r="A674" s="176">
        <v>672</v>
      </c>
      <c r="F674" s="171">
        <v>43149.705833333333</v>
      </c>
      <c r="G674" s="171">
        <v>43149.707141203704</v>
      </c>
      <c r="H674" s="247">
        <f t="shared" ref="H674:H675" si="952">G674-F674</f>
        <v>1.3078703705104999E-3</v>
      </c>
      <c r="I674" s="173">
        <v>50.28</v>
      </c>
      <c r="J674" s="174" t="s">
        <v>260</v>
      </c>
      <c r="K674" s="175" t="s">
        <v>72</v>
      </c>
      <c r="L674" s="175" t="s">
        <v>73</v>
      </c>
      <c r="M674" s="175">
        <v>-369</v>
      </c>
      <c r="N674" s="176">
        <v>1</v>
      </c>
      <c r="O674" s="176">
        <v>200</v>
      </c>
      <c r="P674" s="175">
        <v>348</v>
      </c>
      <c r="Q674" s="175" t="s">
        <v>774</v>
      </c>
      <c r="R674" s="230" t="s">
        <v>778</v>
      </c>
      <c r="S674" s="177"/>
      <c r="T674" s="177"/>
      <c r="U674" s="175">
        <v>983</v>
      </c>
      <c r="V674" s="178">
        <v>1800</v>
      </c>
      <c r="W674" s="179"/>
      <c r="X674" s="177"/>
      <c r="Y674" s="177"/>
      <c r="Z674" s="177"/>
      <c r="AA674" s="177"/>
      <c r="AB674" s="180"/>
      <c r="AC674" s="174">
        <v>160</v>
      </c>
      <c r="AD674" s="177">
        <v>-110</v>
      </c>
      <c r="AE674" s="177">
        <v>3.94</v>
      </c>
      <c r="AF674" s="177">
        <v>-0.76</v>
      </c>
      <c r="AG674" s="177">
        <v>109.8</v>
      </c>
      <c r="AH674" s="177">
        <v>-110</v>
      </c>
      <c r="AI674" s="177">
        <v>3.71</v>
      </c>
      <c r="AJ674" s="174">
        <v>-0.34</v>
      </c>
      <c r="AK674" s="181"/>
      <c r="AL674" s="182" t="s">
        <v>249</v>
      </c>
      <c r="AM674" s="183"/>
      <c r="AN674" s="182"/>
      <c r="AO674" s="191"/>
      <c r="AP674" s="184"/>
      <c r="AQ674" s="193"/>
      <c r="AR674" s="186"/>
      <c r="AS674" s="187"/>
      <c r="AT674" s="188"/>
      <c r="AU674" s="187"/>
      <c r="AV674" s="187"/>
      <c r="AW674" s="177"/>
      <c r="AX674" s="177"/>
      <c r="AY674" s="177"/>
      <c r="AZ674" s="177"/>
      <c r="BA674" s="187"/>
      <c r="BB674" s="180"/>
      <c r="BC674" s="189"/>
      <c r="BD674" s="189"/>
      <c r="BE674" s="189"/>
      <c r="BF674" s="189"/>
      <c r="BG674" s="189"/>
      <c r="BH674" s="189"/>
      <c r="BI674" s="189"/>
      <c r="BJ674" s="189"/>
      <c r="BK674" s="189"/>
      <c r="BL674" s="189"/>
      <c r="BM674" s="189"/>
      <c r="BN674" s="189"/>
      <c r="BO674" s="189"/>
      <c r="BP674" s="189"/>
      <c r="BQ674" s="189"/>
      <c r="BR674" s="189"/>
    </row>
    <row r="675" spans="1:70" s="190" customFormat="1">
      <c r="A675" s="176">
        <v>673</v>
      </c>
      <c r="F675" s="171">
        <v>43149.707291666666</v>
      </c>
      <c r="G675" s="171">
        <v>43149.70853009259</v>
      </c>
      <c r="H675" s="247">
        <f t="shared" si="952"/>
        <v>1.2384259243845008E-3</v>
      </c>
      <c r="I675" s="173">
        <v>50.28</v>
      </c>
      <c r="J675" s="174" t="s">
        <v>260</v>
      </c>
      <c r="K675" s="175" t="s">
        <v>72</v>
      </c>
      <c r="L675" s="175" t="s">
        <v>73</v>
      </c>
      <c r="M675" s="175">
        <v>-369</v>
      </c>
      <c r="N675" s="176">
        <v>1</v>
      </c>
      <c r="O675" s="176">
        <v>200</v>
      </c>
      <c r="P675" s="175">
        <v>348</v>
      </c>
      <c r="Q675" s="175" t="s">
        <v>774</v>
      </c>
      <c r="R675" s="230" t="s">
        <v>778</v>
      </c>
      <c r="S675" s="177"/>
      <c r="T675" s="177"/>
      <c r="U675" s="175">
        <v>983</v>
      </c>
      <c r="V675" s="178">
        <v>2150</v>
      </c>
      <c r="W675" s="179"/>
      <c r="X675" s="177"/>
      <c r="Y675" s="177"/>
      <c r="Z675" s="177"/>
      <c r="AA675" s="177"/>
      <c r="AB675" s="180"/>
      <c r="AC675" s="174">
        <v>160</v>
      </c>
      <c r="AD675" s="177">
        <v>-110</v>
      </c>
      <c r="AE675" s="177">
        <v>3.94</v>
      </c>
      <c r="AF675" s="177">
        <v>-0.76</v>
      </c>
      <c r="AG675" s="177">
        <v>109.8</v>
      </c>
      <c r="AH675" s="177">
        <v>-110</v>
      </c>
      <c r="AI675" s="177">
        <v>3.71</v>
      </c>
      <c r="AJ675" s="174">
        <v>-0.34</v>
      </c>
      <c r="AK675" s="181"/>
      <c r="AL675" s="182" t="s">
        <v>342</v>
      </c>
      <c r="AM675" s="183"/>
      <c r="AN675" s="182"/>
      <c r="AO675" s="191"/>
      <c r="AP675" s="184"/>
      <c r="AQ675" s="193"/>
      <c r="AR675" s="186"/>
      <c r="AS675" s="187"/>
      <c r="AT675" s="188"/>
      <c r="AU675" s="187"/>
      <c r="AV675" s="187"/>
      <c r="AW675" s="177"/>
      <c r="AX675" s="177"/>
      <c r="AY675" s="177"/>
      <c r="AZ675" s="177"/>
      <c r="BA675" s="187"/>
      <c r="BB675" s="180"/>
      <c r="BC675" s="189"/>
      <c r="BD675" s="189"/>
      <c r="BE675" s="189"/>
      <c r="BF675" s="189"/>
      <c r="BG675" s="189"/>
      <c r="BH675" s="189"/>
      <c r="BI675" s="189"/>
      <c r="BJ675" s="189"/>
      <c r="BK675" s="189"/>
      <c r="BL675" s="189"/>
      <c r="BM675" s="189"/>
      <c r="BN675" s="189"/>
      <c r="BO675" s="189"/>
      <c r="BP675" s="189"/>
      <c r="BQ675" s="189"/>
      <c r="BR675" s="189"/>
    </row>
    <row r="676" spans="1:70">
      <c r="A676" s="108">
        <v>674</v>
      </c>
      <c r="F676" s="45">
        <v>43149.709155092591</v>
      </c>
      <c r="G676" s="45">
        <v>43149.718564814815</v>
      </c>
      <c r="H676" s="38">
        <f>G676-F676-'user time'!AE116</f>
        <v>8.9699074097033815E-3</v>
      </c>
      <c r="I676" s="86">
        <v>50.4</v>
      </c>
      <c r="J676" s="109" t="s">
        <v>260</v>
      </c>
      <c r="K676" s="88" t="s">
        <v>72</v>
      </c>
      <c r="L676" s="88" t="s">
        <v>73</v>
      </c>
      <c r="M676" s="88">
        <v>-369</v>
      </c>
      <c r="N676" s="108">
        <v>1</v>
      </c>
      <c r="O676" s="108">
        <v>200</v>
      </c>
      <c r="P676" s="88">
        <v>348</v>
      </c>
      <c r="Q676" s="88" t="s">
        <v>75</v>
      </c>
      <c r="R676" s="88" t="s">
        <v>348</v>
      </c>
      <c r="S676" s="110">
        <v>10000</v>
      </c>
      <c r="T676" s="110">
        <v>915</v>
      </c>
      <c r="U676" s="88">
        <v>983</v>
      </c>
      <c r="V676" s="90">
        <v>1500</v>
      </c>
      <c r="W676" s="111">
        <v>10</v>
      </c>
      <c r="X676" s="110">
        <v>48835</v>
      </c>
      <c r="Y676" s="110">
        <v>847395</v>
      </c>
      <c r="Z676" s="110">
        <v>6784694</v>
      </c>
      <c r="AA676" s="110">
        <v>2112787</v>
      </c>
      <c r="AB676" s="112">
        <v>4697924</v>
      </c>
      <c r="AC676" s="109">
        <v>160</v>
      </c>
      <c r="AD676" s="110">
        <v>-110</v>
      </c>
      <c r="AE676" s="110">
        <v>3.94</v>
      </c>
      <c r="AF676" s="110">
        <v>-0.76</v>
      </c>
      <c r="AG676" s="110">
        <v>109.8</v>
      </c>
      <c r="AH676" s="110">
        <v>-110.1</v>
      </c>
      <c r="AI676" s="110">
        <v>3.71</v>
      </c>
      <c r="AJ676" s="109">
        <v>-0.34</v>
      </c>
      <c r="AK676" s="113" t="s">
        <v>59</v>
      </c>
      <c r="AL676" s="107" t="s">
        <v>459</v>
      </c>
      <c r="AN676" s="107">
        <f>AN655</f>
        <v>0.95099999999999996</v>
      </c>
      <c r="AO676" s="48">
        <f t="shared" ref="AO676:AO690" si="953">(HOUR(H676)*60*60+MINUTE(H676)*60+SECOND(H676))/5.2*AA676/W676*AN676</f>
        <v>29945708.436057694</v>
      </c>
      <c r="AP676" s="156">
        <f t="shared" ref="AP676:AP690" si="954">AO676*0.7</f>
        <v>20961995.905240383</v>
      </c>
      <c r="AQ676" s="161">
        <f>AP676+AQ655</f>
        <v>28742039614.463017</v>
      </c>
      <c r="AR676" s="163">
        <f>H676+AR655</f>
        <v>12.850497685160859</v>
      </c>
      <c r="AS676" s="49">
        <f t="shared" ref="AS676:AS690" si="955">I676*(HOUR(H676)*60+MINUTE(H676))/60/(7*24)</f>
        <v>0.06</v>
      </c>
      <c r="AT676" s="165">
        <f>AS676+AT655</f>
        <v>87.78951388888882</v>
      </c>
      <c r="AU676" s="254">
        <f t="shared" ref="AU676:AU690" si="956">AA676/W676*AN676</f>
        <v>200926.04370000001</v>
      </c>
      <c r="AV676" s="255">
        <f t="shared" ref="AV676:AV690" si="957">AB676/W676+AA676/W676*(1-AN676)</f>
        <v>480145.05630000005</v>
      </c>
      <c r="AW676" s="256">
        <f t="shared" ref="AW676:AW690" si="958">AU676/AV676</f>
        <v>0.4184694626418462</v>
      </c>
    </row>
    <row r="677" spans="1:70">
      <c r="A677" s="108">
        <v>675</v>
      </c>
      <c r="F677" s="45">
        <v>43149.718680555554</v>
      </c>
      <c r="G677" s="45">
        <v>43149.761134259257</v>
      </c>
      <c r="H677" s="38">
        <f>G677-F677-'user time'!AE117</f>
        <v>4.2152777777432759E-2</v>
      </c>
      <c r="I677" s="86">
        <v>50.39</v>
      </c>
      <c r="J677" s="109" t="s">
        <v>260</v>
      </c>
      <c r="K677" s="88" t="s">
        <v>72</v>
      </c>
      <c r="L677" s="88" t="s">
        <v>73</v>
      </c>
      <c r="M677" s="88">
        <v>-369</v>
      </c>
      <c r="N677" s="108">
        <v>1</v>
      </c>
      <c r="O677" s="108">
        <v>200</v>
      </c>
      <c r="P677" s="88">
        <v>348</v>
      </c>
      <c r="Q677" s="88" t="s">
        <v>75</v>
      </c>
      <c r="R677" s="88" t="s">
        <v>348</v>
      </c>
      <c r="S677" s="110">
        <v>10000</v>
      </c>
      <c r="T677" s="110">
        <v>924</v>
      </c>
      <c r="U677" s="88">
        <v>983</v>
      </c>
      <c r="V677" s="90">
        <v>1500</v>
      </c>
      <c r="W677" s="111">
        <v>10</v>
      </c>
      <c r="X677" s="110">
        <v>48500</v>
      </c>
      <c r="Y677" s="110">
        <v>843567</v>
      </c>
      <c r="Z677" s="110">
        <v>6771509</v>
      </c>
      <c r="AA677" s="110">
        <v>2107638</v>
      </c>
      <c r="AB677" s="112">
        <v>4690630</v>
      </c>
      <c r="AC677" s="109">
        <v>160</v>
      </c>
      <c r="AD677" s="110">
        <v>-110</v>
      </c>
      <c r="AE677" s="110">
        <v>3.94</v>
      </c>
      <c r="AF677" s="110">
        <v>-0.76</v>
      </c>
      <c r="AG677" s="110">
        <v>109.8</v>
      </c>
      <c r="AH677" s="110">
        <v>-110.1</v>
      </c>
      <c r="AI677" s="110">
        <v>3.71</v>
      </c>
      <c r="AJ677" s="109">
        <v>-0.34</v>
      </c>
      <c r="AK677" s="113" t="s">
        <v>59</v>
      </c>
      <c r="AL677" s="107" t="s">
        <v>181</v>
      </c>
      <c r="AN677" s="107">
        <v>0.95499999999999996</v>
      </c>
      <c r="AO677" s="48">
        <f t="shared" si="953"/>
        <v>140973015.465</v>
      </c>
      <c r="AP677" s="156">
        <f t="shared" si="954"/>
        <v>98681110.825499997</v>
      </c>
      <c r="AQ677" s="161">
        <f t="shared" ref="AQ677:AQ690" si="959">AP677+AQ676</f>
        <v>28840720725.288517</v>
      </c>
      <c r="AR677" s="163">
        <f t="shared" ref="AR677:AR690" si="960">H677+AR676</f>
        <v>12.892650462938292</v>
      </c>
      <c r="AS677" s="49">
        <f t="shared" si="955"/>
        <v>0.2999404761904762</v>
      </c>
      <c r="AT677" s="165">
        <f t="shared" ref="AT677:AT690" si="961">AS677+AT676</f>
        <v>88.089454365079291</v>
      </c>
      <c r="AU677" s="254">
        <f t="shared" si="956"/>
        <v>201279.42899999997</v>
      </c>
      <c r="AV677" s="255">
        <f t="shared" si="957"/>
        <v>478547.37099999998</v>
      </c>
      <c r="AW677" s="256">
        <f t="shared" si="958"/>
        <v>0.42060502511881936</v>
      </c>
    </row>
    <row r="678" spans="1:70">
      <c r="A678" s="108">
        <v>676</v>
      </c>
      <c r="F678" s="45">
        <v>43149.76116898148</v>
      </c>
      <c r="G678" s="45">
        <v>43149.803159722222</v>
      </c>
      <c r="H678" s="38">
        <f>G678-F678-'user time'!AE118-'user time'!AE119</f>
        <v>4.1354166667237902E-2</v>
      </c>
      <c r="I678" s="86">
        <v>50.36</v>
      </c>
      <c r="J678" s="109" t="s">
        <v>260</v>
      </c>
      <c r="K678" s="88" t="s">
        <v>72</v>
      </c>
      <c r="L678" s="88" t="s">
        <v>73</v>
      </c>
      <c r="M678" s="88">
        <v>-369</v>
      </c>
      <c r="N678" s="108">
        <v>1</v>
      </c>
      <c r="O678" s="108">
        <v>200</v>
      </c>
      <c r="P678" s="88">
        <v>348</v>
      </c>
      <c r="Q678" s="88" t="s">
        <v>75</v>
      </c>
      <c r="R678" s="88" t="s">
        <v>348</v>
      </c>
      <c r="S678" s="110">
        <v>10000</v>
      </c>
      <c r="T678" s="110">
        <v>931</v>
      </c>
      <c r="U678" s="88">
        <v>983</v>
      </c>
      <c r="V678" s="90">
        <v>1500</v>
      </c>
      <c r="W678" s="111">
        <v>10</v>
      </c>
      <c r="X678" s="110">
        <v>48641</v>
      </c>
      <c r="Y678" s="110">
        <v>846002</v>
      </c>
      <c r="Z678" s="110">
        <v>6762208</v>
      </c>
      <c r="AA678" s="110">
        <v>2103813</v>
      </c>
      <c r="AB678" s="112">
        <v>4683962</v>
      </c>
      <c r="AC678" s="109">
        <v>160.1</v>
      </c>
      <c r="AD678" s="110">
        <v>-110</v>
      </c>
      <c r="AE678" s="110">
        <v>3.94</v>
      </c>
      <c r="AF678" s="110">
        <v>-0.76</v>
      </c>
      <c r="AG678" s="110">
        <v>109.8</v>
      </c>
      <c r="AH678" s="110">
        <v>-110.1</v>
      </c>
      <c r="AI678" s="110">
        <v>3.71</v>
      </c>
      <c r="AJ678" s="109">
        <v>-0.34</v>
      </c>
      <c r="AK678" s="113" t="s">
        <v>59</v>
      </c>
      <c r="AL678" s="107" t="s">
        <v>763</v>
      </c>
      <c r="AN678" s="107">
        <f>AN677</f>
        <v>0.95499999999999996</v>
      </c>
      <c r="AO678" s="48">
        <f t="shared" si="953"/>
        <v>138051197.61144233</v>
      </c>
      <c r="AP678" s="156">
        <f t="shared" si="954"/>
        <v>96635838.32800962</v>
      </c>
      <c r="AQ678" s="161">
        <f t="shared" si="959"/>
        <v>28937356563.616528</v>
      </c>
      <c r="AR678" s="163">
        <f t="shared" si="960"/>
        <v>12.93400462960553</v>
      </c>
      <c r="AS678" s="49">
        <f t="shared" si="955"/>
        <v>0.29476587301587298</v>
      </c>
      <c r="AT678" s="165">
        <f t="shared" si="961"/>
        <v>88.384220238095168</v>
      </c>
      <c r="AU678" s="254">
        <f t="shared" si="956"/>
        <v>200914.14149999997</v>
      </c>
      <c r="AV678" s="255">
        <f t="shared" si="957"/>
        <v>477863.35850000003</v>
      </c>
      <c r="AW678" s="256">
        <f t="shared" si="958"/>
        <v>0.42044265986549784</v>
      </c>
    </row>
    <row r="679" spans="1:70">
      <c r="A679" s="108">
        <v>677</v>
      </c>
      <c r="F679" s="45">
        <v>43149.803483796299</v>
      </c>
      <c r="G679" s="45">
        <v>43149.84642361111</v>
      </c>
      <c r="H679" s="38">
        <f>G679-F679-'user time'!AE120-'user time'!AE121</f>
        <v>4.2256944441318334E-2</v>
      </c>
      <c r="I679" s="86">
        <v>50.36</v>
      </c>
      <c r="J679" s="109" t="s">
        <v>260</v>
      </c>
      <c r="K679" s="88" t="s">
        <v>72</v>
      </c>
      <c r="L679" s="88" t="s">
        <v>73</v>
      </c>
      <c r="M679" s="88">
        <v>-369</v>
      </c>
      <c r="N679" s="108">
        <v>1</v>
      </c>
      <c r="O679" s="108">
        <v>200</v>
      </c>
      <c r="P679" s="88">
        <v>348</v>
      </c>
      <c r="Q679" s="88" t="s">
        <v>75</v>
      </c>
      <c r="R679" s="88" t="s">
        <v>348</v>
      </c>
      <c r="S679" s="110">
        <v>10000</v>
      </c>
      <c r="T679" s="110">
        <v>918</v>
      </c>
      <c r="U679" s="88">
        <v>983</v>
      </c>
      <c r="V679" s="90">
        <v>1500</v>
      </c>
      <c r="W679" s="111">
        <v>10</v>
      </c>
      <c r="X679" s="110">
        <v>48769</v>
      </c>
      <c r="Y679" s="110">
        <v>848013</v>
      </c>
      <c r="Z679" s="110">
        <v>6765336</v>
      </c>
      <c r="AA679" s="110">
        <v>2108674</v>
      </c>
      <c r="AB679" s="112">
        <v>4682301</v>
      </c>
      <c r="AC679" s="109">
        <v>160.1</v>
      </c>
      <c r="AD679" s="110">
        <v>-109.9</v>
      </c>
      <c r="AE679" s="110">
        <v>3.93</v>
      </c>
      <c r="AF679" s="110">
        <v>-0.75</v>
      </c>
      <c r="AG679" s="110">
        <v>109.8</v>
      </c>
      <c r="AH679" s="110">
        <v>-110.1</v>
      </c>
      <c r="AI679" s="110">
        <v>3.71</v>
      </c>
      <c r="AJ679" s="109">
        <v>-0.34</v>
      </c>
      <c r="AK679" s="113" t="s">
        <v>59</v>
      </c>
      <c r="AL679" s="107" t="s">
        <v>181</v>
      </c>
      <c r="AN679" s="107">
        <v>0.95299999999999996</v>
      </c>
      <c r="AO679" s="48">
        <f t="shared" si="953"/>
        <v>141094743.1081154</v>
      </c>
      <c r="AP679" s="156">
        <f t="shared" si="954"/>
        <v>98766320.175680771</v>
      </c>
      <c r="AQ679" s="161">
        <f t="shared" si="959"/>
        <v>29036122883.79221</v>
      </c>
      <c r="AR679" s="163">
        <f t="shared" si="960"/>
        <v>12.976261574046848</v>
      </c>
      <c r="AS679" s="49">
        <f t="shared" si="955"/>
        <v>0.29976190476190478</v>
      </c>
      <c r="AT679" s="165">
        <f t="shared" si="961"/>
        <v>88.683982142857076</v>
      </c>
      <c r="AU679" s="254">
        <f t="shared" si="956"/>
        <v>200956.63219999999</v>
      </c>
      <c r="AV679" s="255">
        <f t="shared" si="957"/>
        <v>478140.86780000001</v>
      </c>
      <c r="AW679" s="256">
        <f t="shared" si="958"/>
        <v>0.42028750465241027</v>
      </c>
    </row>
    <row r="680" spans="1:70">
      <c r="A680" s="108">
        <v>678</v>
      </c>
      <c r="F680" s="45">
        <v>43149.84642361111</v>
      </c>
      <c r="G680" s="45">
        <v>43149.88957175926</v>
      </c>
      <c r="H680" s="38">
        <f>G680-F680-SUM('user time'!AE122:AE124)</f>
        <v>4.2222222224140737E-2</v>
      </c>
      <c r="I680" s="86">
        <v>50.37</v>
      </c>
      <c r="J680" s="109" t="s">
        <v>260</v>
      </c>
      <c r="K680" s="88" t="s">
        <v>72</v>
      </c>
      <c r="L680" s="88" t="s">
        <v>73</v>
      </c>
      <c r="M680" s="88">
        <v>-369</v>
      </c>
      <c r="N680" s="108">
        <v>1</v>
      </c>
      <c r="O680" s="108">
        <v>200</v>
      </c>
      <c r="P680" s="88">
        <v>348</v>
      </c>
      <c r="Q680" s="88" t="s">
        <v>75</v>
      </c>
      <c r="R680" s="88" t="s">
        <v>348</v>
      </c>
      <c r="S680" s="110">
        <v>10000</v>
      </c>
      <c r="T680" s="110">
        <v>920</v>
      </c>
      <c r="U680" s="88">
        <v>983</v>
      </c>
      <c r="V680" s="90">
        <v>1500</v>
      </c>
      <c r="W680" s="111">
        <v>10</v>
      </c>
      <c r="X680" s="110">
        <v>48659</v>
      </c>
      <c r="Y680" s="110">
        <v>845884</v>
      </c>
      <c r="Z680" s="110">
        <v>6770491</v>
      </c>
      <c r="AA680" s="110">
        <v>2105363</v>
      </c>
      <c r="AB680" s="112">
        <v>4690407</v>
      </c>
      <c r="AC680" s="109">
        <v>160.1</v>
      </c>
      <c r="AD680" s="110">
        <v>-109.9</v>
      </c>
      <c r="AE680" s="110">
        <v>3.93</v>
      </c>
      <c r="AF680" s="110">
        <v>-0.75</v>
      </c>
      <c r="AG680" s="110">
        <v>109.8</v>
      </c>
      <c r="AH680" s="110">
        <v>-110.1</v>
      </c>
      <c r="AI680" s="110">
        <v>3.7</v>
      </c>
      <c r="AJ680" s="109">
        <v>-0.34</v>
      </c>
      <c r="AK680" s="113" t="s">
        <v>59</v>
      </c>
      <c r="AL680" s="107" t="s">
        <v>181</v>
      </c>
      <c r="AN680" s="107">
        <v>0.95399999999999996</v>
      </c>
      <c r="AO680" s="48">
        <f t="shared" si="953"/>
        <v>140905143.648</v>
      </c>
      <c r="AP680" s="156">
        <f t="shared" si="954"/>
        <v>98633600.553599998</v>
      </c>
      <c r="AQ680" s="161">
        <f t="shared" si="959"/>
        <v>29134756484.34581</v>
      </c>
      <c r="AR680" s="163">
        <f t="shared" si="960"/>
        <v>13.018483796270989</v>
      </c>
      <c r="AS680" s="49">
        <f t="shared" si="955"/>
        <v>0.29982142857142857</v>
      </c>
      <c r="AT680" s="165">
        <f t="shared" si="961"/>
        <v>88.98380357142851</v>
      </c>
      <c r="AU680" s="254">
        <f t="shared" si="956"/>
        <v>200851.63019999999</v>
      </c>
      <c r="AV680" s="255">
        <f t="shared" si="957"/>
        <v>478725.36980000004</v>
      </c>
      <c r="AW680" s="256">
        <f t="shared" si="958"/>
        <v>0.41955501602915041</v>
      </c>
    </row>
    <row r="681" spans="1:70">
      <c r="A681" s="108">
        <v>679</v>
      </c>
      <c r="F681" s="45">
        <v>43149.889606481483</v>
      </c>
      <c r="G681" s="45">
        <v>43149.932071759256</v>
      </c>
      <c r="H681" s="38">
        <f>G681-F681-'user time'!AE125</f>
        <v>4.2187499995084643E-2</v>
      </c>
      <c r="I681" s="86">
        <v>50.34</v>
      </c>
      <c r="J681" s="109" t="s">
        <v>260</v>
      </c>
      <c r="K681" s="88" t="s">
        <v>72</v>
      </c>
      <c r="L681" s="88" t="s">
        <v>73</v>
      </c>
      <c r="M681" s="88">
        <v>-369</v>
      </c>
      <c r="N681" s="108">
        <v>1</v>
      </c>
      <c r="O681" s="108">
        <v>200</v>
      </c>
      <c r="P681" s="88">
        <v>348</v>
      </c>
      <c r="Q681" s="88" t="s">
        <v>75</v>
      </c>
      <c r="R681" s="88" t="s">
        <v>348</v>
      </c>
      <c r="S681" s="110">
        <v>10000</v>
      </c>
      <c r="T681" s="110">
        <v>912</v>
      </c>
      <c r="U681" s="88">
        <v>983</v>
      </c>
      <c r="V681" s="90">
        <v>1500</v>
      </c>
      <c r="W681" s="111">
        <v>10</v>
      </c>
      <c r="X681" s="110">
        <v>48590</v>
      </c>
      <c r="Y681" s="110">
        <v>844820</v>
      </c>
      <c r="Z681" s="110">
        <v>6765821</v>
      </c>
      <c r="AA681" s="110">
        <v>2102195</v>
      </c>
      <c r="AB681" s="112">
        <v>4690084</v>
      </c>
      <c r="AC681" s="109">
        <v>160.1</v>
      </c>
      <c r="AD681" s="110">
        <v>-109.9</v>
      </c>
      <c r="AE681" s="110">
        <v>3.93</v>
      </c>
      <c r="AF681" s="110">
        <v>-0.75</v>
      </c>
      <c r="AG681" s="110">
        <v>109.8</v>
      </c>
      <c r="AH681" s="110">
        <v>-110.1</v>
      </c>
      <c r="AI681" s="110">
        <v>3.7</v>
      </c>
      <c r="AJ681" s="109">
        <v>-0.34</v>
      </c>
      <c r="AK681" s="113" t="s">
        <v>59</v>
      </c>
      <c r="AL681" s="107" t="s">
        <v>181</v>
      </c>
      <c r="AN681" s="107">
        <v>0.95199999999999996</v>
      </c>
      <c r="AO681" s="48">
        <f t="shared" si="953"/>
        <v>140282706.49615383</v>
      </c>
      <c r="AP681" s="156">
        <f t="shared" si="954"/>
        <v>98197894.54730767</v>
      </c>
      <c r="AQ681" s="161">
        <f t="shared" si="959"/>
        <v>29232954378.893116</v>
      </c>
      <c r="AR681" s="163">
        <f t="shared" si="960"/>
        <v>13.060671296266072</v>
      </c>
      <c r="AS681" s="49">
        <f t="shared" si="955"/>
        <v>0.29964285714285716</v>
      </c>
      <c r="AT681" s="165">
        <f t="shared" si="961"/>
        <v>89.283446428571366</v>
      </c>
      <c r="AU681" s="254">
        <f t="shared" si="956"/>
        <v>200128.96399999998</v>
      </c>
      <c r="AV681" s="255">
        <f t="shared" si="957"/>
        <v>479098.93600000005</v>
      </c>
      <c r="AW681" s="256">
        <f t="shared" si="958"/>
        <v>0.41771949165839928</v>
      </c>
    </row>
    <row r="682" spans="1:70">
      <c r="A682" s="108">
        <v>680</v>
      </c>
      <c r="F682" s="45">
        <v>43149.932106481479</v>
      </c>
      <c r="G682" s="45">
        <v>43149.974351851852</v>
      </c>
      <c r="H682" s="38">
        <f>G682-F682-'user time'!AE126</f>
        <v>4.1747685187071504E-2</v>
      </c>
      <c r="I682" s="86">
        <v>50.33</v>
      </c>
      <c r="J682" s="109" t="s">
        <v>260</v>
      </c>
      <c r="K682" s="88" t="s">
        <v>72</v>
      </c>
      <c r="L682" s="88" t="s">
        <v>73</v>
      </c>
      <c r="M682" s="88">
        <v>-369</v>
      </c>
      <c r="N682" s="108">
        <v>1</v>
      </c>
      <c r="O682" s="108">
        <v>200</v>
      </c>
      <c r="P682" s="88">
        <v>348</v>
      </c>
      <c r="Q682" s="88" t="s">
        <v>75</v>
      </c>
      <c r="R682" s="88" t="s">
        <v>348</v>
      </c>
      <c r="S682" s="110">
        <v>10000</v>
      </c>
      <c r="T682" s="110">
        <v>918</v>
      </c>
      <c r="U682" s="88">
        <v>983</v>
      </c>
      <c r="V682" s="90">
        <v>1500</v>
      </c>
      <c r="W682" s="111">
        <v>10</v>
      </c>
      <c r="X682" s="110">
        <v>48263</v>
      </c>
      <c r="Y682" s="110">
        <v>847576</v>
      </c>
      <c r="Z682" s="110">
        <v>6764035</v>
      </c>
      <c r="AA682" s="110">
        <v>2103136</v>
      </c>
      <c r="AB682" s="112">
        <v>4686958</v>
      </c>
      <c r="AC682" s="109">
        <v>160.1</v>
      </c>
      <c r="AD682" s="110">
        <v>-109.9</v>
      </c>
      <c r="AE682" s="110">
        <v>3.93</v>
      </c>
      <c r="AF682" s="110">
        <v>-0.75</v>
      </c>
      <c r="AG682" s="110">
        <v>109.8</v>
      </c>
      <c r="AH682" s="110">
        <v>-110</v>
      </c>
      <c r="AI682" s="110">
        <v>3.7</v>
      </c>
      <c r="AJ682" s="109">
        <v>-0.33</v>
      </c>
      <c r="AK682" s="113" t="s">
        <v>59</v>
      </c>
      <c r="AL682" s="107" t="s">
        <v>738</v>
      </c>
      <c r="AN682" s="107">
        <v>0.95299999999999996</v>
      </c>
      <c r="AO682" s="48">
        <f t="shared" si="953"/>
        <v>139028250.1741538</v>
      </c>
      <c r="AP682" s="156">
        <f t="shared" si="954"/>
        <v>97319775.121907651</v>
      </c>
      <c r="AQ682" s="161">
        <f t="shared" si="959"/>
        <v>29330274154.015022</v>
      </c>
      <c r="AR682" s="163">
        <f t="shared" si="960"/>
        <v>13.102418981453145</v>
      </c>
      <c r="AS682" s="49">
        <f t="shared" si="955"/>
        <v>0.29958333333333331</v>
      </c>
      <c r="AT682" s="165">
        <f t="shared" si="961"/>
        <v>89.583029761904697</v>
      </c>
      <c r="AU682" s="254">
        <f t="shared" si="956"/>
        <v>200428.86079999999</v>
      </c>
      <c r="AV682" s="255">
        <f t="shared" si="957"/>
        <v>478580.5392</v>
      </c>
      <c r="AW682" s="256">
        <f t="shared" si="958"/>
        <v>0.41879860208072578</v>
      </c>
    </row>
    <row r="683" spans="1:70">
      <c r="A683" s="108">
        <v>681</v>
      </c>
      <c r="F683" s="45">
        <v>43149.980173611111</v>
      </c>
      <c r="G683" s="45">
        <v>43150.022094907406</v>
      </c>
      <c r="H683" s="38">
        <f>G683-F683-SUM('user time'!AE128:AE130)</f>
        <v>4.0949074072963887E-2</v>
      </c>
      <c r="I683" s="86">
        <v>50.56</v>
      </c>
      <c r="J683" s="109" t="s">
        <v>260</v>
      </c>
      <c r="K683" s="88" t="s">
        <v>72</v>
      </c>
      <c r="L683" s="88" t="s">
        <v>73</v>
      </c>
      <c r="M683" s="88">
        <v>-369</v>
      </c>
      <c r="N683" s="108">
        <v>1</v>
      </c>
      <c r="O683" s="108">
        <v>200</v>
      </c>
      <c r="P683" s="88">
        <v>348</v>
      </c>
      <c r="Q683" s="88" t="s">
        <v>75</v>
      </c>
      <c r="R683" s="88" t="s">
        <v>348</v>
      </c>
      <c r="S683" s="110">
        <v>10000</v>
      </c>
      <c r="T683" s="110">
        <v>928</v>
      </c>
      <c r="U683" s="88">
        <v>983</v>
      </c>
      <c r="V683" s="90">
        <v>1500</v>
      </c>
      <c r="W683" s="111">
        <v>10</v>
      </c>
      <c r="X683" s="110">
        <v>48269</v>
      </c>
      <c r="Y683" s="110">
        <v>849304</v>
      </c>
      <c r="Z683" s="110">
        <v>6769068</v>
      </c>
      <c r="AA683" s="110">
        <v>2107906</v>
      </c>
      <c r="AB683" s="112">
        <v>4686588</v>
      </c>
      <c r="AC683" s="109">
        <v>160.1</v>
      </c>
      <c r="AD683" s="110">
        <v>-109.9</v>
      </c>
      <c r="AE683" s="110">
        <v>3.93</v>
      </c>
      <c r="AF683" s="110">
        <v>-0.75</v>
      </c>
      <c r="AG683" s="110">
        <v>109.8</v>
      </c>
      <c r="AH683" s="110">
        <v>-110</v>
      </c>
      <c r="AI683" s="110">
        <v>3.7</v>
      </c>
      <c r="AJ683" s="109">
        <v>-0.33</v>
      </c>
      <c r="AK683" s="113" t="s">
        <v>59</v>
      </c>
      <c r="AL683" s="107" t="s">
        <v>181</v>
      </c>
      <c r="AN683" s="107">
        <v>0.95199999999999996</v>
      </c>
      <c r="AO683" s="48">
        <f t="shared" si="953"/>
        <v>136534584.60492307</v>
      </c>
      <c r="AP683" s="156">
        <f t="shared" si="954"/>
        <v>95574209.223446146</v>
      </c>
      <c r="AQ683" s="161">
        <f t="shared" si="959"/>
        <v>29425848363.238468</v>
      </c>
      <c r="AR683" s="163">
        <f t="shared" si="960"/>
        <v>13.143368055526109</v>
      </c>
      <c r="AS683" s="49">
        <f t="shared" si="955"/>
        <v>0.29092063492063491</v>
      </c>
      <c r="AT683" s="165">
        <f t="shared" si="961"/>
        <v>89.873950396825336</v>
      </c>
      <c r="AU683" s="254">
        <f t="shared" si="956"/>
        <v>200672.65119999999</v>
      </c>
      <c r="AV683" s="255">
        <f t="shared" si="957"/>
        <v>478776.7488</v>
      </c>
      <c r="AW683" s="256">
        <f t="shared" si="958"/>
        <v>0.41913616670601361</v>
      </c>
    </row>
    <row r="684" spans="1:70">
      <c r="A684" s="108">
        <v>682</v>
      </c>
      <c r="F684" s="45">
        <v>43150.022141203706</v>
      </c>
      <c r="G684" s="45">
        <v>43150.064155092594</v>
      </c>
      <c r="H684" s="38">
        <f>G684-F684-SUM('user time'!AE134:AE136)</f>
        <v>4.103009259129909E-2</v>
      </c>
      <c r="I684" s="86">
        <v>50.29</v>
      </c>
      <c r="J684" s="109" t="s">
        <v>260</v>
      </c>
      <c r="K684" s="88" t="s">
        <v>72</v>
      </c>
      <c r="L684" s="88" t="s">
        <v>73</v>
      </c>
      <c r="M684" s="88">
        <v>-369</v>
      </c>
      <c r="N684" s="108">
        <v>1</v>
      </c>
      <c r="O684" s="108">
        <v>200</v>
      </c>
      <c r="P684" s="88">
        <v>348</v>
      </c>
      <c r="Q684" s="88" t="s">
        <v>75</v>
      </c>
      <c r="R684" s="88" t="s">
        <v>348</v>
      </c>
      <c r="S684" s="110">
        <v>10300</v>
      </c>
      <c r="T684" s="110">
        <v>927</v>
      </c>
      <c r="U684" s="88">
        <v>983</v>
      </c>
      <c r="V684" s="90">
        <v>1500</v>
      </c>
      <c r="W684" s="111">
        <v>10</v>
      </c>
      <c r="X684" s="110">
        <v>48510</v>
      </c>
      <c r="Y684" s="110">
        <v>847028</v>
      </c>
      <c r="Z684" s="110">
        <v>6788340</v>
      </c>
      <c r="AA684" s="110">
        <v>2111252</v>
      </c>
      <c r="AB684" s="112">
        <v>4702244</v>
      </c>
      <c r="AC684" s="109">
        <v>160.1</v>
      </c>
      <c r="AD684" s="110">
        <v>-109.9</v>
      </c>
      <c r="AE684" s="110">
        <v>3.93</v>
      </c>
      <c r="AF684" s="110">
        <v>-0.75</v>
      </c>
      <c r="AG684" s="110">
        <v>109.8</v>
      </c>
      <c r="AH684" s="110">
        <v>-110</v>
      </c>
      <c r="AI684" s="110">
        <v>3.7</v>
      </c>
      <c r="AJ684" s="109">
        <v>-0.33</v>
      </c>
      <c r="AK684" s="113" t="s">
        <v>59</v>
      </c>
      <c r="AL684" s="107" t="s">
        <v>181</v>
      </c>
      <c r="AN684" s="107">
        <v>0.95699999999999996</v>
      </c>
      <c r="AO684" s="48">
        <f t="shared" si="953"/>
        <v>137741531.56499997</v>
      </c>
      <c r="AP684" s="156">
        <f t="shared" si="954"/>
        <v>96419072.095499977</v>
      </c>
      <c r="AQ684" s="161">
        <f t="shared" si="959"/>
        <v>29522267435.333969</v>
      </c>
      <c r="AR684" s="163">
        <f t="shared" si="960"/>
        <v>13.184398148117408</v>
      </c>
      <c r="AS684" s="49">
        <f t="shared" si="955"/>
        <v>0.29435615079365079</v>
      </c>
      <c r="AT684" s="165">
        <f t="shared" si="961"/>
        <v>90.168306547618982</v>
      </c>
      <c r="AU684" s="254">
        <f t="shared" si="956"/>
        <v>202046.81640000001</v>
      </c>
      <c r="AV684" s="255">
        <f t="shared" si="957"/>
        <v>479302.78360000002</v>
      </c>
      <c r="AW684" s="256">
        <f t="shared" si="958"/>
        <v>0.42154317336203345</v>
      </c>
    </row>
    <row r="685" spans="1:70">
      <c r="A685" s="108">
        <v>683</v>
      </c>
      <c r="F685" s="45">
        <v>43150.064189814817</v>
      </c>
      <c r="G685" s="45">
        <v>43150.105937499997</v>
      </c>
      <c r="H685" s="38">
        <f>G685-F685</f>
        <v>4.1747685179871041E-2</v>
      </c>
      <c r="I685" s="86">
        <v>50.41</v>
      </c>
      <c r="J685" s="109" t="s">
        <v>260</v>
      </c>
      <c r="K685" s="88" t="s">
        <v>72</v>
      </c>
      <c r="L685" s="88" t="s">
        <v>73</v>
      </c>
      <c r="M685" s="88">
        <v>-369</v>
      </c>
      <c r="N685" s="108">
        <v>1</v>
      </c>
      <c r="O685" s="108">
        <v>200</v>
      </c>
      <c r="P685" s="88">
        <v>348</v>
      </c>
      <c r="Q685" s="88" t="s">
        <v>75</v>
      </c>
      <c r="R685" s="88" t="s">
        <v>348</v>
      </c>
      <c r="S685" s="110">
        <v>10300</v>
      </c>
      <c r="T685" s="110">
        <v>927</v>
      </c>
      <c r="U685" s="88">
        <v>983</v>
      </c>
      <c r="V685" s="90">
        <v>1500</v>
      </c>
      <c r="W685" s="111">
        <v>10</v>
      </c>
      <c r="X685" s="110">
        <v>48546</v>
      </c>
      <c r="Y685" s="110">
        <v>845743</v>
      </c>
      <c r="Z685" s="110">
        <v>6747888</v>
      </c>
      <c r="AA685" s="110">
        <v>2099875</v>
      </c>
      <c r="AB685" s="112">
        <v>4673981</v>
      </c>
      <c r="AC685" s="109">
        <v>160.1</v>
      </c>
      <c r="AD685" s="110">
        <v>-109.9</v>
      </c>
      <c r="AE685" s="110">
        <v>3.93</v>
      </c>
      <c r="AF685" s="110">
        <v>-0.75</v>
      </c>
      <c r="AG685" s="110">
        <v>109.8</v>
      </c>
      <c r="AH685" s="110">
        <v>-110</v>
      </c>
      <c r="AI685" s="110">
        <v>3.7</v>
      </c>
      <c r="AJ685" s="109">
        <v>-0.34</v>
      </c>
      <c r="AK685" s="113" t="s">
        <v>59</v>
      </c>
      <c r="AL685" s="107" t="s">
        <v>181</v>
      </c>
      <c r="AN685" s="107">
        <v>0.95499999999999996</v>
      </c>
      <c r="AO685" s="48">
        <f t="shared" si="953"/>
        <v>139103998.35336536</v>
      </c>
      <c r="AP685" s="156">
        <f t="shared" si="954"/>
        <v>97372798.847355753</v>
      </c>
      <c r="AQ685" s="161">
        <f t="shared" si="959"/>
        <v>29619640234.181324</v>
      </c>
      <c r="AR685" s="163">
        <f t="shared" si="960"/>
        <v>13.226145833297279</v>
      </c>
      <c r="AS685" s="49">
        <f t="shared" si="955"/>
        <v>0.30005952380952378</v>
      </c>
      <c r="AT685" s="165">
        <f t="shared" si="961"/>
        <v>90.468366071428505</v>
      </c>
      <c r="AU685" s="254">
        <f t="shared" si="956"/>
        <v>200538.0625</v>
      </c>
      <c r="AV685" s="255">
        <f t="shared" si="957"/>
        <v>476847.53749999998</v>
      </c>
      <c r="AW685" s="256">
        <f t="shared" si="958"/>
        <v>0.42054964475935874</v>
      </c>
    </row>
    <row r="686" spans="1:70">
      <c r="A686" s="108">
        <v>684</v>
      </c>
      <c r="F686" s="45">
        <v>43150.105995370373</v>
      </c>
      <c r="G686" s="45">
        <v>43150.147997685184</v>
      </c>
      <c r="H686" s="38">
        <f>G686-F686-'user time'!AE137-'user time'!AE138</f>
        <v>4.1516203699704629E-2</v>
      </c>
      <c r="I686" s="86">
        <v>50.41</v>
      </c>
      <c r="J686" s="109" t="s">
        <v>260</v>
      </c>
      <c r="K686" s="88" t="s">
        <v>72</v>
      </c>
      <c r="L686" s="88" t="s">
        <v>73</v>
      </c>
      <c r="M686" s="88">
        <v>-369</v>
      </c>
      <c r="N686" s="108">
        <v>1</v>
      </c>
      <c r="O686" s="108">
        <v>200</v>
      </c>
      <c r="P686" s="88">
        <v>348</v>
      </c>
      <c r="Q686" s="88" t="s">
        <v>75</v>
      </c>
      <c r="R686" s="88" t="s">
        <v>348</v>
      </c>
      <c r="S686" s="110">
        <v>10300</v>
      </c>
      <c r="T686" s="110">
        <v>925</v>
      </c>
      <c r="U686" s="88">
        <v>983</v>
      </c>
      <c r="V686" s="90">
        <v>1500</v>
      </c>
      <c r="W686" s="111">
        <v>10</v>
      </c>
      <c r="X686" s="110">
        <v>48754</v>
      </c>
      <c r="Y686" s="110">
        <v>846220</v>
      </c>
      <c r="Z686" s="110">
        <v>6757295</v>
      </c>
      <c r="AA686" s="110">
        <v>2102499</v>
      </c>
      <c r="AB686" s="112">
        <v>4681071</v>
      </c>
      <c r="AC686" s="109">
        <v>160.1</v>
      </c>
      <c r="AD686" s="110">
        <v>-109.9</v>
      </c>
      <c r="AE686" s="110">
        <v>3.93</v>
      </c>
      <c r="AF686" s="110">
        <v>-0.75</v>
      </c>
      <c r="AG686" s="110">
        <v>109.8</v>
      </c>
      <c r="AH686" s="110">
        <v>-110</v>
      </c>
      <c r="AI686" s="110">
        <v>3.7</v>
      </c>
      <c r="AJ686" s="109">
        <v>-0.33</v>
      </c>
      <c r="AK686" s="113" t="s">
        <v>59</v>
      </c>
      <c r="AL686" s="107" t="s">
        <v>181</v>
      </c>
      <c r="AN686" s="107">
        <v>0.95199999999999996</v>
      </c>
      <c r="AO686" s="48">
        <f t="shared" si="953"/>
        <v>138070462.40723076</v>
      </c>
      <c r="AP686" s="156">
        <f t="shared" si="954"/>
        <v>96649323.685061529</v>
      </c>
      <c r="AQ686" s="161">
        <f t="shared" si="959"/>
        <v>29716289557.866386</v>
      </c>
      <c r="AR686" s="163">
        <f t="shared" si="960"/>
        <v>13.267662036996983</v>
      </c>
      <c r="AS686" s="49">
        <f t="shared" si="955"/>
        <v>0.29505853174603169</v>
      </c>
      <c r="AT686" s="165">
        <f t="shared" si="961"/>
        <v>90.763424603174542</v>
      </c>
      <c r="AU686" s="254">
        <f t="shared" si="956"/>
        <v>200157.90479999999</v>
      </c>
      <c r="AV686" s="255">
        <f t="shared" si="957"/>
        <v>478199.09519999998</v>
      </c>
      <c r="AW686" s="256">
        <f t="shared" si="958"/>
        <v>0.41856604667201802</v>
      </c>
    </row>
    <row r="687" spans="1:70">
      <c r="A687" s="108">
        <v>685</v>
      </c>
      <c r="F687" s="45">
        <v>43150.148020833331</v>
      </c>
      <c r="G687" s="45">
        <v>43150.189872685187</v>
      </c>
      <c r="H687" s="38">
        <f>G687-F687</f>
        <v>4.1851851856335998E-2</v>
      </c>
      <c r="I687" s="86">
        <v>50.48</v>
      </c>
      <c r="J687" s="109" t="s">
        <v>260</v>
      </c>
      <c r="K687" s="88" t="s">
        <v>72</v>
      </c>
      <c r="L687" s="88" t="s">
        <v>73</v>
      </c>
      <c r="M687" s="88">
        <v>-369</v>
      </c>
      <c r="N687" s="108">
        <v>1</v>
      </c>
      <c r="O687" s="108">
        <v>200</v>
      </c>
      <c r="P687" s="88">
        <v>348</v>
      </c>
      <c r="Q687" s="88" t="s">
        <v>75</v>
      </c>
      <c r="R687" s="88" t="s">
        <v>348</v>
      </c>
      <c r="S687" s="110">
        <v>10100</v>
      </c>
      <c r="T687" s="110">
        <v>940</v>
      </c>
      <c r="U687" s="88">
        <v>983</v>
      </c>
      <c r="V687" s="90">
        <v>1500</v>
      </c>
      <c r="W687" s="111">
        <v>10</v>
      </c>
      <c r="X687" s="110">
        <v>48490</v>
      </c>
      <c r="Y687" s="110">
        <v>848397</v>
      </c>
      <c r="Z687" s="110">
        <v>6739303</v>
      </c>
      <c r="AA687" s="110">
        <v>2098400</v>
      </c>
      <c r="AB687" s="112">
        <v>4664796</v>
      </c>
      <c r="AC687" s="109">
        <v>160.1</v>
      </c>
      <c r="AD687" s="110">
        <v>-109.9</v>
      </c>
      <c r="AE687" s="110">
        <v>3.93</v>
      </c>
      <c r="AF687" s="110">
        <v>-0.75</v>
      </c>
      <c r="AG687" s="110">
        <v>109.8</v>
      </c>
      <c r="AH687" s="110">
        <v>-110</v>
      </c>
      <c r="AI687" s="110">
        <v>3.7</v>
      </c>
      <c r="AJ687" s="109">
        <v>-0.34</v>
      </c>
      <c r="AK687" s="113" t="s">
        <v>59</v>
      </c>
      <c r="AL687" s="107" t="s">
        <v>181</v>
      </c>
      <c r="AN687" s="107">
        <v>0.95</v>
      </c>
      <c r="AO687" s="48">
        <f t="shared" si="953"/>
        <v>138623532.30769229</v>
      </c>
      <c r="AP687" s="156">
        <f t="shared" si="954"/>
        <v>97036472.615384594</v>
      </c>
      <c r="AQ687" s="161">
        <f t="shared" si="959"/>
        <v>29813326030.48177</v>
      </c>
      <c r="AR687" s="163">
        <f t="shared" si="960"/>
        <v>13.309513888853319</v>
      </c>
      <c r="AS687" s="49">
        <f t="shared" si="955"/>
        <v>0.30047619047619045</v>
      </c>
      <c r="AT687" s="165">
        <f t="shared" si="961"/>
        <v>91.063900793650731</v>
      </c>
      <c r="AU687" s="254">
        <f t="shared" si="956"/>
        <v>199348</v>
      </c>
      <c r="AV687" s="255">
        <f t="shared" si="957"/>
        <v>476971.6</v>
      </c>
      <c r="AW687" s="256">
        <f t="shared" si="958"/>
        <v>0.41794521937993795</v>
      </c>
    </row>
    <row r="688" spans="1:70">
      <c r="A688" s="108">
        <v>686</v>
      </c>
      <c r="F688" s="45">
        <v>43150.18990740741</v>
      </c>
      <c r="G688" s="45">
        <v>43150.231886574074</v>
      </c>
      <c r="H688" s="38">
        <f>G688-F688</f>
        <v>4.1979166664532386E-2</v>
      </c>
      <c r="I688" s="86">
        <v>50.43</v>
      </c>
      <c r="J688" s="109" t="s">
        <v>260</v>
      </c>
      <c r="K688" s="88" t="s">
        <v>72</v>
      </c>
      <c r="L688" s="88" t="s">
        <v>73</v>
      </c>
      <c r="M688" s="88">
        <v>-369</v>
      </c>
      <c r="N688" s="108">
        <v>1</v>
      </c>
      <c r="O688" s="108">
        <v>200</v>
      </c>
      <c r="P688" s="88">
        <v>348</v>
      </c>
      <c r="Q688" s="88" t="s">
        <v>75</v>
      </c>
      <c r="R688" s="88" t="s">
        <v>348</v>
      </c>
      <c r="S688" s="110">
        <v>10300</v>
      </c>
      <c r="T688" s="110">
        <v>930</v>
      </c>
      <c r="U688" s="88">
        <v>983</v>
      </c>
      <c r="V688" s="90">
        <v>1500</v>
      </c>
      <c r="W688" s="111">
        <v>10</v>
      </c>
      <c r="X688" s="110">
        <v>48542</v>
      </c>
      <c r="Y688" s="110">
        <v>848042</v>
      </c>
      <c r="Z688" s="110">
        <v>6730941</v>
      </c>
      <c r="AA688" s="110">
        <v>2099251</v>
      </c>
      <c r="AB688" s="112">
        <v>4657667</v>
      </c>
      <c r="AC688" s="109">
        <v>160.1</v>
      </c>
      <c r="AD688" s="110">
        <v>-110</v>
      </c>
      <c r="AE688" s="110">
        <v>3.94</v>
      </c>
      <c r="AF688" s="110">
        <v>-0.76</v>
      </c>
      <c r="AG688" s="110">
        <v>109.8</v>
      </c>
      <c r="AH688" s="110">
        <v>-110</v>
      </c>
      <c r="AI688" s="110">
        <v>3.7</v>
      </c>
      <c r="AJ688" s="109">
        <v>-0.33</v>
      </c>
      <c r="AK688" s="113" t="s">
        <v>59</v>
      </c>
      <c r="AL688" s="107" t="s">
        <v>181</v>
      </c>
      <c r="AN688" s="107">
        <v>0.95099999999999996</v>
      </c>
      <c r="AO688" s="48">
        <f t="shared" si="953"/>
        <v>139248042.14475</v>
      </c>
      <c r="AP688" s="156">
        <f t="shared" si="954"/>
        <v>97473629.501324996</v>
      </c>
      <c r="AQ688" s="161">
        <f t="shared" si="959"/>
        <v>29910799659.983093</v>
      </c>
      <c r="AR688" s="163">
        <f t="shared" si="960"/>
        <v>13.351493055517851</v>
      </c>
      <c r="AS688" s="49">
        <f t="shared" si="955"/>
        <v>0.30017857142857141</v>
      </c>
      <c r="AT688" s="165">
        <f t="shared" si="961"/>
        <v>91.364079365079306</v>
      </c>
      <c r="AU688" s="254">
        <f t="shared" si="956"/>
        <v>199638.77009999999</v>
      </c>
      <c r="AV688" s="255">
        <f t="shared" si="957"/>
        <v>476053.02990000002</v>
      </c>
      <c r="AW688" s="256">
        <f t="shared" si="958"/>
        <v>0.41936246082066997</v>
      </c>
    </row>
    <row r="689" spans="1:49">
      <c r="A689" s="108">
        <v>687</v>
      </c>
      <c r="F689" s="45">
        <v>43150.231944444444</v>
      </c>
      <c r="G689" s="45">
        <v>43150.273715277777</v>
      </c>
      <c r="H689" s="38">
        <f>G689-F689-'user time'!AE139-'user time'!AE140</f>
        <v>4.1111111111208104E-2</v>
      </c>
      <c r="I689" s="86">
        <v>50.3</v>
      </c>
      <c r="J689" s="109" t="s">
        <v>260</v>
      </c>
      <c r="K689" s="88" t="s">
        <v>72</v>
      </c>
      <c r="L689" s="88" t="s">
        <v>73</v>
      </c>
      <c r="M689" s="88">
        <v>-369</v>
      </c>
      <c r="N689" s="108">
        <v>1</v>
      </c>
      <c r="O689" s="108">
        <v>200</v>
      </c>
      <c r="P689" s="88">
        <v>348</v>
      </c>
      <c r="Q689" s="88" t="s">
        <v>75</v>
      </c>
      <c r="R689" s="88" t="s">
        <v>348</v>
      </c>
      <c r="S689" s="110">
        <v>10200</v>
      </c>
      <c r="T689" s="110">
        <v>920</v>
      </c>
      <c r="U689" s="88">
        <v>983</v>
      </c>
      <c r="V689" s="90">
        <v>1500</v>
      </c>
      <c r="W689" s="111">
        <v>10</v>
      </c>
      <c r="X689" s="110">
        <v>48790</v>
      </c>
      <c r="Y689" s="110">
        <v>847120</v>
      </c>
      <c r="Z689" s="110">
        <v>6767622</v>
      </c>
      <c r="AA689" s="110">
        <v>2104075</v>
      </c>
      <c r="AB689" s="112">
        <v>4688818</v>
      </c>
      <c r="AC689" s="109">
        <v>160.1</v>
      </c>
      <c r="AD689" s="110">
        <v>-109.9</v>
      </c>
      <c r="AE689" s="110">
        <v>3.93</v>
      </c>
      <c r="AF689" s="110">
        <v>-0.76</v>
      </c>
      <c r="AG689" s="110">
        <v>109.8</v>
      </c>
      <c r="AH689" s="110">
        <v>-110</v>
      </c>
      <c r="AI689" s="110">
        <v>3.7</v>
      </c>
      <c r="AJ689" s="109">
        <v>-0.34</v>
      </c>
      <c r="AK689" s="113" t="s">
        <v>59</v>
      </c>
      <c r="AL689" s="107" t="s">
        <v>181</v>
      </c>
      <c r="AN689" s="107">
        <v>0.95599999999999996</v>
      </c>
      <c r="AO689" s="48">
        <f t="shared" si="953"/>
        <v>137400629.35384613</v>
      </c>
      <c r="AP689" s="156">
        <f t="shared" si="954"/>
        <v>96180440.547692284</v>
      </c>
      <c r="AQ689" s="161">
        <f t="shared" si="959"/>
        <v>30006980100.530785</v>
      </c>
      <c r="AR689" s="163">
        <f t="shared" si="960"/>
        <v>13.392604166629059</v>
      </c>
      <c r="AS689" s="49">
        <f t="shared" si="955"/>
        <v>0.29441468253968256</v>
      </c>
      <c r="AT689" s="165">
        <f t="shared" si="961"/>
        <v>91.658494047618987</v>
      </c>
      <c r="AU689" s="254">
        <f t="shared" si="956"/>
        <v>201149.56999999998</v>
      </c>
      <c r="AV689" s="255">
        <f t="shared" si="957"/>
        <v>478139.73</v>
      </c>
      <c r="AW689" s="256">
        <f t="shared" si="958"/>
        <v>0.42069202239270093</v>
      </c>
    </row>
    <row r="690" spans="1:49">
      <c r="A690" s="108">
        <v>688</v>
      </c>
      <c r="F690" s="45">
        <v>43150.273784722223</v>
      </c>
      <c r="G690" s="45">
        <v>43150.315682870372</v>
      </c>
      <c r="H690" s="38">
        <f>G690-F690</f>
        <v>4.1898148148902692E-2</v>
      </c>
      <c r="I690" s="86">
        <v>50.42</v>
      </c>
      <c r="J690" s="109" t="s">
        <v>260</v>
      </c>
      <c r="K690" s="88" t="s">
        <v>72</v>
      </c>
      <c r="L690" s="88" t="s">
        <v>73</v>
      </c>
      <c r="M690" s="88">
        <v>-369</v>
      </c>
      <c r="N690" s="108">
        <v>1</v>
      </c>
      <c r="O690" s="108">
        <v>200</v>
      </c>
      <c r="P690" s="88">
        <v>348</v>
      </c>
      <c r="Q690" s="88" t="s">
        <v>75</v>
      </c>
      <c r="R690" s="88" t="s">
        <v>348</v>
      </c>
      <c r="U690" s="88">
        <v>983</v>
      </c>
      <c r="V690" s="90">
        <v>1500</v>
      </c>
      <c r="W690" s="111">
        <v>10</v>
      </c>
      <c r="X690" s="110">
        <v>48687</v>
      </c>
      <c r="Y690" s="110">
        <v>845732</v>
      </c>
      <c r="Z690" s="110">
        <v>6757860</v>
      </c>
      <c r="AA690" s="110">
        <v>2102903</v>
      </c>
      <c r="AB690" s="112">
        <v>4680055</v>
      </c>
      <c r="AC690" s="109">
        <v>160.1</v>
      </c>
      <c r="AD690" s="110">
        <v>-109.9</v>
      </c>
      <c r="AE690" s="110">
        <v>3.93</v>
      </c>
      <c r="AF690" s="110">
        <v>-0.75</v>
      </c>
      <c r="AG690" s="110">
        <v>109.8</v>
      </c>
      <c r="AH690" s="110">
        <v>-110.1</v>
      </c>
      <c r="AI690" s="110">
        <v>3.7</v>
      </c>
      <c r="AJ690" s="109">
        <v>-0.33</v>
      </c>
      <c r="AK690" s="113" t="s">
        <v>59</v>
      </c>
      <c r="AL690" s="107" t="s">
        <v>181</v>
      </c>
      <c r="AN690" s="107">
        <v>0.95299999999999996</v>
      </c>
      <c r="AO690" s="48">
        <f t="shared" si="953"/>
        <v>139513864.29961538</v>
      </c>
      <c r="AP690" s="156">
        <f t="shared" si="954"/>
        <v>97659705.009730756</v>
      </c>
      <c r="AQ690" s="161">
        <f t="shared" si="959"/>
        <v>30104639805.540516</v>
      </c>
      <c r="AR690" s="163">
        <f t="shared" si="960"/>
        <v>13.434502314777962</v>
      </c>
      <c r="AS690" s="49">
        <f t="shared" si="955"/>
        <v>0.30011904761904762</v>
      </c>
      <c r="AT690" s="165">
        <f t="shared" si="961"/>
        <v>91.958613095238036</v>
      </c>
      <c r="AU690" s="254">
        <f t="shared" si="956"/>
        <v>200406.65589999998</v>
      </c>
      <c r="AV690" s="255">
        <f t="shared" si="957"/>
        <v>477889.14410000003</v>
      </c>
      <c r="AW690" s="256">
        <f t="shared" si="958"/>
        <v>0.41935804228702916</v>
      </c>
    </row>
    <row r="691" spans="1:49">
      <c r="A691" s="108">
        <v>689</v>
      </c>
      <c r="F691" s="45">
        <v>43150.315694444442</v>
      </c>
      <c r="G691" s="45">
        <v>43150.357615740744</v>
      </c>
      <c r="H691" s="38">
        <f>G691-F691-'user time'!AE141-'user time'!AE142</f>
        <v>4.1273148154313821E-2</v>
      </c>
      <c r="I691" s="86">
        <v>50.35</v>
      </c>
      <c r="J691" s="109" t="s">
        <v>260</v>
      </c>
      <c r="K691" s="88" t="s">
        <v>72</v>
      </c>
      <c r="L691" s="88" t="s">
        <v>73</v>
      </c>
      <c r="M691" s="88">
        <v>-369</v>
      </c>
      <c r="N691" s="108">
        <v>1</v>
      </c>
      <c r="O691" s="108">
        <v>200</v>
      </c>
      <c r="P691" s="88">
        <v>348</v>
      </c>
      <c r="Q691" s="88" t="s">
        <v>75</v>
      </c>
      <c r="R691" s="88" t="s">
        <v>348</v>
      </c>
      <c r="S691" s="110">
        <v>10300</v>
      </c>
      <c r="T691" s="110">
        <v>930</v>
      </c>
      <c r="U691" s="88">
        <v>983</v>
      </c>
      <c r="V691" s="90">
        <v>1500</v>
      </c>
      <c r="W691" s="111">
        <v>10</v>
      </c>
      <c r="X691" s="110">
        <v>48664</v>
      </c>
      <c r="Y691" s="110">
        <v>846655</v>
      </c>
      <c r="Z691" s="110">
        <v>6750814</v>
      </c>
      <c r="AA691" s="110">
        <v>2099859</v>
      </c>
      <c r="AB691" s="112">
        <v>4675983</v>
      </c>
      <c r="AC691" s="109">
        <v>160.1</v>
      </c>
      <c r="AD691" s="110">
        <v>-109.9</v>
      </c>
      <c r="AE691" s="110">
        <v>3.93</v>
      </c>
      <c r="AF691" s="110">
        <v>-0.75</v>
      </c>
      <c r="AG691" s="110">
        <v>109.8</v>
      </c>
      <c r="AH691" s="110">
        <v>-110</v>
      </c>
      <c r="AI691" s="110">
        <v>3.7</v>
      </c>
      <c r="AJ691" s="109">
        <v>-0.33</v>
      </c>
      <c r="AK691" s="113" t="s">
        <v>59</v>
      </c>
      <c r="AL691" s="107" t="s">
        <v>181</v>
      </c>
      <c r="AN691" s="107">
        <v>0.95299999999999996</v>
      </c>
      <c r="AO691" s="48">
        <f t="shared" ref="AO691" si="962">(HOUR(H691)*60*60+MINUTE(H691)*60+SECOND(H691))/5.2*AA691/W691*AN691</f>
        <v>137233781.26696151</v>
      </c>
      <c r="AP691" s="156">
        <f t="shared" ref="AP691" si="963">AO691*0.7</f>
        <v>96063646.886873052</v>
      </c>
      <c r="AQ691" s="161">
        <f t="shared" ref="AQ691" si="964">AP691+AQ690</f>
        <v>30200703452.427387</v>
      </c>
      <c r="AR691" s="163">
        <f t="shared" ref="AR691" si="965">H691+AR690</f>
        <v>13.475775462932276</v>
      </c>
      <c r="AS691" s="49">
        <f t="shared" ref="AS691" si="966">I691*(HOUR(H691)*60+MINUTE(H691))/60/(7*24)</f>
        <v>0.29470734126984127</v>
      </c>
      <c r="AT691" s="165">
        <f t="shared" ref="AT691" si="967">AS691+AT690</f>
        <v>92.253320436507877</v>
      </c>
      <c r="AU691" s="254">
        <f t="shared" ref="AU691" si="968">AA691/W691*AN691</f>
        <v>200116.56269999998</v>
      </c>
      <c r="AV691" s="255">
        <f t="shared" ref="AV691" si="969">AB691/W691+AA691/W691*(1-AN691)</f>
        <v>477467.6373</v>
      </c>
      <c r="AW691" s="256">
        <f t="shared" ref="AW691" si="970">AU691/AV691</f>
        <v>0.41912068393080171</v>
      </c>
    </row>
    <row r="692" spans="1:49">
      <c r="A692" s="108">
        <v>690</v>
      </c>
      <c r="F692" s="45">
        <v>43150.357685185183</v>
      </c>
      <c r="G692" s="45">
        <v>43150.399629629632</v>
      </c>
      <c r="H692" s="38">
        <f>G692-F692-'user time'!AE143</f>
        <v>4.1678240745041617E-2</v>
      </c>
      <c r="I692" s="86">
        <v>50.39</v>
      </c>
      <c r="J692" s="109" t="s">
        <v>260</v>
      </c>
      <c r="K692" s="88" t="s">
        <v>72</v>
      </c>
      <c r="L692" s="88" t="s">
        <v>73</v>
      </c>
      <c r="M692" s="88">
        <v>-369</v>
      </c>
      <c r="N692" s="108">
        <v>1</v>
      </c>
      <c r="O692" s="108">
        <v>200</v>
      </c>
      <c r="P692" s="88">
        <v>348</v>
      </c>
      <c r="Q692" s="88" t="s">
        <v>75</v>
      </c>
      <c r="R692" s="88" t="s">
        <v>348</v>
      </c>
      <c r="S692" s="110">
        <v>10200</v>
      </c>
      <c r="T692" s="110">
        <v>910</v>
      </c>
      <c r="U692" s="88">
        <v>983</v>
      </c>
      <c r="V692" s="90">
        <v>1500</v>
      </c>
      <c r="W692" s="111">
        <v>10</v>
      </c>
      <c r="X692" s="110">
        <v>48622</v>
      </c>
      <c r="Y692" s="110">
        <v>847999</v>
      </c>
      <c r="Z692" s="110">
        <v>6753320</v>
      </c>
      <c r="AA692" s="110">
        <v>2102400</v>
      </c>
      <c r="AB692" s="112">
        <v>4675705</v>
      </c>
      <c r="AC692" s="109">
        <v>160.1</v>
      </c>
      <c r="AD692" s="110">
        <v>-109.9</v>
      </c>
      <c r="AE692" s="110">
        <v>3.93</v>
      </c>
      <c r="AF692" s="110">
        <v>-0.75</v>
      </c>
      <c r="AG692" s="110">
        <v>109.8</v>
      </c>
      <c r="AH692" s="110">
        <v>-110</v>
      </c>
      <c r="AI692" s="110">
        <v>3.7</v>
      </c>
      <c r="AJ692" s="109">
        <v>-0.33</v>
      </c>
      <c r="AK692" s="113" t="s">
        <v>59</v>
      </c>
      <c r="AL692" s="107" t="s">
        <v>181</v>
      </c>
      <c r="AN692" s="107">
        <v>0.95199999999999996</v>
      </c>
      <c r="AO692" s="48">
        <f t="shared" ref="AO692" si="971">(HOUR(H692)*60*60+MINUTE(H692)*60+SECOND(H692))/5.2*AA692/W692*AN692</f>
        <v>138602822.40000001</v>
      </c>
      <c r="AP692" s="156">
        <f t="shared" ref="AP692" si="972">AO692*0.7</f>
        <v>97021975.679999992</v>
      </c>
      <c r="AQ692" s="161">
        <f t="shared" ref="AQ692" si="973">AP692+AQ691</f>
        <v>30297725428.107388</v>
      </c>
      <c r="AR692" s="163">
        <f t="shared" ref="AR692" si="974">H692+AR691</f>
        <v>13.517453703677317</v>
      </c>
      <c r="AS692" s="49">
        <f t="shared" ref="AS692" si="975">I692*(HOUR(H692)*60+MINUTE(H692))/60/(7*24)</f>
        <v>0.2999404761904762</v>
      </c>
      <c r="AT692" s="165">
        <f t="shared" ref="AT692" si="976">AS692+AT691</f>
        <v>92.553260912698349</v>
      </c>
      <c r="AU692" s="254">
        <f t="shared" ref="AU692" si="977">AA692/W692*AN692</f>
        <v>200148.47999999998</v>
      </c>
      <c r="AV692" s="255">
        <f t="shared" ref="AV692" si="978">AB692/W692+AA692/W692*(1-AN692)</f>
        <v>477662.02</v>
      </c>
      <c r="AW692" s="256">
        <f t="shared" ref="AW692" si="979">AU692/AV692</f>
        <v>0.41901694424019725</v>
      </c>
    </row>
    <row r="693" spans="1:49">
      <c r="A693" s="108">
        <v>691</v>
      </c>
      <c r="F693" s="45">
        <v>43150.399687500001</v>
      </c>
      <c r="G693" s="45">
        <v>43150.441203703704</v>
      </c>
      <c r="H693" s="38">
        <f>G693-F693-'user time'!AE144</f>
        <v>4.0173611109893037E-2</v>
      </c>
      <c r="I693" s="86">
        <v>50.41</v>
      </c>
      <c r="J693" s="109" t="s">
        <v>260</v>
      </c>
      <c r="K693" s="88" t="s">
        <v>72</v>
      </c>
      <c r="L693" s="88" t="s">
        <v>73</v>
      </c>
      <c r="M693" s="88">
        <v>-369</v>
      </c>
      <c r="N693" s="108">
        <v>1</v>
      </c>
      <c r="O693" s="108">
        <v>200</v>
      </c>
      <c r="P693" s="88">
        <v>348</v>
      </c>
      <c r="Q693" s="88" t="s">
        <v>75</v>
      </c>
      <c r="R693" s="88" t="s">
        <v>348</v>
      </c>
      <c r="S693" s="110">
        <v>10100</v>
      </c>
      <c r="T693" s="110">
        <v>920</v>
      </c>
      <c r="U693" s="88">
        <v>983</v>
      </c>
      <c r="V693" s="90">
        <v>1500</v>
      </c>
      <c r="W693" s="111">
        <v>10</v>
      </c>
      <c r="X693" s="110">
        <v>48451</v>
      </c>
      <c r="Y693" s="110">
        <v>844932</v>
      </c>
      <c r="Z693" s="110">
        <v>6733390</v>
      </c>
      <c r="AA693" s="110">
        <v>2091751</v>
      </c>
      <c r="AB693" s="112">
        <v>4666717</v>
      </c>
      <c r="AC693" s="109">
        <v>160.1</v>
      </c>
      <c r="AD693" s="110">
        <v>-109.9</v>
      </c>
      <c r="AE693" s="110">
        <v>3.93</v>
      </c>
      <c r="AF693" s="110">
        <v>-0.75</v>
      </c>
      <c r="AG693" s="110">
        <v>109.8</v>
      </c>
      <c r="AH693" s="110">
        <v>-110</v>
      </c>
      <c r="AI693" s="110">
        <v>3.7</v>
      </c>
      <c r="AJ693" s="109">
        <v>-0.34</v>
      </c>
      <c r="AK693" s="113" t="s">
        <v>59</v>
      </c>
      <c r="AL693" s="107" t="s">
        <v>181</v>
      </c>
      <c r="AN693" s="107">
        <v>0.95399999999999996</v>
      </c>
      <c r="AO693" s="48">
        <f t="shared" ref="AO693" si="980">(HOUR(H693)*60*60+MINUTE(H693)*60+SECOND(H693))/5.2*AA693/W693*AN693</f>
        <v>133201657.8045</v>
      </c>
      <c r="AP693" s="156">
        <f t="shared" ref="AP693" si="981">AO693*0.7</f>
        <v>93241160.463149995</v>
      </c>
      <c r="AQ693" s="161">
        <f t="shared" ref="AQ693" si="982">AP693+AQ692</f>
        <v>30390966588.570538</v>
      </c>
      <c r="AR693" s="163">
        <f t="shared" ref="AR693" si="983">H693+AR692</f>
        <v>13.55762731478721</v>
      </c>
      <c r="AS693" s="49">
        <f t="shared" ref="AS693" si="984">I693*(HOUR(H693)*60+MINUTE(H693))/60/(7*24)</f>
        <v>0.28505654761904758</v>
      </c>
      <c r="AT693" s="165">
        <f t="shared" ref="AT693" si="985">AS693+AT692</f>
        <v>92.838317460317398</v>
      </c>
      <c r="AU693" s="254">
        <f t="shared" ref="AU693" si="986">AA693/W693*AN693</f>
        <v>199553.0454</v>
      </c>
      <c r="AV693" s="255">
        <f t="shared" ref="AV693" si="987">AB693/W693+AA693/W693*(1-AN693)</f>
        <v>476293.75460000004</v>
      </c>
      <c r="AW693" s="256">
        <f t="shared" ref="AW693" si="988">AU693/AV693</f>
        <v>0.41897052705968862</v>
      </c>
    </row>
    <row r="694" spans="1:49">
      <c r="A694" s="108">
        <v>692</v>
      </c>
      <c r="F694" s="45">
        <v>43150.441296296296</v>
      </c>
      <c r="G694" s="45">
        <v>43150.478391203702</v>
      </c>
      <c r="H694" s="38">
        <f>G694-F694-SUM('user time'!AE145:AE147)</f>
        <v>3.6226851850288899E-2</v>
      </c>
      <c r="I694" s="86">
        <v>50.39</v>
      </c>
      <c r="J694" s="109" t="s">
        <v>260</v>
      </c>
      <c r="K694" s="88" t="s">
        <v>72</v>
      </c>
      <c r="L694" s="88" t="s">
        <v>73</v>
      </c>
      <c r="M694" s="88">
        <v>-369</v>
      </c>
      <c r="N694" s="108">
        <v>1</v>
      </c>
      <c r="O694" s="108">
        <v>200</v>
      </c>
      <c r="P694" s="88">
        <v>348</v>
      </c>
      <c r="Q694" s="88" t="s">
        <v>75</v>
      </c>
      <c r="R694" s="88" t="s">
        <v>348</v>
      </c>
      <c r="S694" s="110">
        <v>10100</v>
      </c>
      <c r="T694" s="110">
        <v>931</v>
      </c>
      <c r="U694" s="88">
        <v>983</v>
      </c>
      <c r="V694" s="90">
        <v>1500</v>
      </c>
      <c r="W694" s="111">
        <v>10</v>
      </c>
      <c r="X694" s="110">
        <v>48632</v>
      </c>
      <c r="Y694" s="110">
        <v>844519</v>
      </c>
      <c r="Z694" s="110">
        <v>6712387</v>
      </c>
      <c r="AA694" s="110">
        <v>2088000</v>
      </c>
      <c r="AB694" s="112">
        <v>4649496</v>
      </c>
      <c r="AC694" s="109">
        <v>160.1</v>
      </c>
      <c r="AD694" s="110">
        <v>-109.9</v>
      </c>
      <c r="AE694" s="110">
        <v>3.93</v>
      </c>
      <c r="AF694" s="110">
        <v>-0.75</v>
      </c>
      <c r="AG694" s="110">
        <v>109.8</v>
      </c>
      <c r="AH694" s="110">
        <v>-110</v>
      </c>
      <c r="AI694" s="110">
        <v>3.7</v>
      </c>
      <c r="AJ694" s="109">
        <v>-0.34</v>
      </c>
      <c r="AK694" s="113" t="s">
        <v>59</v>
      </c>
      <c r="AL694" s="107" t="s">
        <v>459</v>
      </c>
      <c r="AN694" s="107">
        <v>0.94499999999999995</v>
      </c>
      <c r="AO694" s="48">
        <f t="shared" ref="AO694" si="989">(HOUR(H694)*60*60+MINUTE(H694)*60+SECOND(H694))/5.2*AA694/W694*AN694</f>
        <v>118769053.84615384</v>
      </c>
      <c r="AP694" s="156">
        <f t="shared" ref="AP694" si="990">AO694*0.7</f>
        <v>83138337.692307681</v>
      </c>
      <c r="AQ694" s="161">
        <f t="shared" ref="AQ694" si="991">AP694+AQ693</f>
        <v>30474104926.262844</v>
      </c>
      <c r="AR694" s="163">
        <f t="shared" ref="AR694" si="992">H694+AR693</f>
        <v>13.593854166637499</v>
      </c>
      <c r="AS694" s="49">
        <f t="shared" ref="AS694" si="993">I694*(HOUR(H694)*60+MINUTE(H694))/60/(7*24)</f>
        <v>0.25994841269841273</v>
      </c>
      <c r="AT694" s="165">
        <f t="shared" ref="AT694" si="994">AS694+AT693</f>
        <v>93.098265873015805</v>
      </c>
      <c r="AU694" s="254">
        <f t="shared" ref="AU694" si="995">AA694/W694*AN694</f>
        <v>197316</v>
      </c>
      <c r="AV694" s="255">
        <f t="shared" ref="AV694" si="996">AB694/W694+AA694/W694*(1-AN694)</f>
        <v>476433.6</v>
      </c>
      <c r="AW694" s="256">
        <f t="shared" ref="AW694" si="997">AU694/AV694</f>
        <v>0.41415215047805193</v>
      </c>
    </row>
    <row r="695" spans="1:49">
      <c r="A695" s="108">
        <v>693</v>
      </c>
      <c r="F695" s="45">
        <v>43150.478750000002</v>
      </c>
      <c r="G695" s="45">
        <v>43150.521053240744</v>
      </c>
      <c r="H695" s="38">
        <f>G695-F695-SUM('user time'!AE148:AE150)</f>
        <v>4.0115740741603123E-2</v>
      </c>
      <c r="I695" s="86">
        <v>50.45</v>
      </c>
      <c r="J695" s="109" t="s">
        <v>260</v>
      </c>
      <c r="K695" s="88" t="s">
        <v>72</v>
      </c>
      <c r="L695" s="88" t="s">
        <v>73</v>
      </c>
      <c r="M695" s="88">
        <v>-369</v>
      </c>
      <c r="N695" s="108">
        <v>1</v>
      </c>
      <c r="O695" s="108">
        <v>200</v>
      </c>
      <c r="P695" s="88">
        <v>348</v>
      </c>
      <c r="Q695" s="88" t="s">
        <v>75</v>
      </c>
      <c r="R695" s="88" t="s">
        <v>348</v>
      </c>
      <c r="S695" s="110">
        <v>10100</v>
      </c>
      <c r="T695" s="110">
        <v>915</v>
      </c>
      <c r="U695" s="88">
        <v>983</v>
      </c>
      <c r="V695" s="90">
        <v>1500</v>
      </c>
      <c r="W695" s="111">
        <v>10</v>
      </c>
      <c r="X695" s="110">
        <v>48347</v>
      </c>
      <c r="Y695" s="110">
        <v>847103</v>
      </c>
      <c r="Z695" s="110">
        <v>6746360</v>
      </c>
      <c r="AA695" s="110">
        <v>2099436</v>
      </c>
      <c r="AB695" s="112">
        <v>4672292</v>
      </c>
      <c r="AC695" s="109">
        <v>160.1</v>
      </c>
      <c r="AD695" s="110">
        <v>-109.9</v>
      </c>
      <c r="AE695" s="110">
        <v>3.93</v>
      </c>
      <c r="AF695" s="110">
        <v>-0.75</v>
      </c>
      <c r="AG695" s="110">
        <v>109.8</v>
      </c>
      <c r="AH695" s="110">
        <v>-110</v>
      </c>
      <c r="AI695" s="110">
        <v>3.7</v>
      </c>
      <c r="AJ695" s="109">
        <v>-0.33</v>
      </c>
      <c r="AK695" s="113" t="s">
        <v>59</v>
      </c>
      <c r="AL695" s="107" t="s">
        <v>181</v>
      </c>
      <c r="AN695" s="107">
        <v>0.94499999999999995</v>
      </c>
      <c r="AO695" s="48">
        <f t="shared" ref="AO695" si="998">(HOUR(H695)*60*60+MINUTE(H695)*60+SECOND(H695))/5.2*AA695/W695*AN695</f>
        <v>132239032.5253846</v>
      </c>
      <c r="AP695" s="156">
        <f t="shared" ref="AP695" si="999">AO695*0.7</f>
        <v>92567322.767769217</v>
      </c>
      <c r="AQ695" s="161">
        <f t="shared" ref="AQ695" si="1000">AP695+AQ694</f>
        <v>30566672249.030613</v>
      </c>
      <c r="AR695" s="163">
        <f t="shared" ref="AR695" si="1001">H695+AR694</f>
        <v>13.633969907379102</v>
      </c>
      <c r="AS695" s="49">
        <f t="shared" ref="AS695" si="1002">I695*(HOUR(H695)*60+MINUTE(H695))/60/(7*24)</f>
        <v>0.28528273809523813</v>
      </c>
      <c r="AT695" s="165">
        <f t="shared" ref="AT695" si="1003">AS695+AT694</f>
        <v>93.383548611111038</v>
      </c>
      <c r="AU695" s="254">
        <f t="shared" ref="AU695" si="1004">AA695/W695*AN695</f>
        <v>198396.70199999999</v>
      </c>
      <c r="AV695" s="255">
        <f t="shared" ref="AV695" si="1005">AB695/W695+AA695/W695*(1-AN695)</f>
        <v>478776.098</v>
      </c>
      <c r="AW695" s="256">
        <f t="shared" ref="AW695" si="1006">AU695/AV695</f>
        <v>0.41438305468624292</v>
      </c>
    </row>
    <row r="696" spans="1:49">
      <c r="A696" s="108">
        <v>694</v>
      </c>
      <c r="F696" s="45">
        <v>43150.521111111113</v>
      </c>
      <c r="G696" s="45">
        <v>43150.563888888886</v>
      </c>
      <c r="H696" s="38">
        <f>G696-F696-'user time'!AE151-'user time'!AE152</f>
        <v>3.4895833328709047E-2</v>
      </c>
      <c r="I696" s="86">
        <v>50.46</v>
      </c>
      <c r="J696" s="109" t="s">
        <v>260</v>
      </c>
      <c r="K696" s="88" t="s">
        <v>72</v>
      </c>
      <c r="L696" s="88" t="s">
        <v>73</v>
      </c>
      <c r="M696" s="88">
        <v>-369</v>
      </c>
      <c r="N696" s="108">
        <v>1</v>
      </c>
      <c r="O696" s="108">
        <v>200</v>
      </c>
      <c r="P696" s="88">
        <v>348</v>
      </c>
      <c r="Q696" s="88" t="s">
        <v>75</v>
      </c>
      <c r="R696" s="88" t="s">
        <v>348</v>
      </c>
      <c r="S696" s="110">
        <v>10300</v>
      </c>
      <c r="T696" s="110">
        <v>933</v>
      </c>
      <c r="U696" s="88">
        <v>983</v>
      </c>
      <c r="V696" s="90">
        <v>1500</v>
      </c>
      <c r="W696" s="111">
        <v>10</v>
      </c>
      <c r="X696" s="110">
        <v>49023</v>
      </c>
      <c r="Y696" s="110">
        <v>848489</v>
      </c>
      <c r="Z696" s="110">
        <v>6784995</v>
      </c>
      <c r="AA696" s="110">
        <v>2109996</v>
      </c>
      <c r="AB696" s="112">
        <v>4700522</v>
      </c>
      <c r="AC696" s="109">
        <v>160.1</v>
      </c>
      <c r="AD696" s="110">
        <v>-109.9</v>
      </c>
      <c r="AE696" s="110">
        <v>3.94</v>
      </c>
      <c r="AF696" s="110">
        <v>-0.75</v>
      </c>
      <c r="AG696" s="110">
        <v>109.8</v>
      </c>
      <c r="AH696" s="110">
        <v>-110</v>
      </c>
      <c r="AI696" s="110">
        <v>3.71</v>
      </c>
      <c r="AJ696" s="109">
        <v>-0.34</v>
      </c>
      <c r="AK696" s="113" t="s">
        <v>59</v>
      </c>
      <c r="AL696" s="107" t="s">
        <v>738</v>
      </c>
      <c r="AN696" s="107">
        <v>0.95</v>
      </c>
      <c r="AO696" s="48">
        <f t="shared" ref="AO696" si="1007">(HOUR(H696)*60*60+MINUTE(H696)*60+SECOND(H696))/5.2*AA696/W696*AN696</f>
        <v>116222231.59615383</v>
      </c>
      <c r="AP696" s="156">
        <f t="shared" ref="AP696" si="1008">AO696*0.7</f>
        <v>81355562.117307678</v>
      </c>
      <c r="AQ696" s="161">
        <f t="shared" ref="AQ696" si="1009">AP696+AQ695</f>
        <v>30648027811.147923</v>
      </c>
      <c r="AR696" s="163">
        <f t="shared" ref="AR696" si="1010">H696+AR695</f>
        <v>13.668865740707812</v>
      </c>
      <c r="AS696" s="49">
        <f t="shared" ref="AS696" si="1011">I696*(HOUR(H696)*60+MINUTE(H696))/60/(7*24)</f>
        <v>0.25029761904761905</v>
      </c>
      <c r="AT696" s="165">
        <f t="shared" ref="AT696" si="1012">AS696+AT695</f>
        <v>93.633846230158653</v>
      </c>
      <c r="AU696" s="254">
        <f t="shared" ref="AU696" si="1013">AA696/W696*AN696</f>
        <v>200449.62</v>
      </c>
      <c r="AV696" s="255">
        <f t="shared" ref="AV696" si="1014">AB696/W696+AA696/W696*(1-AN696)</f>
        <v>480602.18000000005</v>
      </c>
      <c r="AW696" s="256">
        <f t="shared" ref="AW696" si="1015">AU696/AV696</f>
        <v>0.41708013059782617</v>
      </c>
    </row>
    <row r="697" spans="1:49">
      <c r="A697" s="108">
        <v>695</v>
      </c>
      <c r="F697" s="45">
        <v>43150.571712962963</v>
      </c>
      <c r="G697" s="45">
        <v>43150.613634259258</v>
      </c>
      <c r="H697" s="38">
        <f>G697-F697-'user time'!AE154</f>
        <v>4.1435185184074963E-2</v>
      </c>
      <c r="I697" s="86">
        <v>50.58</v>
      </c>
      <c r="J697" s="109" t="s">
        <v>260</v>
      </c>
      <c r="K697" s="88" t="s">
        <v>72</v>
      </c>
      <c r="L697" s="88" t="s">
        <v>73</v>
      </c>
      <c r="M697" s="88">
        <v>-369</v>
      </c>
      <c r="N697" s="108">
        <v>1</v>
      </c>
      <c r="O697" s="108">
        <v>200</v>
      </c>
      <c r="P697" s="88">
        <v>348</v>
      </c>
      <c r="Q697" s="88" t="s">
        <v>75</v>
      </c>
      <c r="R697" s="88" t="s">
        <v>348</v>
      </c>
      <c r="S697" s="110">
        <v>10100</v>
      </c>
      <c r="T697" s="110">
        <v>924</v>
      </c>
      <c r="U697" s="88">
        <v>983</v>
      </c>
      <c r="V697" s="90">
        <v>1500</v>
      </c>
      <c r="W697" s="111">
        <v>10</v>
      </c>
      <c r="X697" s="110">
        <v>48709</v>
      </c>
      <c r="Y697" s="110">
        <v>849799</v>
      </c>
      <c r="Z697" s="110">
        <v>6837643</v>
      </c>
      <c r="AA697" s="110">
        <v>2129221</v>
      </c>
      <c r="AB697" s="112">
        <v>4734801</v>
      </c>
      <c r="AC697" s="109">
        <v>160.1</v>
      </c>
      <c r="AD697" s="110">
        <v>-109.9</v>
      </c>
      <c r="AE697" s="110">
        <v>3.94</v>
      </c>
      <c r="AF697" s="110">
        <v>-0.76</v>
      </c>
      <c r="AG697" s="110">
        <v>109.8</v>
      </c>
      <c r="AH697" s="110">
        <v>-110</v>
      </c>
      <c r="AI697" s="110">
        <v>3.71</v>
      </c>
      <c r="AJ697" s="109">
        <v>-0.34</v>
      </c>
      <c r="AK697" s="113" t="s">
        <v>59</v>
      </c>
      <c r="AL697" s="107" t="s">
        <v>876</v>
      </c>
      <c r="AN697" s="107">
        <v>0.95499999999999996</v>
      </c>
      <c r="AO697" s="48">
        <f t="shared" ref="AO697" si="1016">(HOUR(H697)*60*60+MINUTE(H697)*60+SECOND(H697))/5.2*AA697/W697*AN697</f>
        <v>139992186.09423077</v>
      </c>
      <c r="AP697" s="156">
        <f t="shared" ref="AP697" si="1017">AO697*0.7</f>
        <v>97994530.265961528</v>
      </c>
      <c r="AQ697" s="161">
        <f t="shared" ref="AQ697" si="1018">AP697+AQ696</f>
        <v>30746022341.413883</v>
      </c>
      <c r="AR697" s="163">
        <f t="shared" ref="AR697" si="1019">H697+AR696</f>
        <v>13.710300925891886</v>
      </c>
      <c r="AS697" s="49">
        <f t="shared" ref="AS697" si="1020">I697*(HOUR(H697)*60+MINUTE(H697))/60/(7*24)</f>
        <v>0.29605357142857142</v>
      </c>
      <c r="AT697" s="165">
        <f t="shared" ref="AT697" si="1021">AS697+AT696</f>
        <v>93.929899801587226</v>
      </c>
      <c r="AU697" s="254">
        <f t="shared" ref="AU697" si="1022">AA697/W697*AN697</f>
        <v>203340.60550000001</v>
      </c>
      <c r="AV697" s="255">
        <f t="shared" ref="AV697" si="1023">AB697/W697+AA697/W697*(1-AN697)</f>
        <v>483061.59450000001</v>
      </c>
      <c r="AW697" s="256">
        <f t="shared" ref="AW697" si="1024">AU697/AV697</f>
        <v>0.42094136196124365</v>
      </c>
    </row>
    <row r="698" spans="1:49">
      <c r="A698" s="108">
        <v>696</v>
      </c>
      <c r="F698" s="45">
        <v>43150.613715277781</v>
      </c>
      <c r="G698" s="45">
        <v>43150.655671296299</v>
      </c>
      <c r="H698" s="38">
        <f>G698-F698-'user time'!AE155</f>
        <v>4.1550925925656457E-2</v>
      </c>
      <c r="I698" s="86">
        <v>50.3</v>
      </c>
      <c r="J698" s="109" t="s">
        <v>260</v>
      </c>
      <c r="K698" s="88" t="s">
        <v>72</v>
      </c>
      <c r="L698" s="88" t="s">
        <v>73</v>
      </c>
      <c r="M698" s="88">
        <v>-369</v>
      </c>
      <c r="N698" s="108">
        <v>1</v>
      </c>
      <c r="O698" s="108">
        <v>200</v>
      </c>
      <c r="P698" s="88">
        <v>348</v>
      </c>
      <c r="Q698" s="88" t="s">
        <v>75</v>
      </c>
      <c r="R698" s="88" t="s">
        <v>348</v>
      </c>
      <c r="S698" s="110">
        <v>10300</v>
      </c>
      <c r="T698" s="110">
        <v>913</v>
      </c>
      <c r="U698" s="88">
        <v>983</v>
      </c>
      <c r="V698" s="90">
        <v>1500</v>
      </c>
      <c r="W698" s="111">
        <v>10</v>
      </c>
      <c r="X698" s="110">
        <v>48574</v>
      </c>
      <c r="Y698" s="110">
        <v>847033</v>
      </c>
      <c r="Z698" s="110">
        <v>6798924</v>
      </c>
      <c r="AA698" s="110">
        <v>2116846</v>
      </c>
      <c r="AB698" s="112">
        <v>4707952</v>
      </c>
      <c r="AC698" s="109">
        <v>160.1</v>
      </c>
      <c r="AD698" s="110">
        <v>-110</v>
      </c>
      <c r="AE698" s="110">
        <v>3.94</v>
      </c>
      <c r="AF698" s="110">
        <v>-0.76</v>
      </c>
      <c r="AG698" s="110">
        <v>109.8</v>
      </c>
      <c r="AH698" s="110">
        <v>-110.1</v>
      </c>
      <c r="AI698" s="110">
        <v>3.71</v>
      </c>
      <c r="AJ698" s="109">
        <v>-0.34</v>
      </c>
      <c r="AK698" s="113" t="s">
        <v>59</v>
      </c>
      <c r="AL698" s="107" t="s">
        <v>181</v>
      </c>
      <c r="AN698" s="107">
        <v>0.95599999999999996</v>
      </c>
      <c r="AO698" s="48">
        <f t="shared" ref="AO698" si="1025">(HOUR(H698)*60*60+MINUTE(H698)*60+SECOND(H698))/5.2*AA698/W698*AN698</f>
        <v>139713464.34307691</v>
      </c>
      <c r="AP698" s="156">
        <f t="shared" ref="AP698" si="1026">AO698*0.7</f>
        <v>97799425.040153831</v>
      </c>
      <c r="AQ698" s="161">
        <f t="shared" ref="AQ698" si="1027">AP698+AQ697</f>
        <v>30843821766.454037</v>
      </c>
      <c r="AR698" s="163">
        <f t="shared" ref="AR698" si="1028">H698+AR697</f>
        <v>13.751851851817543</v>
      </c>
      <c r="AS698" s="49">
        <f t="shared" ref="AS698" si="1029">I698*(HOUR(H698)*60+MINUTE(H698))/60/(7*24)</f>
        <v>0.29441468253968256</v>
      </c>
      <c r="AT698" s="165">
        <f t="shared" ref="AT698" si="1030">AS698+AT697</f>
        <v>94.224314484126907</v>
      </c>
      <c r="AU698" s="254">
        <f t="shared" ref="AU698" si="1031">AA698/W698*AN698</f>
        <v>202370.47759999998</v>
      </c>
      <c r="AV698" s="255">
        <f t="shared" ref="AV698" si="1032">AB698/W698+AA698/W698*(1-AN698)</f>
        <v>480109.3224</v>
      </c>
      <c r="AW698" s="256">
        <f t="shared" ref="AW698" si="1033">AU698/AV698</f>
        <v>0.42150916084773776</v>
      </c>
    </row>
    <row r="699" spans="1:49">
      <c r="A699" s="108">
        <v>697</v>
      </c>
      <c r="F699" s="45">
        <v>43150.655717592592</v>
      </c>
      <c r="G699" s="45">
        <v>43150.698761574073</v>
      </c>
      <c r="H699" s="38">
        <f>G699-F699-'user time'!AE156-'user time'!AE157</f>
        <v>4.2164351851248116E-2</v>
      </c>
      <c r="I699" s="86">
        <v>50.42</v>
      </c>
      <c r="J699" s="109" t="s">
        <v>260</v>
      </c>
      <c r="K699" s="88" t="s">
        <v>72</v>
      </c>
      <c r="L699" s="88" t="s">
        <v>73</v>
      </c>
      <c r="M699" s="88">
        <v>-369</v>
      </c>
      <c r="N699" s="108">
        <v>1</v>
      </c>
      <c r="O699" s="108">
        <v>200</v>
      </c>
      <c r="P699" s="88">
        <v>348</v>
      </c>
      <c r="Q699" s="88" t="s">
        <v>75</v>
      </c>
      <c r="R699" s="88" t="s">
        <v>348</v>
      </c>
      <c r="S699" s="110">
        <v>10100</v>
      </c>
      <c r="T699" s="110">
        <v>901</v>
      </c>
      <c r="U699" s="88">
        <v>983</v>
      </c>
      <c r="V699" s="90">
        <v>1500</v>
      </c>
      <c r="W699" s="111">
        <v>10</v>
      </c>
      <c r="X699" s="110">
        <v>48420</v>
      </c>
      <c r="Y699" s="110">
        <v>846195</v>
      </c>
      <c r="Z699" s="110">
        <v>6739326</v>
      </c>
      <c r="AA699" s="110">
        <v>2102132</v>
      </c>
      <c r="AB699" s="112">
        <v>4662992</v>
      </c>
      <c r="AC699" s="109">
        <v>160.1</v>
      </c>
      <c r="AD699" s="110">
        <v>-110</v>
      </c>
      <c r="AE699" s="110">
        <v>3.94</v>
      </c>
      <c r="AF699" s="110">
        <v>-0.76</v>
      </c>
      <c r="AG699" s="110">
        <v>109.8</v>
      </c>
      <c r="AH699" s="110">
        <v>-110.1</v>
      </c>
      <c r="AI699" s="110">
        <v>3.71</v>
      </c>
      <c r="AJ699" s="109">
        <v>-0.34</v>
      </c>
      <c r="AK699" s="113" t="s">
        <v>59</v>
      </c>
      <c r="AL699" s="107" t="s">
        <v>181</v>
      </c>
      <c r="AN699" s="107">
        <v>0.94799999999999995</v>
      </c>
      <c r="AO699" s="48">
        <f t="shared" ref="AO699" si="1034">(HOUR(H699)*60*60+MINUTE(H699)*60+SECOND(H699))/5.2*AA699/W699*AN699</f>
        <v>139612449.97015384</v>
      </c>
      <c r="AP699" s="156">
        <f t="shared" ref="AP699" si="1035">AO699*0.7</f>
        <v>97728714.979107678</v>
      </c>
      <c r="AQ699" s="161">
        <f t="shared" ref="AQ699" si="1036">AP699+AQ698</f>
        <v>30941550481.433144</v>
      </c>
      <c r="AR699" s="163">
        <f t="shared" ref="AR699" si="1037">H699+AR698</f>
        <v>13.794016203668791</v>
      </c>
      <c r="AS699" s="49">
        <f t="shared" ref="AS699" si="1038">I699*(HOUR(H699)*60+MINUTE(H699))/60/(7*24)</f>
        <v>0.30011904761904762</v>
      </c>
      <c r="AT699" s="165">
        <f t="shared" ref="AT699" si="1039">AS699+AT698</f>
        <v>94.524433531745956</v>
      </c>
      <c r="AU699" s="254">
        <f t="shared" ref="AU699" si="1040">AA699/W699*AN699</f>
        <v>199282.11360000001</v>
      </c>
      <c r="AV699" s="255">
        <f t="shared" ref="AV699" si="1041">AB699/W699+AA699/W699*(1-AN699)</f>
        <v>477230.28640000004</v>
      </c>
      <c r="AW699" s="256">
        <f t="shared" ref="AW699" si="1042">AU699/AV699</f>
        <v>0.41758060894100035</v>
      </c>
    </row>
    <row r="700" spans="1:49">
      <c r="A700" s="108">
        <v>698</v>
      </c>
      <c r="F700" s="45">
        <v>43150.698796296296</v>
      </c>
      <c r="G700" s="45">
        <v>43150.741365740738</v>
      </c>
      <c r="H700" s="38">
        <f>G700-F700-SUM('user time'!AE158:AE160)</f>
        <v>4.1354166664273606E-2</v>
      </c>
      <c r="I700" s="86">
        <v>50.3</v>
      </c>
      <c r="J700" s="109" t="s">
        <v>260</v>
      </c>
      <c r="K700" s="88" t="s">
        <v>72</v>
      </c>
      <c r="L700" s="88" t="s">
        <v>73</v>
      </c>
      <c r="M700" s="88">
        <v>-369</v>
      </c>
      <c r="N700" s="108">
        <v>1</v>
      </c>
      <c r="O700" s="108">
        <v>200</v>
      </c>
      <c r="P700" s="88">
        <v>348</v>
      </c>
      <c r="Q700" s="88" t="s">
        <v>75</v>
      </c>
      <c r="R700" s="88" t="s">
        <v>348</v>
      </c>
      <c r="S700" s="110">
        <v>10000</v>
      </c>
      <c r="T700" s="110">
        <v>923</v>
      </c>
      <c r="U700" s="88">
        <v>983</v>
      </c>
      <c r="V700" s="90">
        <v>1500</v>
      </c>
      <c r="W700" s="111">
        <v>10</v>
      </c>
      <c r="X700" s="110">
        <v>48688</v>
      </c>
      <c r="Y700" s="110">
        <v>844662</v>
      </c>
      <c r="Z700" s="110">
        <v>6625981</v>
      </c>
      <c r="AA700" s="110">
        <v>2045740</v>
      </c>
      <c r="AB700" s="112">
        <v>4606509</v>
      </c>
      <c r="AC700" s="109">
        <v>160.1</v>
      </c>
      <c r="AD700" s="110">
        <v>-110</v>
      </c>
      <c r="AE700" s="110">
        <v>3.94</v>
      </c>
      <c r="AF700" s="110">
        <v>-0.76</v>
      </c>
      <c r="AG700" s="110">
        <v>109.8</v>
      </c>
      <c r="AH700" s="110">
        <v>-110.1</v>
      </c>
      <c r="AI700" s="110">
        <v>3.71</v>
      </c>
      <c r="AJ700" s="109">
        <v>-0.34</v>
      </c>
      <c r="AK700" s="113" t="s">
        <v>59</v>
      </c>
      <c r="AL700" s="107" t="s">
        <v>181</v>
      </c>
      <c r="AN700" s="107">
        <v>0.93899999999999995</v>
      </c>
      <c r="AO700" s="48">
        <f t="shared" ref="AO700:AO701" si="1043">(HOUR(H700)*60*60+MINUTE(H700)*60+SECOND(H700))/5.2*AA700/W700*AN700</f>
        <v>131991420.1880769</v>
      </c>
      <c r="AP700" s="156">
        <f t="shared" ref="AP700:AP701" si="1044">AO700*0.7</f>
        <v>92393994.13165383</v>
      </c>
      <c r="AQ700" s="161">
        <f t="shared" ref="AQ700:AQ701" si="1045">AP700+AQ699</f>
        <v>31033944475.564796</v>
      </c>
      <c r="AR700" s="163">
        <f t="shared" ref="AR700:AR701" si="1046">H700+AR699</f>
        <v>13.835370370333065</v>
      </c>
      <c r="AS700" s="49">
        <f t="shared" ref="AS700:AS701" si="1047">I700*(HOUR(H700)*60+MINUTE(H700))/60/(7*24)</f>
        <v>0.29441468253968256</v>
      </c>
      <c r="AT700" s="165">
        <f t="shared" ref="AT700:AT701" si="1048">AS700+AT699</f>
        <v>94.818848214285637</v>
      </c>
      <c r="AU700" s="254">
        <f t="shared" ref="AU700:AU701" si="1049">AA700/W700*AN700</f>
        <v>192094.98599999998</v>
      </c>
      <c r="AV700" s="255">
        <f t="shared" ref="AV700:AV701" si="1050">AB700/W700+AA700/W700*(1-AN700)</f>
        <v>473129.91400000005</v>
      </c>
      <c r="AW700" s="256">
        <f t="shared" ref="AW700:AW701" si="1051">AU700/AV700</f>
        <v>0.4060089635338508</v>
      </c>
    </row>
    <row r="701" spans="1:49">
      <c r="A701" s="108">
        <v>699</v>
      </c>
      <c r="F701" s="45">
        <v>43150.741412037038</v>
      </c>
      <c r="G701" s="45">
        <v>43150.784884259258</v>
      </c>
      <c r="H701" s="38">
        <f>G701-F701-SUM('user time'!AE161:AE163)</f>
        <v>4.2349537034676477E-2</v>
      </c>
      <c r="I701" s="86">
        <v>50.25</v>
      </c>
      <c r="J701" s="109" t="s">
        <v>260</v>
      </c>
      <c r="K701" s="88" t="s">
        <v>72</v>
      </c>
      <c r="L701" s="88" t="s">
        <v>73</v>
      </c>
      <c r="M701" s="88">
        <v>-369</v>
      </c>
      <c r="N701" s="108">
        <v>1</v>
      </c>
      <c r="O701" s="108">
        <v>200</v>
      </c>
      <c r="P701" s="88">
        <v>348</v>
      </c>
      <c r="Q701" s="88" t="s">
        <v>75</v>
      </c>
      <c r="R701" s="88" t="s">
        <v>348</v>
      </c>
      <c r="S701" s="110">
        <v>10000</v>
      </c>
      <c r="T701" s="110">
        <v>916</v>
      </c>
      <c r="U701" s="88">
        <v>983</v>
      </c>
      <c r="V701" s="90">
        <v>1500</v>
      </c>
      <c r="W701" s="111">
        <v>10</v>
      </c>
      <c r="X701" s="110">
        <v>48539</v>
      </c>
      <c r="Y701" s="110">
        <v>848385</v>
      </c>
      <c r="Z701" s="110">
        <v>6805050</v>
      </c>
      <c r="AA701" s="110">
        <v>2121895</v>
      </c>
      <c r="AB701" s="112">
        <v>4709281</v>
      </c>
      <c r="AC701" s="109">
        <v>160.1</v>
      </c>
      <c r="AD701" s="110">
        <v>-110</v>
      </c>
      <c r="AE701" s="110">
        <v>3.94</v>
      </c>
      <c r="AF701" s="110">
        <v>-0.76</v>
      </c>
      <c r="AG701" s="110">
        <v>109.8</v>
      </c>
      <c r="AH701" s="110">
        <v>-110.1</v>
      </c>
      <c r="AI701" s="110">
        <v>3.71</v>
      </c>
      <c r="AJ701" s="109">
        <v>-0.34</v>
      </c>
      <c r="AK701" s="113" t="s">
        <v>59</v>
      </c>
      <c r="AL701" s="107" t="s">
        <v>181</v>
      </c>
      <c r="AN701" s="107">
        <v>0.95099999999999996</v>
      </c>
      <c r="AO701" s="48">
        <f t="shared" si="1043"/>
        <v>141991867.85682687</v>
      </c>
      <c r="AP701" s="156">
        <f t="shared" si="1044"/>
        <v>99394307.499778807</v>
      </c>
      <c r="AQ701" s="161">
        <f t="shared" si="1045"/>
        <v>31133338783.064575</v>
      </c>
      <c r="AR701" s="163">
        <f t="shared" si="1046"/>
        <v>13.877719907367741</v>
      </c>
      <c r="AS701" s="49">
        <f t="shared" si="1047"/>
        <v>0.29910714285714285</v>
      </c>
      <c r="AT701" s="165">
        <f t="shared" si="1048"/>
        <v>95.117955357142776</v>
      </c>
      <c r="AU701" s="254">
        <f t="shared" si="1049"/>
        <v>201792.2145</v>
      </c>
      <c r="AV701" s="255">
        <f t="shared" si="1050"/>
        <v>481325.38549999997</v>
      </c>
      <c r="AW701" s="256">
        <f t="shared" si="1051"/>
        <v>0.4192428252882997</v>
      </c>
    </row>
    <row r="702" spans="1:49">
      <c r="A702" s="108">
        <v>700</v>
      </c>
      <c r="F702" s="45">
        <v>43150.784918981481</v>
      </c>
      <c r="G702" s="45">
        <v>43150.828761574077</v>
      </c>
      <c r="H702" s="38">
        <f>G702-F702-'user time'!AE164-'user time'!AE165</f>
        <v>4.3032407411589646E-2</v>
      </c>
      <c r="I702" s="86">
        <v>50.36</v>
      </c>
      <c r="J702" s="109" t="s">
        <v>260</v>
      </c>
      <c r="K702" s="88" t="s">
        <v>72</v>
      </c>
      <c r="L702" s="88" t="s">
        <v>73</v>
      </c>
      <c r="M702" s="88">
        <v>-369</v>
      </c>
      <c r="N702" s="108">
        <v>1</v>
      </c>
      <c r="O702" s="108">
        <v>200</v>
      </c>
      <c r="P702" s="88">
        <v>348</v>
      </c>
      <c r="Q702" s="88" t="s">
        <v>75</v>
      </c>
      <c r="R702" s="88" t="s">
        <v>348</v>
      </c>
      <c r="S702" s="110">
        <v>10000</v>
      </c>
      <c r="T702" s="110">
        <v>937</v>
      </c>
      <c r="U702" s="88">
        <v>983</v>
      </c>
      <c r="V702" s="90">
        <v>1500</v>
      </c>
      <c r="W702" s="111">
        <v>10</v>
      </c>
      <c r="X702" s="110">
        <v>48797</v>
      </c>
      <c r="Y702" s="110">
        <v>848869</v>
      </c>
      <c r="Z702" s="110">
        <v>6842221</v>
      </c>
      <c r="AA702" s="110">
        <v>2124376</v>
      </c>
      <c r="AB702" s="112">
        <v>4744182</v>
      </c>
      <c r="AC702" s="109">
        <v>160.1</v>
      </c>
      <c r="AD702" s="110">
        <v>-110</v>
      </c>
      <c r="AE702" s="110">
        <v>3.94</v>
      </c>
      <c r="AF702" s="110">
        <v>-0.76</v>
      </c>
      <c r="AG702" s="110">
        <v>109.8</v>
      </c>
      <c r="AH702" s="110">
        <v>-110.1</v>
      </c>
      <c r="AI702" s="110">
        <v>3.71</v>
      </c>
      <c r="AJ702" s="109">
        <v>-0.33</v>
      </c>
      <c r="AK702" s="113" t="s">
        <v>59</v>
      </c>
      <c r="AL702" s="107" t="s">
        <v>181</v>
      </c>
      <c r="AN702" s="107">
        <v>0.95399999999999996</v>
      </c>
      <c r="AO702" s="48">
        <f t="shared" ref="AO702:AO714" si="1052">(HOUR(H702)*60*60+MINUTE(H702)*60+SECOND(H702))/5.2*AA702/W702*AN702</f>
        <v>144905811.336</v>
      </c>
      <c r="AP702" s="156">
        <f t="shared" ref="AP702:AP714" si="1053">AO702*0.7</f>
        <v>101434067.93519999</v>
      </c>
      <c r="AQ702" s="161">
        <f t="shared" ref="AQ702:AQ714" si="1054">AP702+AQ701</f>
        <v>31234772850.999775</v>
      </c>
      <c r="AR702" s="163">
        <f t="shared" ref="AR702:AR714" si="1055">H702+AR701</f>
        <v>13.92075231477933</v>
      </c>
      <c r="AS702" s="49">
        <f t="shared" ref="AS702:AS714" si="1056">I702*(HOUR(H702)*60+MINUTE(H702))/60/(7*24)</f>
        <v>0.30475793650793653</v>
      </c>
      <c r="AT702" s="165">
        <f t="shared" ref="AT702:AT714" si="1057">AS702+AT701</f>
        <v>95.422713293650716</v>
      </c>
      <c r="AU702" s="254">
        <f t="shared" ref="AU702:AU714" si="1058">AA702/W702*AN702</f>
        <v>202665.47039999999</v>
      </c>
      <c r="AV702" s="255">
        <f t="shared" ref="AV702:AV714" si="1059">AB702/W702+AA702/W702*(1-AN702)</f>
        <v>484190.3296</v>
      </c>
      <c r="AW702" s="256">
        <f t="shared" ref="AW702:AW714" si="1060">AU702/AV702</f>
        <v>0.41856571271761311</v>
      </c>
    </row>
    <row r="703" spans="1:49">
      <c r="A703" s="108">
        <v>701</v>
      </c>
      <c r="F703" s="45">
        <v>43150.828784722224</v>
      </c>
      <c r="G703" s="45">
        <v>43150.870949074073</v>
      </c>
      <c r="H703" s="38">
        <f>G703-F703</f>
        <v>4.2164351849351078E-2</v>
      </c>
      <c r="I703" s="86">
        <v>50.47</v>
      </c>
      <c r="J703" s="109" t="s">
        <v>260</v>
      </c>
      <c r="K703" s="88" t="s">
        <v>72</v>
      </c>
      <c r="L703" s="88" t="s">
        <v>73</v>
      </c>
      <c r="M703" s="88">
        <v>-369</v>
      </c>
      <c r="N703" s="108">
        <v>1</v>
      </c>
      <c r="O703" s="108">
        <v>200</v>
      </c>
      <c r="P703" s="88">
        <v>348</v>
      </c>
      <c r="Q703" s="88" t="s">
        <v>75</v>
      </c>
      <c r="R703" s="88" t="s">
        <v>348</v>
      </c>
      <c r="S703" s="110">
        <v>10000</v>
      </c>
      <c r="T703" s="110">
        <v>929</v>
      </c>
      <c r="U703" s="88">
        <v>983</v>
      </c>
      <c r="V703" s="90">
        <v>1500</v>
      </c>
      <c r="W703" s="111">
        <v>10</v>
      </c>
      <c r="X703" s="110">
        <v>48363</v>
      </c>
      <c r="Y703" s="110">
        <v>846991</v>
      </c>
      <c r="Z703" s="110">
        <v>6831714</v>
      </c>
      <c r="AA703" s="110">
        <v>2120755</v>
      </c>
      <c r="AB703" s="112">
        <v>4738268</v>
      </c>
      <c r="AC703" s="109">
        <v>160.1</v>
      </c>
      <c r="AD703" s="110">
        <v>-110</v>
      </c>
      <c r="AE703" s="110">
        <v>3.94</v>
      </c>
      <c r="AF703" s="110">
        <v>-0.76</v>
      </c>
      <c r="AG703" s="110">
        <v>109.8</v>
      </c>
      <c r="AH703" s="110">
        <v>-110.1</v>
      </c>
      <c r="AI703" s="110">
        <v>3.7</v>
      </c>
      <c r="AJ703" s="109">
        <v>-0.34</v>
      </c>
      <c r="AK703" s="113" t="s">
        <v>59</v>
      </c>
      <c r="AL703" s="107" t="s">
        <v>181</v>
      </c>
      <c r="AN703" s="107">
        <v>0.95699999999999996</v>
      </c>
      <c r="AO703" s="48">
        <f t="shared" si="1052"/>
        <v>142186467.59625</v>
      </c>
      <c r="AP703" s="156">
        <f t="shared" si="1053"/>
        <v>99530527.317374989</v>
      </c>
      <c r="AQ703" s="161">
        <f t="shared" si="1054"/>
        <v>31334303378.31715</v>
      </c>
      <c r="AR703" s="163">
        <f t="shared" si="1055"/>
        <v>13.962916666628681</v>
      </c>
      <c r="AS703" s="49">
        <f t="shared" si="1056"/>
        <v>0.30041666666666667</v>
      </c>
      <c r="AT703" s="165">
        <f t="shared" si="1057"/>
        <v>95.72312996031738</v>
      </c>
      <c r="AU703" s="254">
        <f t="shared" si="1058"/>
        <v>202956.25349999999</v>
      </c>
      <c r="AV703" s="255">
        <f t="shared" si="1059"/>
        <v>482946.0465</v>
      </c>
      <c r="AW703" s="256">
        <f t="shared" si="1060"/>
        <v>0.42024622620034224</v>
      </c>
    </row>
    <row r="704" spans="1:49">
      <c r="A704" s="108">
        <v>702</v>
      </c>
      <c r="F704" s="45">
        <v>43150.870983796296</v>
      </c>
      <c r="G704" s="45">
        <v>43150.913206018522</v>
      </c>
      <c r="H704" s="38">
        <f>G704-F704-'user time'!AE166-'user time'!AE167</f>
        <v>4.0879629633380876E-2</v>
      </c>
      <c r="I704" s="86">
        <v>50.53</v>
      </c>
      <c r="J704" s="109" t="s">
        <v>260</v>
      </c>
      <c r="K704" s="88" t="s">
        <v>72</v>
      </c>
      <c r="L704" s="88" t="s">
        <v>73</v>
      </c>
      <c r="M704" s="88">
        <v>-369</v>
      </c>
      <c r="N704" s="108">
        <v>1</v>
      </c>
      <c r="O704" s="108">
        <v>200</v>
      </c>
      <c r="P704" s="88">
        <v>348</v>
      </c>
      <c r="Q704" s="88" t="s">
        <v>75</v>
      </c>
      <c r="R704" s="88" t="s">
        <v>348</v>
      </c>
      <c r="S704" s="110">
        <v>10000</v>
      </c>
      <c r="T704" s="110">
        <v>929</v>
      </c>
      <c r="U704" s="88">
        <v>983</v>
      </c>
      <c r="V704" s="90">
        <v>1500</v>
      </c>
      <c r="W704" s="111">
        <v>10</v>
      </c>
      <c r="X704" s="110">
        <v>48751</v>
      </c>
      <c r="Y704" s="110">
        <v>848523</v>
      </c>
      <c r="Z704" s="110">
        <v>6800376</v>
      </c>
      <c r="AA704" s="110">
        <v>2117781</v>
      </c>
      <c r="AB704" s="112">
        <v>4709753</v>
      </c>
      <c r="AC704" s="109">
        <v>160.1</v>
      </c>
      <c r="AD704" s="110">
        <v>-110</v>
      </c>
      <c r="AE704" s="110">
        <v>3.94</v>
      </c>
      <c r="AF704" s="110">
        <v>-0.76</v>
      </c>
      <c r="AG704" s="110">
        <v>109.8</v>
      </c>
      <c r="AH704" s="110">
        <v>-110.1</v>
      </c>
      <c r="AI704" s="110">
        <v>3.71</v>
      </c>
      <c r="AJ704" s="109">
        <v>-0.33</v>
      </c>
      <c r="AK704" s="113" t="s">
        <v>59</v>
      </c>
      <c r="AL704" s="107" t="s">
        <v>181</v>
      </c>
      <c r="AN704" s="107">
        <v>0.95899999999999996</v>
      </c>
      <c r="AO704" s="48">
        <f t="shared" si="1052"/>
        <v>137948507.4966923</v>
      </c>
      <c r="AP704" s="156">
        <f t="shared" si="1053"/>
        <v>96563955.247684598</v>
      </c>
      <c r="AQ704" s="161">
        <f t="shared" si="1054"/>
        <v>31430867333.564835</v>
      </c>
      <c r="AR704" s="163">
        <f t="shared" si="1055"/>
        <v>14.003796296262061</v>
      </c>
      <c r="AS704" s="49">
        <f t="shared" si="1056"/>
        <v>0.29074801587301591</v>
      </c>
      <c r="AT704" s="165">
        <f t="shared" si="1057"/>
        <v>96.0138779761904</v>
      </c>
      <c r="AU704" s="254">
        <f t="shared" si="1058"/>
        <v>203095.1979</v>
      </c>
      <c r="AV704" s="255">
        <f t="shared" si="1059"/>
        <v>479658.20209999999</v>
      </c>
      <c r="AW704" s="256">
        <f t="shared" si="1060"/>
        <v>0.42341650160640504</v>
      </c>
    </row>
    <row r="705" spans="1:49">
      <c r="A705" s="108">
        <v>703</v>
      </c>
      <c r="F705" s="45">
        <v>43150.913240740738</v>
      </c>
      <c r="G705" s="45">
        <v>43150.955393518518</v>
      </c>
      <c r="H705" s="38">
        <f>G705-F705</f>
        <v>4.2152777779847383E-2</v>
      </c>
      <c r="I705" s="86">
        <v>50.39</v>
      </c>
      <c r="J705" s="109" t="s">
        <v>260</v>
      </c>
      <c r="K705" s="88" t="s">
        <v>72</v>
      </c>
      <c r="L705" s="88" t="s">
        <v>73</v>
      </c>
      <c r="M705" s="88">
        <v>-369</v>
      </c>
      <c r="N705" s="108">
        <v>1</v>
      </c>
      <c r="O705" s="108">
        <v>200</v>
      </c>
      <c r="P705" s="88">
        <v>348</v>
      </c>
      <c r="Q705" s="88" t="s">
        <v>75</v>
      </c>
      <c r="R705" s="88" t="s">
        <v>348</v>
      </c>
      <c r="S705" s="110">
        <v>10000</v>
      </c>
      <c r="T705" s="110">
        <v>916</v>
      </c>
      <c r="U705" s="88">
        <v>983</v>
      </c>
      <c r="V705" s="90">
        <v>1500</v>
      </c>
      <c r="W705" s="111">
        <v>10</v>
      </c>
      <c r="X705" s="110">
        <v>48637</v>
      </c>
      <c r="Y705" s="110">
        <v>845744</v>
      </c>
      <c r="Z705" s="110">
        <v>6774571</v>
      </c>
      <c r="AA705" s="110">
        <v>2108682</v>
      </c>
      <c r="AB705" s="112">
        <v>4692932</v>
      </c>
      <c r="AC705" s="109">
        <v>160.1</v>
      </c>
      <c r="AD705" s="110">
        <v>-110</v>
      </c>
      <c r="AE705" s="110">
        <v>3.94</v>
      </c>
      <c r="AF705" s="110">
        <v>-0.76</v>
      </c>
      <c r="AG705" s="110">
        <v>109.8</v>
      </c>
      <c r="AH705" s="110">
        <v>-110.1</v>
      </c>
      <c r="AI705" s="110">
        <v>3.71</v>
      </c>
      <c r="AJ705" s="109">
        <v>-0.33</v>
      </c>
      <c r="AK705" s="113" t="s">
        <v>59</v>
      </c>
      <c r="AL705" s="107" t="s">
        <v>181</v>
      </c>
      <c r="AN705" s="107">
        <v>0.95599999999999996</v>
      </c>
      <c r="AO705" s="48">
        <f t="shared" si="1052"/>
        <v>141190534.0550769</v>
      </c>
      <c r="AP705" s="156">
        <f t="shared" si="1053"/>
        <v>98833373.838553816</v>
      </c>
      <c r="AQ705" s="161">
        <f t="shared" si="1054"/>
        <v>31529700707.403389</v>
      </c>
      <c r="AR705" s="163">
        <f t="shared" si="1055"/>
        <v>14.045949074041909</v>
      </c>
      <c r="AS705" s="49">
        <f t="shared" si="1056"/>
        <v>0.2999404761904762</v>
      </c>
      <c r="AT705" s="165">
        <f t="shared" si="1057"/>
        <v>96.313818452380872</v>
      </c>
      <c r="AU705" s="254">
        <f t="shared" si="1058"/>
        <v>201589.99919999999</v>
      </c>
      <c r="AV705" s="255">
        <f t="shared" si="1059"/>
        <v>478571.4008</v>
      </c>
      <c r="AW705" s="256">
        <f t="shared" si="1060"/>
        <v>0.42123285859333365</v>
      </c>
    </row>
    <row r="706" spans="1:49">
      <c r="A706" s="108">
        <v>704</v>
      </c>
      <c r="F706" s="45">
        <v>43150.955416666664</v>
      </c>
      <c r="G706" s="45">
        <v>43150.998206018521</v>
      </c>
      <c r="H706" s="38">
        <f>G706-F706-'user time'!AE168-'user time'!AE169</f>
        <v>4.2129629634987009E-2</v>
      </c>
      <c r="I706" s="86">
        <v>50.41</v>
      </c>
      <c r="J706" s="109" t="s">
        <v>260</v>
      </c>
      <c r="K706" s="88" t="s">
        <v>72</v>
      </c>
      <c r="L706" s="88" t="s">
        <v>73</v>
      </c>
      <c r="M706" s="88">
        <v>-369</v>
      </c>
      <c r="N706" s="108">
        <v>1</v>
      </c>
      <c r="O706" s="108">
        <v>200</v>
      </c>
      <c r="P706" s="88">
        <v>348</v>
      </c>
      <c r="Q706" s="88" t="s">
        <v>75</v>
      </c>
      <c r="R706" s="88" t="s">
        <v>348</v>
      </c>
      <c r="S706" s="110">
        <v>10000</v>
      </c>
      <c r="T706" s="110">
        <v>911</v>
      </c>
      <c r="U706" s="88">
        <v>983</v>
      </c>
      <c r="V706" s="90">
        <v>1500</v>
      </c>
      <c r="W706" s="111">
        <v>10</v>
      </c>
      <c r="X706" s="110">
        <v>48237</v>
      </c>
      <c r="Y706" s="110">
        <v>849422</v>
      </c>
      <c r="Z706" s="110">
        <v>6815159</v>
      </c>
      <c r="AA706" s="110">
        <v>2120791</v>
      </c>
      <c r="AB706" s="112">
        <v>4720909</v>
      </c>
      <c r="AC706" s="109">
        <v>160.1</v>
      </c>
      <c r="AD706" s="110">
        <v>-110</v>
      </c>
      <c r="AE706" s="110">
        <v>3.94</v>
      </c>
      <c r="AF706" s="110">
        <v>-0.76</v>
      </c>
      <c r="AG706" s="110">
        <v>109.8</v>
      </c>
      <c r="AH706" s="110">
        <v>-110</v>
      </c>
      <c r="AI706" s="110">
        <v>3.7</v>
      </c>
      <c r="AJ706" s="109">
        <v>-0.34</v>
      </c>
      <c r="AK706" s="113" t="s">
        <v>59</v>
      </c>
      <c r="AL706" s="107" t="s">
        <v>181</v>
      </c>
      <c r="AN706" s="107">
        <v>0.95299999999999996</v>
      </c>
      <c r="AO706" s="48">
        <f t="shared" si="1052"/>
        <v>141477967.60999998</v>
      </c>
      <c r="AP706" s="156">
        <f t="shared" si="1053"/>
        <v>99034577.326999977</v>
      </c>
      <c r="AQ706" s="161">
        <f t="shared" si="1054"/>
        <v>31628735284.730389</v>
      </c>
      <c r="AR706" s="163">
        <f t="shared" si="1055"/>
        <v>14.088078703676896</v>
      </c>
      <c r="AS706" s="49">
        <f t="shared" si="1056"/>
        <v>0.30005952380952378</v>
      </c>
      <c r="AT706" s="165">
        <f t="shared" si="1057"/>
        <v>96.613877976190395</v>
      </c>
      <c r="AU706" s="254">
        <f t="shared" si="1058"/>
        <v>202111.3823</v>
      </c>
      <c r="AV706" s="255">
        <f t="shared" si="1059"/>
        <v>482058.61770000006</v>
      </c>
      <c r="AW706" s="256">
        <f t="shared" si="1060"/>
        <v>0.41926723198999033</v>
      </c>
    </row>
    <row r="707" spans="1:49">
      <c r="A707" s="108">
        <v>705</v>
      </c>
      <c r="F707" s="45">
        <v>43150.998206018521</v>
      </c>
      <c r="G707" s="45">
        <v>43151.039803240739</v>
      </c>
      <c r="H707" s="38">
        <f>G707-F707</f>
        <v>4.1597222218115348E-2</v>
      </c>
      <c r="I707" s="86">
        <v>50.39</v>
      </c>
      <c r="J707" s="109" t="s">
        <v>260</v>
      </c>
      <c r="K707" s="88" t="s">
        <v>72</v>
      </c>
      <c r="L707" s="88" t="s">
        <v>73</v>
      </c>
      <c r="M707" s="88">
        <v>-369</v>
      </c>
      <c r="N707" s="108">
        <v>1</v>
      </c>
      <c r="O707" s="108">
        <v>200</v>
      </c>
      <c r="P707" s="88">
        <v>348</v>
      </c>
      <c r="Q707" s="88" t="s">
        <v>75</v>
      </c>
      <c r="R707" s="88" t="s">
        <v>348</v>
      </c>
      <c r="S707" s="110">
        <v>10000</v>
      </c>
      <c r="T707" s="110">
        <v>926</v>
      </c>
      <c r="U707" s="88">
        <v>983</v>
      </c>
      <c r="V707" s="90">
        <v>1500</v>
      </c>
      <c r="W707" s="111">
        <v>10</v>
      </c>
      <c r="X707" s="110">
        <v>48498</v>
      </c>
      <c r="Y707" s="110">
        <v>847799</v>
      </c>
      <c r="Z707" s="110">
        <v>6793000</v>
      </c>
      <c r="AA707" s="110">
        <v>2111382</v>
      </c>
      <c r="AB707" s="112">
        <v>4708148</v>
      </c>
      <c r="AC707" s="109">
        <v>160.1</v>
      </c>
      <c r="AD707" s="110">
        <v>-110</v>
      </c>
      <c r="AE707" s="110">
        <v>3.94</v>
      </c>
      <c r="AF707" s="110">
        <v>-0.76</v>
      </c>
      <c r="AG707" s="110">
        <v>109.8</v>
      </c>
      <c r="AH707" s="110">
        <v>-110</v>
      </c>
      <c r="AI707" s="110">
        <v>3.7</v>
      </c>
      <c r="AJ707" s="109">
        <v>-0.34</v>
      </c>
      <c r="AK707" s="113" t="s">
        <v>59</v>
      </c>
      <c r="AL707" s="107" t="s">
        <v>181</v>
      </c>
      <c r="AN707" s="107">
        <v>0.95499999999999996</v>
      </c>
      <c r="AO707" s="48">
        <f t="shared" si="1052"/>
        <v>139362174.94499996</v>
      </c>
      <c r="AP707" s="156">
        <f t="shared" si="1053"/>
        <v>97553522.461499974</v>
      </c>
      <c r="AQ707" s="161">
        <f t="shared" si="1054"/>
        <v>31726288807.191887</v>
      </c>
      <c r="AR707" s="163">
        <f t="shared" si="1055"/>
        <v>14.129675925895011</v>
      </c>
      <c r="AS707" s="49">
        <f t="shared" si="1056"/>
        <v>0.29494146825396828</v>
      </c>
      <c r="AT707" s="165">
        <f t="shared" si="1057"/>
        <v>96.908819444444362</v>
      </c>
      <c r="AU707" s="254">
        <f t="shared" si="1058"/>
        <v>201636.981</v>
      </c>
      <c r="AV707" s="255">
        <f t="shared" si="1059"/>
        <v>480316.01899999997</v>
      </c>
      <c r="AW707" s="256">
        <f t="shared" si="1060"/>
        <v>0.41980065836613295</v>
      </c>
    </row>
    <row r="708" spans="1:49">
      <c r="A708" s="108">
        <v>706</v>
      </c>
      <c r="F708" s="45">
        <v>43151.039803240739</v>
      </c>
      <c r="G708" s="45">
        <v>43151.086782407408</v>
      </c>
      <c r="H708" s="38">
        <f>G708-F708-'user time'!AJ76</f>
        <v>4.1076388891411221E-2</v>
      </c>
      <c r="I708" s="86">
        <v>50.33</v>
      </c>
      <c r="J708" s="109" t="s">
        <v>260</v>
      </c>
      <c r="K708" s="88" t="s">
        <v>72</v>
      </c>
      <c r="L708" s="88" t="s">
        <v>73</v>
      </c>
      <c r="M708" s="88">
        <v>-369</v>
      </c>
      <c r="N708" s="108">
        <v>1</v>
      </c>
      <c r="O708" s="108">
        <v>200</v>
      </c>
      <c r="P708" s="88">
        <v>348</v>
      </c>
      <c r="Q708" s="88" t="s">
        <v>75</v>
      </c>
      <c r="R708" s="88" t="s">
        <v>348</v>
      </c>
      <c r="S708" s="110">
        <v>10300</v>
      </c>
      <c r="T708" s="110">
        <v>930</v>
      </c>
      <c r="U708" s="88">
        <v>983</v>
      </c>
      <c r="V708" s="90">
        <v>1500</v>
      </c>
      <c r="W708" s="111">
        <v>10</v>
      </c>
      <c r="X708" s="110">
        <v>48391</v>
      </c>
      <c r="Y708" s="110">
        <v>846470</v>
      </c>
      <c r="Z708" s="110">
        <v>6802010</v>
      </c>
      <c r="AA708" s="110">
        <v>2118041</v>
      </c>
      <c r="AB708" s="112">
        <v>4710727</v>
      </c>
      <c r="AC708" s="109">
        <v>160.1</v>
      </c>
      <c r="AD708" s="110">
        <v>-110</v>
      </c>
      <c r="AE708" s="110">
        <v>3.94</v>
      </c>
      <c r="AF708" s="110">
        <v>-0.76</v>
      </c>
      <c r="AG708" s="110">
        <v>109.8</v>
      </c>
      <c r="AH708" s="110">
        <v>-110</v>
      </c>
      <c r="AI708" s="110">
        <v>3.7</v>
      </c>
      <c r="AJ708" s="109">
        <v>-0.34</v>
      </c>
      <c r="AK708" s="113" t="s">
        <v>59</v>
      </c>
      <c r="AL708" s="107" t="s">
        <v>181</v>
      </c>
      <c r="AN708" s="107">
        <v>0.95399999999999996</v>
      </c>
      <c r="AO708" s="48">
        <f t="shared" si="1052"/>
        <v>137906708.53049999</v>
      </c>
      <c r="AP708" s="156">
        <f t="shared" si="1053"/>
        <v>96534695.971349984</v>
      </c>
      <c r="AQ708" s="161">
        <f t="shared" si="1054"/>
        <v>31822823503.163239</v>
      </c>
      <c r="AR708" s="163">
        <f t="shared" si="1055"/>
        <v>14.170752314786423</v>
      </c>
      <c r="AS708" s="49">
        <f t="shared" si="1056"/>
        <v>0.29459027777777774</v>
      </c>
      <c r="AT708" s="165">
        <f t="shared" si="1057"/>
        <v>97.203409722222133</v>
      </c>
      <c r="AU708" s="254">
        <f t="shared" si="1058"/>
        <v>202061.11139999999</v>
      </c>
      <c r="AV708" s="255">
        <f t="shared" si="1059"/>
        <v>480815.68859999999</v>
      </c>
      <c r="AW708" s="256">
        <f t="shared" si="1060"/>
        <v>0.42024650233095573</v>
      </c>
    </row>
    <row r="709" spans="1:49">
      <c r="A709" s="108">
        <v>707</v>
      </c>
      <c r="F709" s="45">
        <v>43151.086840277778</v>
      </c>
      <c r="G709" s="45">
        <v>43151.128831018519</v>
      </c>
      <c r="H709" s="38">
        <f>G709-F709-SUM('user time'!AJ77:AJ79)</f>
        <v>4.0983796296867603E-2</v>
      </c>
      <c r="I709" s="86">
        <v>50.44</v>
      </c>
      <c r="J709" s="109" t="s">
        <v>260</v>
      </c>
      <c r="K709" s="88" t="s">
        <v>72</v>
      </c>
      <c r="L709" s="88" t="s">
        <v>73</v>
      </c>
      <c r="M709" s="88">
        <v>-369</v>
      </c>
      <c r="N709" s="108">
        <v>1</v>
      </c>
      <c r="O709" s="108">
        <v>200</v>
      </c>
      <c r="P709" s="88">
        <v>348</v>
      </c>
      <c r="Q709" s="88" t="s">
        <v>75</v>
      </c>
      <c r="R709" s="88" t="s">
        <v>348</v>
      </c>
      <c r="S709" s="110">
        <v>10300</v>
      </c>
      <c r="T709" s="110">
        <v>940</v>
      </c>
      <c r="U709" s="88">
        <v>983</v>
      </c>
      <c r="V709" s="90">
        <v>1500</v>
      </c>
      <c r="W709" s="111">
        <v>10</v>
      </c>
      <c r="X709" s="110">
        <v>48741</v>
      </c>
      <c r="Y709" s="110">
        <v>847364</v>
      </c>
      <c r="Z709" s="110">
        <v>6803202</v>
      </c>
      <c r="AA709" s="110">
        <v>2117346</v>
      </c>
      <c r="AB709" s="112">
        <v>4712334</v>
      </c>
      <c r="AC709" s="109">
        <v>160.1</v>
      </c>
      <c r="AD709" s="110">
        <v>-109.9</v>
      </c>
      <c r="AE709" s="110">
        <v>3.94</v>
      </c>
      <c r="AF709" s="110">
        <v>-0.76</v>
      </c>
      <c r="AG709" s="110">
        <v>109.8</v>
      </c>
      <c r="AH709" s="110">
        <v>-110.1</v>
      </c>
      <c r="AI709" s="110">
        <v>3.7</v>
      </c>
      <c r="AJ709" s="109">
        <v>-0.34</v>
      </c>
      <c r="AK709" s="113" t="s">
        <v>59</v>
      </c>
      <c r="AL709" s="107" t="s">
        <v>181</v>
      </c>
      <c r="AN709" s="107">
        <v>0.95599999999999996</v>
      </c>
      <c r="AO709" s="48">
        <f t="shared" si="1052"/>
        <v>137839061.72723076</v>
      </c>
      <c r="AP709" s="156">
        <f t="shared" si="1053"/>
        <v>96487343.209061518</v>
      </c>
      <c r="AQ709" s="161">
        <f t="shared" si="1054"/>
        <v>31919310846.372299</v>
      </c>
      <c r="AR709" s="163">
        <f t="shared" si="1055"/>
        <v>14.21173611108329</v>
      </c>
      <c r="AS709" s="49">
        <f t="shared" si="1056"/>
        <v>0.29523412698412699</v>
      </c>
      <c r="AT709" s="165">
        <f t="shared" si="1057"/>
        <v>97.49864384920626</v>
      </c>
      <c r="AU709" s="254">
        <f t="shared" si="1058"/>
        <v>202418.2776</v>
      </c>
      <c r="AV709" s="255">
        <f t="shared" si="1059"/>
        <v>480549.72240000003</v>
      </c>
      <c r="AW709" s="256">
        <f t="shared" si="1060"/>
        <v>0.42122233801128089</v>
      </c>
    </row>
    <row r="710" spans="1:49">
      <c r="A710" s="108">
        <v>708</v>
      </c>
      <c r="F710" s="45">
        <v>43151.128877314812</v>
      </c>
      <c r="G710" s="45">
        <v>43151.170856481483</v>
      </c>
      <c r="H710" s="38">
        <f>G710-F710-'user time'!AJ80-'user time'!AJ81</f>
        <v>4.1099537042178724E-2</v>
      </c>
      <c r="I710" s="86">
        <v>50.38</v>
      </c>
      <c r="J710" s="109" t="s">
        <v>260</v>
      </c>
      <c r="K710" s="88" t="s">
        <v>72</v>
      </c>
      <c r="L710" s="88" t="s">
        <v>73</v>
      </c>
      <c r="M710" s="88">
        <v>-369</v>
      </c>
      <c r="N710" s="108">
        <v>1</v>
      </c>
      <c r="O710" s="108">
        <v>200</v>
      </c>
      <c r="P710" s="88">
        <v>348</v>
      </c>
      <c r="Q710" s="88" t="s">
        <v>75</v>
      </c>
      <c r="R710" s="88" t="s">
        <v>348</v>
      </c>
      <c r="S710" s="110">
        <v>10300</v>
      </c>
      <c r="T710" s="110">
        <v>917</v>
      </c>
      <c r="U710" s="88">
        <v>983</v>
      </c>
      <c r="V710" s="90">
        <v>1500</v>
      </c>
      <c r="W710" s="111">
        <v>10</v>
      </c>
      <c r="X710" s="110">
        <v>48323</v>
      </c>
      <c r="Y710" s="110">
        <v>847791</v>
      </c>
      <c r="Z710" s="110">
        <v>6791724</v>
      </c>
      <c r="AA710" s="110">
        <v>2114460</v>
      </c>
      <c r="AB710" s="112">
        <v>4704258</v>
      </c>
      <c r="AC710" s="109">
        <v>160.1</v>
      </c>
      <c r="AD710" s="110">
        <v>-109.9</v>
      </c>
      <c r="AE710" s="110">
        <v>3.94</v>
      </c>
      <c r="AF710" s="110">
        <v>-0.76</v>
      </c>
      <c r="AG710" s="110">
        <v>109.8</v>
      </c>
      <c r="AH710" s="110">
        <v>-110</v>
      </c>
      <c r="AI710" s="110">
        <v>3.7</v>
      </c>
      <c r="AJ710" s="109">
        <v>-0.34</v>
      </c>
      <c r="AK710" s="113" t="s">
        <v>59</v>
      </c>
      <c r="AL710" s="107" t="s">
        <v>181</v>
      </c>
      <c r="AN710" s="107">
        <v>0.96099999999999997</v>
      </c>
      <c r="AO710" s="48">
        <f t="shared" si="1052"/>
        <v>138761884.78961536</v>
      </c>
      <c r="AP710" s="156">
        <f t="shared" si="1053"/>
        <v>97133319.352730751</v>
      </c>
      <c r="AQ710" s="161">
        <f t="shared" si="1054"/>
        <v>32016444165.725029</v>
      </c>
      <c r="AR710" s="163">
        <f t="shared" si="1055"/>
        <v>14.252835648125469</v>
      </c>
      <c r="AS710" s="49">
        <f t="shared" si="1056"/>
        <v>0.29488293650793651</v>
      </c>
      <c r="AT710" s="165">
        <f t="shared" si="1057"/>
        <v>97.793526785714192</v>
      </c>
      <c r="AU710" s="254">
        <f t="shared" si="1058"/>
        <v>203199.606</v>
      </c>
      <c r="AV710" s="255">
        <f t="shared" si="1059"/>
        <v>478672.19400000002</v>
      </c>
      <c r="AW710" s="256">
        <f t="shared" si="1060"/>
        <v>0.42450680976885818</v>
      </c>
    </row>
    <row r="711" spans="1:49">
      <c r="A711" s="108">
        <v>709</v>
      </c>
      <c r="F711" s="45">
        <v>43151.170902777776</v>
      </c>
      <c r="G711" s="45">
        <v>43151.229930555557</v>
      </c>
      <c r="H711" s="38">
        <f>G711-F711-SUM('user time'!AJ82:AJ84)</f>
        <v>4.1516203706937427E-2</v>
      </c>
      <c r="I711" s="86">
        <v>50.41</v>
      </c>
      <c r="J711" s="109" t="s">
        <v>260</v>
      </c>
      <c r="K711" s="88" t="s">
        <v>72</v>
      </c>
      <c r="L711" s="88" t="s">
        <v>73</v>
      </c>
      <c r="M711" s="88">
        <v>-369</v>
      </c>
      <c r="N711" s="108">
        <v>1</v>
      </c>
      <c r="O711" s="108">
        <v>200</v>
      </c>
      <c r="P711" s="88">
        <v>348</v>
      </c>
      <c r="Q711" s="88" t="s">
        <v>75</v>
      </c>
      <c r="R711" s="88" t="s">
        <v>348</v>
      </c>
      <c r="S711" s="110">
        <v>10300</v>
      </c>
      <c r="T711" s="110">
        <v>925</v>
      </c>
      <c r="U711" s="88">
        <v>983</v>
      </c>
      <c r="V711" s="90">
        <v>1500</v>
      </c>
      <c r="W711" s="111">
        <v>10</v>
      </c>
      <c r="X711" s="110">
        <v>48688</v>
      </c>
      <c r="Y711" s="110">
        <v>848125</v>
      </c>
      <c r="Z711" s="110">
        <v>6772572</v>
      </c>
      <c r="AA711" s="110">
        <v>2112800</v>
      </c>
      <c r="AB711" s="112">
        <v>4686557</v>
      </c>
      <c r="AC711" s="109">
        <v>160.1</v>
      </c>
      <c r="AD711" s="110">
        <v>-110</v>
      </c>
      <c r="AE711" s="110">
        <v>3.93</v>
      </c>
      <c r="AF711" s="110">
        <v>-0.76</v>
      </c>
      <c r="AG711" s="110">
        <v>109.8</v>
      </c>
      <c r="AH711" s="110">
        <v>-110</v>
      </c>
      <c r="AI711" s="110">
        <v>3.7</v>
      </c>
      <c r="AJ711" s="109">
        <v>-0.34</v>
      </c>
      <c r="AK711" s="113" t="s">
        <v>59</v>
      </c>
      <c r="AL711" s="107" t="s">
        <v>181</v>
      </c>
      <c r="AN711" s="107">
        <v>0.95299999999999996</v>
      </c>
      <c r="AO711" s="48">
        <f t="shared" si="1052"/>
        <v>138892668.47692305</v>
      </c>
      <c r="AP711" s="156">
        <f t="shared" si="1053"/>
        <v>97224867.933846131</v>
      </c>
      <c r="AQ711" s="161">
        <f t="shared" si="1054"/>
        <v>32113669033.658875</v>
      </c>
      <c r="AR711" s="163">
        <f t="shared" si="1055"/>
        <v>14.294351851832406</v>
      </c>
      <c r="AS711" s="49">
        <f t="shared" si="1056"/>
        <v>0.29505853174603169</v>
      </c>
      <c r="AT711" s="165">
        <f t="shared" si="1057"/>
        <v>98.088585317460229</v>
      </c>
      <c r="AU711" s="254">
        <f t="shared" si="1058"/>
        <v>201349.84</v>
      </c>
      <c r="AV711" s="255">
        <f t="shared" si="1059"/>
        <v>478585.86000000004</v>
      </c>
      <c r="AW711" s="256">
        <f t="shared" si="1060"/>
        <v>0.42071832210003024</v>
      </c>
    </row>
    <row r="712" spans="1:49">
      <c r="A712" s="108">
        <v>710</v>
      </c>
      <c r="F712" s="45">
        <v>43151.22997685185</v>
      </c>
      <c r="G712" s="45">
        <v>43151.271863425929</v>
      </c>
      <c r="H712" s="38">
        <f>G712-F712-'user time'!AJ85</f>
        <v>4.1458333338658226E-2</v>
      </c>
      <c r="I712" s="86">
        <v>50.39</v>
      </c>
      <c r="J712" s="109" t="s">
        <v>260</v>
      </c>
      <c r="K712" s="88" t="s">
        <v>72</v>
      </c>
      <c r="L712" s="88" t="s">
        <v>73</v>
      </c>
      <c r="M712" s="88">
        <v>-369</v>
      </c>
      <c r="N712" s="108">
        <v>1</v>
      </c>
      <c r="O712" s="108">
        <v>200</v>
      </c>
      <c r="P712" s="88">
        <v>348</v>
      </c>
      <c r="Q712" s="88" t="s">
        <v>75</v>
      </c>
      <c r="R712" s="88" t="s">
        <v>348</v>
      </c>
      <c r="S712" s="110">
        <v>10300</v>
      </c>
      <c r="T712" s="110">
        <v>913</v>
      </c>
      <c r="U712" s="88">
        <v>983</v>
      </c>
      <c r="V712" s="90">
        <v>1500</v>
      </c>
      <c r="W712" s="111">
        <v>10</v>
      </c>
      <c r="X712" s="110">
        <v>48537</v>
      </c>
      <c r="Y712" s="110">
        <v>848785</v>
      </c>
      <c r="Z712" s="110">
        <v>6770826</v>
      </c>
      <c r="AA712" s="110">
        <v>2116270</v>
      </c>
      <c r="AB712" s="112">
        <v>4680727</v>
      </c>
      <c r="AC712" s="109">
        <v>160.1</v>
      </c>
      <c r="AD712" s="110">
        <v>-109.9</v>
      </c>
      <c r="AE712" s="110">
        <v>3.94</v>
      </c>
      <c r="AF712" s="110">
        <v>-0.76</v>
      </c>
      <c r="AG712" s="110">
        <v>109.8</v>
      </c>
      <c r="AH712" s="110">
        <v>-110.1</v>
      </c>
      <c r="AI712" s="110">
        <v>3.7</v>
      </c>
      <c r="AJ712" s="109">
        <v>-0.34</v>
      </c>
      <c r="AK712" s="113" t="s">
        <v>59</v>
      </c>
      <c r="AL712" s="107" t="s">
        <v>181</v>
      </c>
      <c r="AN712" s="107">
        <v>0.95399999999999996</v>
      </c>
      <c r="AO712" s="48">
        <f t="shared" si="1052"/>
        <v>139072636.53</v>
      </c>
      <c r="AP712" s="156">
        <f t="shared" si="1053"/>
        <v>97350845.570999995</v>
      </c>
      <c r="AQ712" s="161">
        <f t="shared" si="1054"/>
        <v>32211019879.229874</v>
      </c>
      <c r="AR712" s="163">
        <f t="shared" si="1055"/>
        <v>14.335810185171065</v>
      </c>
      <c r="AS712" s="49">
        <f t="shared" si="1056"/>
        <v>0.29494146825396828</v>
      </c>
      <c r="AT712" s="165">
        <f t="shared" si="1057"/>
        <v>98.383526785714196</v>
      </c>
      <c r="AU712" s="254">
        <f t="shared" si="1058"/>
        <v>201892.158</v>
      </c>
      <c r="AV712" s="255">
        <f t="shared" si="1059"/>
        <v>477807.54200000002</v>
      </c>
      <c r="AW712" s="256">
        <f t="shared" si="1060"/>
        <v>0.42253865888119446</v>
      </c>
    </row>
    <row r="713" spans="1:49">
      <c r="A713" s="108">
        <v>711</v>
      </c>
      <c r="F713" s="45">
        <v>43151.271909722222</v>
      </c>
      <c r="G713" s="45">
        <v>43151.313136574077</v>
      </c>
      <c r="H713" s="38">
        <f>G713-F713-'user time'!AJ86</f>
        <v>4.0949074077976155E-2</v>
      </c>
      <c r="I713" s="86">
        <v>50.41</v>
      </c>
      <c r="J713" s="109" t="s">
        <v>260</v>
      </c>
      <c r="K713" s="88" t="s">
        <v>72</v>
      </c>
      <c r="L713" s="88" t="s">
        <v>73</v>
      </c>
      <c r="M713" s="88">
        <v>-369</v>
      </c>
      <c r="N713" s="108">
        <v>1</v>
      </c>
      <c r="O713" s="108">
        <v>200</v>
      </c>
      <c r="P713" s="88">
        <v>348</v>
      </c>
      <c r="Q713" s="88" t="s">
        <v>75</v>
      </c>
      <c r="R713" s="88" t="s">
        <v>348</v>
      </c>
      <c r="S713" s="110">
        <v>10300</v>
      </c>
      <c r="T713" s="110">
        <v>922</v>
      </c>
      <c r="U713" s="88">
        <v>983</v>
      </c>
      <c r="V713" s="90">
        <v>1500</v>
      </c>
      <c r="W713" s="111">
        <v>10</v>
      </c>
      <c r="X713" s="110">
        <v>48478</v>
      </c>
      <c r="Y713" s="110">
        <v>847018</v>
      </c>
      <c r="Z713" s="110">
        <v>6737502</v>
      </c>
      <c r="AA713" s="110">
        <v>2104112</v>
      </c>
      <c r="AB713" s="112">
        <v>4660125</v>
      </c>
      <c r="AC713" s="109">
        <v>160.1</v>
      </c>
      <c r="AD713" s="110">
        <v>-109.9</v>
      </c>
      <c r="AE713" s="110">
        <v>3.94</v>
      </c>
      <c r="AF713" s="110">
        <v>-0.76</v>
      </c>
      <c r="AG713" s="110">
        <v>109.8</v>
      </c>
      <c r="AH713" s="110">
        <v>-110.1</v>
      </c>
      <c r="AI713" s="110">
        <v>3.7</v>
      </c>
      <c r="AJ713" s="109">
        <v>-0.34</v>
      </c>
      <c r="AK713" s="113" t="s">
        <v>59</v>
      </c>
      <c r="AL713" s="107" t="s">
        <v>181</v>
      </c>
      <c r="AN713" s="107">
        <v>0.95199999999999996</v>
      </c>
      <c r="AO713" s="48">
        <f t="shared" si="1052"/>
        <v>136288837.30215383</v>
      </c>
      <c r="AP713" s="156">
        <f t="shared" si="1053"/>
        <v>95402186.111507669</v>
      </c>
      <c r="AQ713" s="161">
        <f t="shared" si="1054"/>
        <v>32306422065.341381</v>
      </c>
      <c r="AR713" s="163">
        <f t="shared" si="1055"/>
        <v>14.376759259249042</v>
      </c>
      <c r="AS713" s="49">
        <f t="shared" si="1056"/>
        <v>0.29005753968253967</v>
      </c>
      <c r="AT713" s="165">
        <f t="shared" si="1057"/>
        <v>98.673584325396732</v>
      </c>
      <c r="AU713" s="254">
        <f t="shared" si="1058"/>
        <v>200311.46239999999</v>
      </c>
      <c r="AV713" s="255">
        <f t="shared" si="1059"/>
        <v>476112.23759999999</v>
      </c>
      <c r="AW713" s="256">
        <f t="shared" si="1060"/>
        <v>0.42072319629870397</v>
      </c>
    </row>
    <row r="714" spans="1:49">
      <c r="A714" s="108">
        <v>712</v>
      </c>
      <c r="F714" s="45">
        <v>43151.313159722224</v>
      </c>
      <c r="G714" s="45">
        <v>43151.354884259257</v>
      </c>
      <c r="H714" s="38">
        <f>G714-F714-'user time'!AJ87</f>
        <v>4.1307870366920962E-2</v>
      </c>
      <c r="I714" s="86">
        <v>50.52</v>
      </c>
      <c r="J714" s="109" t="s">
        <v>260</v>
      </c>
      <c r="K714" s="88" t="s">
        <v>72</v>
      </c>
      <c r="L714" s="88" t="s">
        <v>73</v>
      </c>
      <c r="M714" s="88">
        <v>-369</v>
      </c>
      <c r="N714" s="108">
        <v>1</v>
      </c>
      <c r="O714" s="108">
        <v>200</v>
      </c>
      <c r="P714" s="88">
        <v>348</v>
      </c>
      <c r="Q714" s="88" t="s">
        <v>75</v>
      </c>
      <c r="R714" s="88" t="s">
        <v>348</v>
      </c>
      <c r="S714" s="110">
        <v>10300</v>
      </c>
      <c r="T714" s="110">
        <v>930</v>
      </c>
      <c r="U714" s="88">
        <v>983</v>
      </c>
      <c r="V714" s="90">
        <v>1500</v>
      </c>
      <c r="W714" s="111">
        <v>10</v>
      </c>
      <c r="X714" s="110">
        <v>48733</v>
      </c>
      <c r="Y714" s="110">
        <v>851546</v>
      </c>
      <c r="Z714" s="110">
        <v>6783422</v>
      </c>
      <c r="AA714" s="110">
        <v>2124670</v>
      </c>
      <c r="AB714" s="112">
        <v>4684260</v>
      </c>
      <c r="AC714" s="109">
        <v>160.1</v>
      </c>
      <c r="AD714" s="110">
        <v>-109.9</v>
      </c>
      <c r="AE714" s="110">
        <v>3.93</v>
      </c>
      <c r="AF714" s="110">
        <v>-0.76</v>
      </c>
      <c r="AG714" s="110">
        <v>109.8</v>
      </c>
      <c r="AH714" s="110">
        <v>-110</v>
      </c>
      <c r="AI714" s="110">
        <v>3.7</v>
      </c>
      <c r="AJ714" s="109">
        <v>-0.33</v>
      </c>
      <c r="AK714" s="113" t="s">
        <v>59</v>
      </c>
      <c r="AL714" s="107" t="s">
        <v>181</v>
      </c>
      <c r="AN714" s="107">
        <v>0.95599999999999996</v>
      </c>
      <c r="AO714" s="48">
        <f t="shared" si="1052"/>
        <v>139409568.30538464</v>
      </c>
      <c r="AP714" s="156">
        <f t="shared" si="1053"/>
        <v>97586697.813769236</v>
      </c>
      <c r="AQ714" s="161">
        <f t="shared" si="1054"/>
        <v>32404008763.155151</v>
      </c>
      <c r="AR714" s="163">
        <f t="shared" si="1055"/>
        <v>14.418067129615963</v>
      </c>
      <c r="AS714" s="49">
        <f t="shared" si="1056"/>
        <v>0.29570238095238099</v>
      </c>
      <c r="AT714" s="165">
        <f t="shared" si="1057"/>
        <v>98.969286706349109</v>
      </c>
      <c r="AU714" s="254">
        <f t="shared" si="1058"/>
        <v>203118.45199999999</v>
      </c>
      <c r="AV714" s="255">
        <f t="shared" si="1059"/>
        <v>477774.54800000001</v>
      </c>
      <c r="AW714" s="256">
        <f t="shared" si="1060"/>
        <v>0.42513451763026938</v>
      </c>
    </row>
    <row r="715" spans="1:49">
      <c r="A715" s="108">
        <v>713</v>
      </c>
      <c r="F715" s="45">
        <v>43151.354942129627</v>
      </c>
      <c r="G715" s="45">
        <v>43151.396828703706</v>
      </c>
      <c r="H715" s="38">
        <f>G715-F715</f>
        <v>4.1886574079398997E-2</v>
      </c>
      <c r="I715" s="86">
        <v>50.43</v>
      </c>
      <c r="J715" s="109" t="s">
        <v>260</v>
      </c>
      <c r="K715" s="88" t="s">
        <v>72</v>
      </c>
      <c r="L715" s="88" t="s">
        <v>73</v>
      </c>
      <c r="M715" s="88">
        <v>-369</v>
      </c>
      <c r="N715" s="108">
        <v>1</v>
      </c>
      <c r="O715" s="108">
        <v>200</v>
      </c>
      <c r="P715" s="88">
        <v>348</v>
      </c>
      <c r="Q715" s="88" t="s">
        <v>75</v>
      </c>
      <c r="R715" s="88" t="s">
        <v>348</v>
      </c>
      <c r="S715" s="110">
        <v>10100</v>
      </c>
      <c r="T715" s="110">
        <v>901</v>
      </c>
      <c r="U715" s="88">
        <v>983</v>
      </c>
      <c r="V715" s="90">
        <v>1500</v>
      </c>
      <c r="W715" s="111">
        <v>10</v>
      </c>
      <c r="X715" s="110">
        <v>48290</v>
      </c>
      <c r="Y715" s="110">
        <v>849886</v>
      </c>
      <c r="Z715" s="110">
        <v>6761772</v>
      </c>
      <c r="AA715" s="110">
        <v>2108788</v>
      </c>
      <c r="AB715" s="112">
        <v>4679185</v>
      </c>
      <c r="AC715" s="109">
        <v>160.1</v>
      </c>
      <c r="AD715" s="110">
        <v>-109.9</v>
      </c>
      <c r="AE715" s="110">
        <v>3.94</v>
      </c>
      <c r="AF715" s="110">
        <v>-0.76</v>
      </c>
      <c r="AG715" s="110">
        <v>109.8</v>
      </c>
      <c r="AH715" s="110">
        <v>-110</v>
      </c>
      <c r="AI715" s="110">
        <v>3.7</v>
      </c>
      <c r="AJ715" s="109">
        <v>-0.33</v>
      </c>
      <c r="AK715" s="113" t="s">
        <v>59</v>
      </c>
      <c r="AL715" s="107" t="s">
        <v>181</v>
      </c>
      <c r="AN715" s="107">
        <v>0.95299999999999996</v>
      </c>
      <c r="AO715" s="48">
        <f t="shared" ref="AO715" si="1061">(HOUR(H715)*60*60+MINUTE(H715)*60+SECOND(H715))/5.2*AA715/W715*AN715</f>
        <v>139865647.97530767</v>
      </c>
      <c r="AP715" s="156">
        <f t="shared" ref="AP715" si="1062">AO715*0.7</f>
        <v>97905953.582715362</v>
      </c>
      <c r="AQ715" s="161">
        <f t="shared" ref="AQ715" si="1063">AP715+AQ714</f>
        <v>32501914716.737865</v>
      </c>
      <c r="AR715" s="163">
        <f t="shared" ref="AR715" si="1064">H715+AR714</f>
        <v>14.459953703695362</v>
      </c>
      <c r="AS715" s="49">
        <f t="shared" ref="AS715" si="1065">I715*(HOUR(H715)*60+MINUTE(H715))/60/(7*24)</f>
        <v>0.30017857142857141</v>
      </c>
      <c r="AT715" s="165">
        <f t="shared" ref="AT715" si="1066">AS715+AT714</f>
        <v>99.269465277777684</v>
      </c>
      <c r="AU715" s="254">
        <f t="shared" ref="AU715" si="1067">AA715/W715*AN715</f>
        <v>200967.49639999997</v>
      </c>
      <c r="AV715" s="255">
        <f t="shared" ref="AV715" si="1068">AB715/W715+AA715/W715*(1-AN715)</f>
        <v>477829.80359999998</v>
      </c>
      <c r="AW715" s="256">
        <f t="shared" ref="AW715" si="1069">AU715/AV715</f>
        <v>0.42058384572477092</v>
      </c>
    </row>
    <row r="716" spans="1:49">
      <c r="A716" s="108">
        <v>714</v>
      </c>
      <c r="F716" s="45">
        <v>43151.396874999999</v>
      </c>
      <c r="G716" s="45">
        <v>43151.438831018517</v>
      </c>
      <c r="H716" s="38">
        <f>G716-F716-SUM('user time'!AJ88:AJ90)</f>
        <v>3.840277777750839E-2</v>
      </c>
      <c r="I716" s="86">
        <v>50.44</v>
      </c>
      <c r="J716" s="109" t="s">
        <v>260</v>
      </c>
      <c r="K716" s="88" t="s">
        <v>72</v>
      </c>
      <c r="L716" s="88" t="s">
        <v>73</v>
      </c>
      <c r="M716" s="88">
        <v>-369</v>
      </c>
      <c r="N716" s="108">
        <v>1</v>
      </c>
      <c r="O716" s="108">
        <v>200</v>
      </c>
      <c r="P716" s="88">
        <v>348</v>
      </c>
      <c r="Q716" s="88" t="s">
        <v>75</v>
      </c>
      <c r="R716" s="88" t="s">
        <v>348</v>
      </c>
      <c r="S716" s="110">
        <v>10100</v>
      </c>
      <c r="T716" s="110">
        <v>911</v>
      </c>
      <c r="U716" s="88">
        <v>983</v>
      </c>
      <c r="V716" s="90">
        <v>1500</v>
      </c>
      <c r="W716" s="111">
        <v>10</v>
      </c>
      <c r="X716" s="110">
        <v>48717</v>
      </c>
      <c r="Y716" s="110">
        <v>847694</v>
      </c>
      <c r="Z716" s="110">
        <v>6689951</v>
      </c>
      <c r="AA716" s="110">
        <v>2083175</v>
      </c>
      <c r="AB716" s="112">
        <v>4633604</v>
      </c>
      <c r="AC716" s="109">
        <v>160.1</v>
      </c>
      <c r="AD716" s="110">
        <v>-109.9</v>
      </c>
      <c r="AE716" s="110">
        <v>3.94</v>
      </c>
      <c r="AF716" s="110">
        <v>-0.76</v>
      </c>
      <c r="AG716" s="110">
        <v>109.8</v>
      </c>
      <c r="AH716" s="110">
        <v>-110</v>
      </c>
      <c r="AI716" s="110">
        <v>3.7</v>
      </c>
      <c r="AJ716" s="109">
        <v>-0.34</v>
      </c>
      <c r="AK716" s="113" t="s">
        <v>59</v>
      </c>
      <c r="AL716" s="107" t="s">
        <v>181</v>
      </c>
      <c r="AN716" s="107">
        <v>0.95299999999999996</v>
      </c>
      <c r="AO716" s="48">
        <f t="shared" ref="AO716" si="1070">(HOUR(H716)*60*60+MINUTE(H716)*60+SECOND(H716))/5.2*AA716/W716*AN716</f>
        <v>126675227.7201923</v>
      </c>
      <c r="AP716" s="156">
        <f t="shared" ref="AP716" si="1071">AO716*0.7</f>
        <v>88672659.404134601</v>
      </c>
      <c r="AQ716" s="161">
        <f t="shared" ref="AQ716" si="1072">AP716+AQ715</f>
        <v>32590587376.141998</v>
      </c>
      <c r="AR716" s="163">
        <f t="shared" ref="AR716" si="1073">H716+AR715</f>
        <v>14.49835648147287</v>
      </c>
      <c r="AS716" s="49">
        <f t="shared" ref="AS716" si="1074">I716*(HOUR(H716)*60+MINUTE(H716))/60/(7*24)</f>
        <v>0.27521825396825395</v>
      </c>
      <c r="AT716" s="165">
        <f t="shared" ref="AT716" si="1075">AS716+AT715</f>
        <v>99.544683531745932</v>
      </c>
      <c r="AU716" s="254">
        <f t="shared" ref="AU716" si="1076">AA716/W716*AN716</f>
        <v>198526.57749999998</v>
      </c>
      <c r="AV716" s="255">
        <f t="shared" ref="AV716" si="1077">AB716/W716+AA716/W716*(1-AN716)</f>
        <v>473151.32250000001</v>
      </c>
      <c r="AW716" s="256">
        <f t="shared" ref="AW716" si="1078">AU716/AV716</f>
        <v>0.41958368931749096</v>
      </c>
    </row>
    <row r="717" spans="1:49">
      <c r="A717" s="108">
        <v>715</v>
      </c>
      <c r="F717" s="45">
        <v>43151.43886574074</v>
      </c>
      <c r="G717" s="45">
        <v>43151.472395833334</v>
      </c>
      <c r="H717" s="38">
        <f>G717-F717</f>
        <v>3.3530092594446614E-2</v>
      </c>
      <c r="I717" s="86">
        <v>50.44</v>
      </c>
      <c r="J717" s="109" t="s">
        <v>260</v>
      </c>
      <c r="K717" s="88" t="s">
        <v>72</v>
      </c>
      <c r="L717" s="88" t="s">
        <v>73</v>
      </c>
      <c r="M717" s="88">
        <v>-369</v>
      </c>
      <c r="N717" s="108">
        <v>1</v>
      </c>
      <c r="O717" s="108">
        <v>200</v>
      </c>
      <c r="P717" s="88">
        <v>348</v>
      </c>
      <c r="Q717" s="88" t="s">
        <v>75</v>
      </c>
      <c r="R717" s="88" t="s">
        <v>348</v>
      </c>
      <c r="S717" s="110">
        <v>10100</v>
      </c>
      <c r="T717" s="110">
        <v>907</v>
      </c>
      <c r="U717" s="88">
        <v>983</v>
      </c>
      <c r="V717" s="90">
        <v>1500</v>
      </c>
      <c r="W717" s="111">
        <v>10</v>
      </c>
      <c r="X717" s="110">
        <v>48762</v>
      </c>
      <c r="Y717" s="110">
        <v>846771</v>
      </c>
      <c r="Z717" s="110">
        <v>6682800</v>
      </c>
      <c r="AA717" s="110">
        <v>2089003</v>
      </c>
      <c r="AB717" s="112">
        <v>4619955</v>
      </c>
      <c r="AC717" s="109">
        <v>160.1</v>
      </c>
      <c r="AD717" s="110">
        <v>-109.9</v>
      </c>
      <c r="AE717" s="110">
        <v>3.94</v>
      </c>
      <c r="AF717" s="110">
        <v>-0.76</v>
      </c>
      <c r="AG717" s="110">
        <v>109.8</v>
      </c>
      <c r="AH717" s="110">
        <v>-110.1</v>
      </c>
      <c r="AI717" s="110">
        <v>3.7</v>
      </c>
      <c r="AJ717" s="109">
        <v>-0.34</v>
      </c>
      <c r="AK717" s="113" t="s">
        <v>59</v>
      </c>
      <c r="AL717" s="107" t="s">
        <v>181</v>
      </c>
      <c r="AN717" s="107">
        <v>0.95399999999999996</v>
      </c>
      <c r="AO717" s="48">
        <f t="shared" ref="AO717" si="1079">(HOUR(H717)*60*60+MINUTE(H717)*60+SECOND(H717))/5.2*AA717/W717*AN717</f>
        <v>111028018.71565384</v>
      </c>
      <c r="AP717" s="156">
        <f t="shared" ref="AP717" si="1080">AO717*0.7</f>
        <v>77719613.100957677</v>
      </c>
      <c r="AQ717" s="161">
        <f t="shared" ref="AQ717" si="1081">AP717+AQ716</f>
        <v>32668306989.242954</v>
      </c>
      <c r="AR717" s="163">
        <f t="shared" ref="AR717" si="1082">H717+AR716</f>
        <v>14.531886574067316</v>
      </c>
      <c r="AS717" s="49">
        <f t="shared" ref="AS717" si="1083">I717*(HOUR(H717)*60+MINUTE(H717))/60/(7*24)</f>
        <v>0.24019047619047618</v>
      </c>
      <c r="AT717" s="165">
        <f t="shared" ref="AT717" si="1084">AS717+AT716</f>
        <v>99.784874007936409</v>
      </c>
      <c r="AU717" s="254">
        <f t="shared" ref="AU717" si="1085">AA717/W717*AN717</f>
        <v>199290.88619999998</v>
      </c>
      <c r="AV717" s="255">
        <f t="shared" ref="AV717" si="1086">AB717/W717+AA717/W717*(1-AN717)</f>
        <v>471604.91379999998</v>
      </c>
      <c r="AW717" s="256">
        <f t="shared" ref="AW717" si="1087">AU717/AV717</f>
        <v>0.42258017329419945</v>
      </c>
    </row>
    <row r="718" spans="1:49">
      <c r="A718" s="108">
        <v>716</v>
      </c>
      <c r="F718" s="45">
        <v>43151.483680555553</v>
      </c>
      <c r="G718" s="45">
        <v>43151.525254629632</v>
      </c>
      <c r="H718" s="38">
        <f>G718-F718-'user time'!AJ92</f>
        <v>4.1226851856885738E-2</v>
      </c>
      <c r="I718" s="86">
        <v>50.45</v>
      </c>
      <c r="J718" s="109" t="s">
        <v>260</v>
      </c>
      <c r="K718" s="88" t="s">
        <v>72</v>
      </c>
      <c r="L718" s="88" t="s">
        <v>73</v>
      </c>
      <c r="M718" s="88">
        <v>-369</v>
      </c>
      <c r="N718" s="108">
        <v>1</v>
      </c>
      <c r="O718" s="108">
        <v>200</v>
      </c>
      <c r="P718" s="88">
        <v>348</v>
      </c>
      <c r="Q718" s="88" t="s">
        <v>75</v>
      </c>
      <c r="R718" s="88" t="s">
        <v>348</v>
      </c>
      <c r="S718" s="110">
        <v>10100</v>
      </c>
      <c r="T718" s="110">
        <v>918</v>
      </c>
      <c r="U718" s="88">
        <v>983</v>
      </c>
      <c r="V718" s="90">
        <v>1500</v>
      </c>
      <c r="W718" s="111">
        <v>10</v>
      </c>
      <c r="X718" s="110">
        <v>48395</v>
      </c>
      <c r="Y718" s="110">
        <v>849980</v>
      </c>
      <c r="Z718" s="110">
        <v>6716322</v>
      </c>
      <c r="AA718" s="110">
        <v>2098929</v>
      </c>
      <c r="AB718" s="112">
        <v>4643821</v>
      </c>
      <c r="AC718" s="109">
        <v>160.1</v>
      </c>
      <c r="AD718" s="110">
        <v>-109.9</v>
      </c>
      <c r="AE718" s="110">
        <v>3.94</v>
      </c>
      <c r="AF718" s="110">
        <v>-0.76</v>
      </c>
      <c r="AG718" s="110">
        <v>109.8</v>
      </c>
      <c r="AH718" s="110">
        <v>-110</v>
      </c>
      <c r="AI718" s="110">
        <v>3.7</v>
      </c>
      <c r="AJ718" s="109">
        <v>-0.34</v>
      </c>
      <c r="AK718" s="113" t="s">
        <v>59</v>
      </c>
      <c r="AL718" s="107" t="s">
        <v>181</v>
      </c>
      <c r="AN718" s="107">
        <v>0.95199999999999996</v>
      </c>
      <c r="AO718" s="48">
        <f t="shared" ref="AO718" si="1088">(HOUR(H718)*60*60+MINUTE(H718)*60+SECOND(H718))/5.2*AA718/W718*AN718</f>
        <v>136875357.94799998</v>
      </c>
      <c r="AP718" s="156">
        <f t="shared" ref="AP718" si="1089">AO718*0.7</f>
        <v>95812750.563599989</v>
      </c>
      <c r="AQ718" s="161">
        <f t="shared" ref="AQ718" si="1090">AP718+AQ717</f>
        <v>32764119739.806553</v>
      </c>
      <c r="AR718" s="163">
        <f t="shared" ref="AR718" si="1091">H718+AR717</f>
        <v>14.573113425924202</v>
      </c>
      <c r="AS718" s="49">
        <f t="shared" ref="AS718" si="1092">I718*(HOUR(H718)*60+MINUTE(H718))/60/(7*24)</f>
        <v>0.29529265873015875</v>
      </c>
      <c r="AT718" s="165">
        <f t="shared" ref="AT718" si="1093">AS718+AT717</f>
        <v>100.08016666666657</v>
      </c>
      <c r="AU718" s="254">
        <f t="shared" ref="AU718" si="1094">AA718/W718*AN718</f>
        <v>199818.04079999999</v>
      </c>
      <c r="AV718" s="255">
        <f t="shared" ref="AV718" si="1095">AB718/W718+AA718/W718*(1-AN718)</f>
        <v>474456.95919999998</v>
      </c>
      <c r="AW718" s="256">
        <f t="shared" ref="AW718" si="1096">AU718/AV718</f>
        <v>0.42115103788744257</v>
      </c>
    </row>
    <row r="719" spans="1:49">
      <c r="A719" s="108">
        <v>717</v>
      </c>
      <c r="F719" s="45">
        <v>43151.525358796294</v>
      </c>
      <c r="G719" s="45">
        <v>43151.56726851852</v>
      </c>
      <c r="H719" s="38">
        <f>G719-F719-'user time'!AJ93</f>
        <v>4.155092592938614E-2</v>
      </c>
      <c r="I719" s="86">
        <v>50.42</v>
      </c>
      <c r="J719" s="109" t="s">
        <v>260</v>
      </c>
      <c r="K719" s="88" t="s">
        <v>72</v>
      </c>
      <c r="L719" s="88" t="s">
        <v>73</v>
      </c>
      <c r="M719" s="88">
        <v>-369</v>
      </c>
      <c r="N719" s="108">
        <v>1</v>
      </c>
      <c r="O719" s="108">
        <v>200</v>
      </c>
      <c r="P719" s="88">
        <v>348</v>
      </c>
      <c r="Q719" s="88" t="s">
        <v>75</v>
      </c>
      <c r="R719" s="88" t="s">
        <v>348</v>
      </c>
      <c r="S719" s="110">
        <v>10100</v>
      </c>
      <c r="T719" s="110">
        <v>903</v>
      </c>
      <c r="U719" s="88">
        <v>983</v>
      </c>
      <c r="V719" s="90">
        <v>1500</v>
      </c>
      <c r="W719" s="111">
        <v>10</v>
      </c>
      <c r="X719" s="110">
        <v>49036</v>
      </c>
      <c r="Y719" s="110">
        <v>849692</v>
      </c>
      <c r="Z719" s="110">
        <v>6728903</v>
      </c>
      <c r="AA719" s="110">
        <v>2102584</v>
      </c>
      <c r="AB719" s="112">
        <v>4652746</v>
      </c>
      <c r="AC719" s="109">
        <v>160.1</v>
      </c>
      <c r="AD719" s="110">
        <v>-110</v>
      </c>
      <c r="AE719" s="110">
        <v>3.94</v>
      </c>
      <c r="AF719" s="110">
        <v>-0.76</v>
      </c>
      <c r="AG719" s="110">
        <v>109.8</v>
      </c>
      <c r="AH719" s="110">
        <v>-110</v>
      </c>
      <c r="AI719" s="110">
        <v>3.7</v>
      </c>
      <c r="AJ719" s="109">
        <v>-0.34</v>
      </c>
      <c r="AK719" s="113" t="s">
        <v>59</v>
      </c>
      <c r="AL719" s="107" t="s">
        <v>181</v>
      </c>
      <c r="AN719" s="107">
        <v>0.95299999999999996</v>
      </c>
      <c r="AO719" s="48">
        <f t="shared" ref="AO719" si="1097">(HOUR(H719)*60*60+MINUTE(H719)*60+SECOND(H719))/5.2*AA719/W719*AN719</f>
        <v>138336683.87846154</v>
      </c>
      <c r="AP719" s="156">
        <f t="shared" ref="AP719" si="1098">AO719*0.7</f>
        <v>96835678.714923069</v>
      </c>
      <c r="AQ719" s="161">
        <f t="shared" ref="AQ719" si="1099">AP719+AQ718</f>
        <v>32860955418.521477</v>
      </c>
      <c r="AR719" s="163">
        <f t="shared" ref="AR719" si="1100">H719+AR718</f>
        <v>14.614664351853587</v>
      </c>
      <c r="AS719" s="49">
        <f t="shared" ref="AS719" si="1101">I719*(HOUR(H719)*60+MINUTE(H719))/60/(7*24)</f>
        <v>0.29511706349206351</v>
      </c>
      <c r="AT719" s="165">
        <f t="shared" ref="AT719" si="1102">AS719+AT718</f>
        <v>100.37528373015863</v>
      </c>
      <c r="AU719" s="254">
        <f t="shared" ref="AU719" si="1103">AA719/W719*AN719</f>
        <v>200376.25519999999</v>
      </c>
      <c r="AV719" s="255">
        <f t="shared" ref="AV719" si="1104">AB719/W719+AA719/W719*(1-AN719)</f>
        <v>475156.74479999999</v>
      </c>
      <c r="AW719" s="256">
        <f t="shared" ref="AW719" si="1105">AU719/AV719</f>
        <v>0.42170558956148485</v>
      </c>
    </row>
    <row r="720" spans="1:49">
      <c r="A720" s="108">
        <v>718</v>
      </c>
      <c r="F720" s="45">
        <v>43151.567303240743</v>
      </c>
      <c r="G720" s="45">
        <v>43151.609201388892</v>
      </c>
      <c r="H720" s="38">
        <f>G720-F720-'user time'!AJ94</f>
        <v>4.1527777778532227E-2</v>
      </c>
      <c r="I720" s="86">
        <v>50.57</v>
      </c>
      <c r="J720" s="109" t="s">
        <v>260</v>
      </c>
      <c r="K720" s="88" t="s">
        <v>72</v>
      </c>
      <c r="L720" s="88" t="s">
        <v>73</v>
      </c>
      <c r="M720" s="88">
        <v>-369</v>
      </c>
      <c r="N720" s="108">
        <v>1</v>
      </c>
      <c r="O720" s="108">
        <v>200</v>
      </c>
      <c r="P720" s="88">
        <v>348</v>
      </c>
      <c r="Q720" s="88" t="s">
        <v>75</v>
      </c>
      <c r="R720" s="88" t="s">
        <v>348</v>
      </c>
      <c r="S720" s="110">
        <v>10100</v>
      </c>
      <c r="T720" s="110">
        <v>910</v>
      </c>
      <c r="U720" s="88">
        <v>983</v>
      </c>
      <c r="V720" s="90">
        <v>1500</v>
      </c>
      <c r="W720" s="111">
        <v>10</v>
      </c>
      <c r="X720" s="110">
        <v>48868</v>
      </c>
      <c r="Y720" s="110">
        <v>848867</v>
      </c>
      <c r="Z720" s="110">
        <v>6751775</v>
      </c>
      <c r="AA720" s="110">
        <v>2106999</v>
      </c>
      <c r="AB720" s="112">
        <v>4671351</v>
      </c>
      <c r="AC720" s="109">
        <v>160.1</v>
      </c>
      <c r="AD720" s="110">
        <v>-110</v>
      </c>
      <c r="AE720" s="110">
        <v>3.94</v>
      </c>
      <c r="AF720" s="110">
        <v>-0.76</v>
      </c>
      <c r="AG720" s="110">
        <v>109.8</v>
      </c>
      <c r="AH720" s="110">
        <v>-110</v>
      </c>
      <c r="AI720" s="110">
        <v>3.7</v>
      </c>
      <c r="AJ720" s="109">
        <v>-0.34</v>
      </c>
      <c r="AK720" s="113" t="s">
        <v>59</v>
      </c>
      <c r="AL720" s="107" t="s">
        <v>181</v>
      </c>
      <c r="AN720" s="107">
        <v>0.95899999999999996</v>
      </c>
      <c r="AO720" s="48">
        <f t="shared" ref="AO720" si="1106">(HOUR(H720)*60*60+MINUTE(H720)*60+SECOND(H720))/5.2*AA720/W720*AN720</f>
        <v>139422230.829</v>
      </c>
      <c r="AP720" s="156">
        <f t="shared" ref="AP720" si="1107">AO720*0.7</f>
        <v>97595561.580299988</v>
      </c>
      <c r="AQ720" s="161">
        <f t="shared" ref="AQ720" si="1108">AP720+AQ719</f>
        <v>32958550980.101776</v>
      </c>
      <c r="AR720" s="163">
        <f t="shared" ref="AR720" si="1109">H720+AR719</f>
        <v>14.656192129632119</v>
      </c>
      <c r="AS720" s="49">
        <f t="shared" ref="AS720" si="1110">I720*(HOUR(H720)*60+MINUTE(H720))/60/(7*24)</f>
        <v>0.29599503968253971</v>
      </c>
      <c r="AT720" s="165">
        <f t="shared" ref="AT720" si="1111">AS720+AT719</f>
        <v>100.67127876984117</v>
      </c>
      <c r="AU720" s="254">
        <f t="shared" ref="AU720" si="1112">AA720/W720*AN720</f>
        <v>202061.20409999997</v>
      </c>
      <c r="AV720" s="255">
        <f t="shared" ref="AV720" si="1113">AB720/W720+AA720/W720*(1-AN720)</f>
        <v>475773.79589999997</v>
      </c>
      <c r="AW720" s="256">
        <f t="shared" ref="AW720" si="1114">AU720/AV720</f>
        <v>0.42470015339489187</v>
      </c>
    </row>
    <row r="721" spans="1:70">
      <c r="A721" s="108">
        <v>719</v>
      </c>
      <c r="F721" s="45">
        <v>43151.609467592592</v>
      </c>
      <c r="G721" s="45">
        <v>43151.651053240741</v>
      </c>
      <c r="H721" s="38">
        <f>G721-F721-'user time'!AJ96</f>
        <v>4.1400462963426365E-2</v>
      </c>
      <c r="I721" s="86">
        <v>50.55</v>
      </c>
      <c r="J721" s="109" t="s">
        <v>260</v>
      </c>
      <c r="K721" s="88" t="s">
        <v>72</v>
      </c>
      <c r="L721" s="88" t="s">
        <v>73</v>
      </c>
      <c r="M721" s="88">
        <v>-369</v>
      </c>
      <c r="N721" s="108">
        <v>1</v>
      </c>
      <c r="O721" s="108">
        <v>200</v>
      </c>
      <c r="P721" s="88">
        <v>348</v>
      </c>
      <c r="Q721" s="88" t="s">
        <v>75</v>
      </c>
      <c r="R721" s="88" t="s">
        <v>348</v>
      </c>
      <c r="S721" s="110">
        <v>10100</v>
      </c>
      <c r="T721" s="110">
        <v>913</v>
      </c>
      <c r="U721" s="88">
        <v>983</v>
      </c>
      <c r="V721" s="90">
        <v>1500</v>
      </c>
      <c r="W721" s="111">
        <v>10</v>
      </c>
      <c r="X721" s="110">
        <v>48736</v>
      </c>
      <c r="Y721" s="110">
        <v>850815</v>
      </c>
      <c r="Z721" s="110">
        <v>6769121</v>
      </c>
      <c r="AA721" s="110">
        <v>2113363</v>
      </c>
      <c r="AB721" s="112">
        <v>4682233</v>
      </c>
      <c r="AC721" s="109">
        <v>160.1</v>
      </c>
      <c r="AD721" s="110">
        <v>-110</v>
      </c>
      <c r="AE721" s="110">
        <v>3.94</v>
      </c>
      <c r="AF721" s="110">
        <v>-0.76</v>
      </c>
      <c r="AG721" s="110">
        <v>109.8</v>
      </c>
      <c r="AH721" s="110">
        <v>-110</v>
      </c>
      <c r="AI721" s="110">
        <v>3.7</v>
      </c>
      <c r="AJ721" s="109">
        <v>-0.34</v>
      </c>
      <c r="AK721" s="113" t="s">
        <v>59</v>
      </c>
      <c r="AL721" s="107" t="s">
        <v>181</v>
      </c>
      <c r="AN721" s="107">
        <v>0.95299999999999996</v>
      </c>
      <c r="AO721" s="48">
        <f t="shared" ref="AO721:AO722" si="1115">(HOUR(H721)*60*60+MINUTE(H721)*60+SECOND(H721))/5.2*AA721/W721*AN721</f>
        <v>138542364.93851921</v>
      </c>
      <c r="AP721" s="156">
        <f t="shared" ref="AP721:AP722" si="1116">AO721*0.7</f>
        <v>96979655.456963435</v>
      </c>
      <c r="AQ721" s="161">
        <f t="shared" ref="AQ721:AQ722" si="1117">AP721+AQ720</f>
        <v>33055530635.558739</v>
      </c>
      <c r="AR721" s="163">
        <f t="shared" ref="AR721:AR722" si="1118">H721+AR720</f>
        <v>14.697592592595546</v>
      </c>
      <c r="AS721" s="49">
        <f t="shared" ref="AS721:AS722" si="1119">I721*(HOUR(H721)*60+MINUTE(H721))/60/(7*24)</f>
        <v>0.29587797619047618</v>
      </c>
      <c r="AT721" s="165">
        <f t="shared" ref="AT721:AT722" si="1120">AS721+AT720</f>
        <v>100.96715674603165</v>
      </c>
      <c r="AU721" s="254">
        <f t="shared" ref="AU721:AU722" si="1121">AA721/W721*AN721</f>
        <v>201403.49389999997</v>
      </c>
      <c r="AV721" s="255">
        <f t="shared" ref="AV721:AV722" si="1122">AB721/W721+AA721/W721*(1-AN721)</f>
        <v>478156.10609999998</v>
      </c>
      <c r="AW721" s="256">
        <f t="shared" ref="AW721:AW722" si="1123">AU721/AV721</f>
        <v>0.42120866246530608</v>
      </c>
    </row>
    <row r="722" spans="1:70">
      <c r="A722" s="108">
        <v>720</v>
      </c>
      <c r="F722" s="45">
        <v>43151.651122685187</v>
      </c>
      <c r="G722" s="45">
        <v>43151.667337962965</v>
      </c>
      <c r="H722" s="38">
        <f>G722-F722</f>
        <v>1.6215277777519077E-2</v>
      </c>
      <c r="I722" s="86">
        <v>50.46</v>
      </c>
      <c r="J722" s="109" t="s">
        <v>260</v>
      </c>
      <c r="K722" s="88" t="s">
        <v>72</v>
      </c>
      <c r="L722" s="88" t="s">
        <v>73</v>
      </c>
      <c r="M722" s="88">
        <v>-369</v>
      </c>
      <c r="N722" s="108">
        <v>1</v>
      </c>
      <c r="O722" s="108">
        <v>200</v>
      </c>
      <c r="P722" s="88">
        <v>348</v>
      </c>
      <c r="Q722" s="88" t="s">
        <v>75</v>
      </c>
      <c r="R722" s="88" t="s">
        <v>348</v>
      </c>
      <c r="S722" s="110">
        <v>10100</v>
      </c>
      <c r="T722" s="110">
        <v>913</v>
      </c>
      <c r="U722" s="88">
        <v>983</v>
      </c>
      <c r="V722" s="90">
        <v>1500</v>
      </c>
      <c r="W722" s="111">
        <v>10</v>
      </c>
      <c r="X722" s="110">
        <v>48486</v>
      </c>
      <c r="Y722" s="110">
        <v>846649</v>
      </c>
      <c r="Z722" s="110">
        <v>6730770</v>
      </c>
      <c r="AA722" s="110">
        <v>2100744</v>
      </c>
      <c r="AB722" s="112">
        <v>4656941</v>
      </c>
      <c r="AC722" s="109">
        <v>160</v>
      </c>
      <c r="AD722" s="110">
        <v>-110</v>
      </c>
      <c r="AE722" s="110">
        <v>3.94</v>
      </c>
      <c r="AF722" s="110">
        <v>-0.76</v>
      </c>
      <c r="AG722" s="110">
        <v>109.8</v>
      </c>
      <c r="AH722" s="110">
        <v>-110</v>
      </c>
      <c r="AI722" s="110">
        <v>3.7</v>
      </c>
      <c r="AJ722" s="109">
        <v>-0.33</v>
      </c>
      <c r="AK722" s="113" t="s">
        <v>59</v>
      </c>
      <c r="AL722" s="107" t="s">
        <v>811</v>
      </c>
      <c r="AN722" s="107">
        <v>0.95299999999999996</v>
      </c>
      <c r="AO722" s="48">
        <f t="shared" si="1115"/>
        <v>53938743.342923075</v>
      </c>
      <c r="AP722" s="156">
        <f t="shared" si="1116"/>
        <v>37757120.340046152</v>
      </c>
      <c r="AQ722" s="161">
        <f t="shared" si="1117"/>
        <v>33093287755.898785</v>
      </c>
      <c r="AR722" s="163">
        <f t="shared" si="1118"/>
        <v>14.713807870373065</v>
      </c>
      <c r="AS722" s="49">
        <f t="shared" si="1119"/>
        <v>0.11513690476190476</v>
      </c>
      <c r="AT722" s="165">
        <f t="shared" si="1120"/>
        <v>101.08229365079356</v>
      </c>
      <c r="AU722" s="254">
        <f t="shared" si="1121"/>
        <v>200200.90319999997</v>
      </c>
      <c r="AV722" s="255">
        <f t="shared" si="1122"/>
        <v>475567.5968</v>
      </c>
      <c r="AW722" s="256">
        <f t="shared" si="1123"/>
        <v>0.42097254848125087</v>
      </c>
    </row>
    <row r="723" spans="1:70" s="149" customFormat="1">
      <c r="A723" s="138">
        <v>721</v>
      </c>
      <c r="F723" s="133"/>
      <c r="G723" s="133"/>
      <c r="H723" s="245"/>
      <c r="I723" s="135"/>
      <c r="J723" s="136"/>
      <c r="K723" s="137"/>
      <c r="L723" s="137"/>
      <c r="M723" s="137"/>
      <c r="N723" s="138"/>
      <c r="O723" s="138"/>
      <c r="P723" s="137"/>
      <c r="Q723" s="137"/>
      <c r="R723" s="137"/>
      <c r="S723" s="139"/>
      <c r="T723" s="139"/>
      <c r="U723" s="137"/>
      <c r="V723" s="140"/>
      <c r="W723" s="141"/>
      <c r="X723" s="139"/>
      <c r="Y723" s="139"/>
      <c r="Z723" s="139"/>
      <c r="AA723" s="139"/>
      <c r="AB723" s="142"/>
      <c r="AC723" s="136"/>
      <c r="AD723" s="139"/>
      <c r="AE723" s="139"/>
      <c r="AF723" s="139"/>
      <c r="AG723" s="139"/>
      <c r="AH723" s="139"/>
      <c r="AI723" s="139"/>
      <c r="AJ723" s="136"/>
      <c r="AK723" s="143"/>
      <c r="AL723" s="144" t="s">
        <v>812</v>
      </c>
      <c r="AM723" s="145"/>
      <c r="AN723" s="144"/>
      <c r="AO723" s="135"/>
      <c r="AP723" s="146"/>
      <c r="AQ723" s="158"/>
      <c r="AR723" s="162"/>
      <c r="AS723" s="147"/>
      <c r="AT723" s="164"/>
      <c r="AU723" s="147"/>
      <c r="AV723" s="147"/>
      <c r="AW723" s="139"/>
      <c r="AX723" s="139"/>
      <c r="AY723" s="139"/>
      <c r="AZ723" s="139"/>
      <c r="BA723" s="147"/>
      <c r="BB723" s="142"/>
      <c r="BC723" s="148"/>
      <c r="BD723" s="148"/>
      <c r="BE723" s="148"/>
      <c r="BF723" s="148"/>
      <c r="BG723" s="148"/>
      <c r="BH723" s="148"/>
      <c r="BI723" s="148"/>
      <c r="BJ723" s="148"/>
      <c r="BK723" s="148"/>
      <c r="BL723" s="148"/>
      <c r="BM723" s="148"/>
      <c r="BN723" s="148"/>
      <c r="BO723" s="148"/>
      <c r="BP723" s="148"/>
      <c r="BQ723" s="148"/>
      <c r="BR723" s="148"/>
    </row>
    <row r="724" spans="1:70" s="190" customFormat="1">
      <c r="A724" s="176">
        <v>722</v>
      </c>
      <c r="F724" s="171">
        <v>43151.678703703707</v>
      </c>
      <c r="G724" s="171">
        <v>43151.685381944444</v>
      </c>
      <c r="H724" s="247">
        <f>G724-F724</f>
        <v>6.6782407375285402E-3</v>
      </c>
      <c r="I724" s="173">
        <v>50.46</v>
      </c>
      <c r="J724" s="174" t="s">
        <v>260</v>
      </c>
      <c r="K724" s="175" t="s">
        <v>72</v>
      </c>
      <c r="L724" s="175" t="s">
        <v>73</v>
      </c>
      <c r="M724" s="175">
        <v>-369</v>
      </c>
      <c r="N724" s="176">
        <v>1</v>
      </c>
      <c r="O724" s="176">
        <v>200</v>
      </c>
      <c r="P724" s="175">
        <v>348</v>
      </c>
      <c r="Q724" s="175" t="s">
        <v>75</v>
      </c>
      <c r="R724" s="230"/>
      <c r="S724" s="177"/>
      <c r="T724" s="177"/>
      <c r="U724" s="175">
        <v>983</v>
      </c>
      <c r="V724" s="178">
        <v>1500</v>
      </c>
      <c r="W724" s="179"/>
      <c r="X724" s="177"/>
      <c r="Y724" s="177"/>
      <c r="Z724" s="177"/>
      <c r="AA724" s="177"/>
      <c r="AB724" s="180"/>
      <c r="AC724" s="174">
        <v>160</v>
      </c>
      <c r="AD724" s="177">
        <v>-110</v>
      </c>
      <c r="AE724" s="177">
        <v>3.94</v>
      </c>
      <c r="AF724" s="177">
        <v>-0.76</v>
      </c>
      <c r="AG724" s="177">
        <v>109.8</v>
      </c>
      <c r="AH724" s="177">
        <v>-110</v>
      </c>
      <c r="AI724" s="177">
        <v>3.7</v>
      </c>
      <c r="AJ724" s="174">
        <v>-0.33</v>
      </c>
      <c r="AK724" s="181"/>
      <c r="AL724" s="182" t="s">
        <v>206</v>
      </c>
      <c r="AM724" s="183"/>
      <c r="AN724" s="182"/>
      <c r="AO724" s="191"/>
      <c r="AP724" s="184"/>
      <c r="AQ724" s="193"/>
      <c r="AR724" s="186"/>
      <c r="AS724" s="187"/>
      <c r="AT724" s="188"/>
      <c r="AU724" s="187"/>
      <c r="AV724" s="187"/>
      <c r="AW724" s="177"/>
      <c r="AX724" s="177"/>
      <c r="AY724" s="177"/>
      <c r="AZ724" s="177"/>
      <c r="BA724" s="187"/>
      <c r="BB724" s="180"/>
      <c r="BC724" s="189"/>
      <c r="BD724" s="189"/>
      <c r="BE724" s="189"/>
      <c r="BF724" s="189"/>
      <c r="BG724" s="189"/>
      <c r="BH724" s="189"/>
      <c r="BI724" s="189"/>
      <c r="BJ724" s="189"/>
      <c r="BK724" s="189"/>
      <c r="BL724" s="189"/>
      <c r="BM724" s="189"/>
      <c r="BN724" s="189"/>
      <c r="BO724" s="189"/>
      <c r="BP724" s="189"/>
      <c r="BQ724" s="189"/>
      <c r="BR724" s="189"/>
    </row>
    <row r="725" spans="1:70" s="190" customFormat="1">
      <c r="A725" s="176">
        <v>723</v>
      </c>
      <c r="F725" s="171">
        <v>43151.685578703706</v>
      </c>
      <c r="G725" s="171">
        <v>43151.688078703701</v>
      </c>
      <c r="H725" s="247">
        <f>G725-F725</f>
        <v>2.4999999950523488E-3</v>
      </c>
      <c r="I725" s="173">
        <v>50.46</v>
      </c>
      <c r="J725" s="174" t="s">
        <v>260</v>
      </c>
      <c r="K725" s="175" t="s">
        <v>72</v>
      </c>
      <c r="L725" s="175" t="s">
        <v>73</v>
      </c>
      <c r="M725" s="175">
        <v>-369</v>
      </c>
      <c r="N725" s="176">
        <v>1</v>
      </c>
      <c r="O725" s="176">
        <v>200</v>
      </c>
      <c r="P725" s="175">
        <v>348</v>
      </c>
      <c r="Q725" s="175" t="s">
        <v>75</v>
      </c>
      <c r="R725" s="230"/>
      <c r="S725" s="177"/>
      <c r="T725" s="177"/>
      <c r="U725" s="175">
        <v>983</v>
      </c>
      <c r="V725" s="178">
        <v>1500</v>
      </c>
      <c r="W725" s="179"/>
      <c r="X725" s="177"/>
      <c r="Y725" s="177"/>
      <c r="Z725" s="177"/>
      <c r="AA725" s="177"/>
      <c r="AB725" s="180"/>
      <c r="AC725" s="174">
        <v>160</v>
      </c>
      <c r="AD725" s="177">
        <v>-110</v>
      </c>
      <c r="AE725" s="177">
        <v>3.94</v>
      </c>
      <c r="AF725" s="177">
        <v>-0.76</v>
      </c>
      <c r="AG725" s="177">
        <v>109.8</v>
      </c>
      <c r="AH725" s="177">
        <v>-110</v>
      </c>
      <c r="AI725" s="177">
        <v>3.7</v>
      </c>
      <c r="AJ725" s="174">
        <v>-0.33</v>
      </c>
      <c r="AK725" s="181"/>
      <c r="AL725" s="182" t="s">
        <v>207</v>
      </c>
      <c r="AM725" s="183"/>
      <c r="AN725" s="182"/>
      <c r="AO725" s="191"/>
      <c r="AP725" s="184"/>
      <c r="AQ725" s="193"/>
      <c r="AR725" s="186"/>
      <c r="AS725" s="187"/>
      <c r="AT725" s="188"/>
      <c r="AU725" s="187"/>
      <c r="AV725" s="187"/>
      <c r="AW725" s="177"/>
      <c r="AX725" s="177"/>
      <c r="AY725" s="177"/>
      <c r="AZ725" s="177"/>
      <c r="BA725" s="187"/>
      <c r="BB725" s="180"/>
      <c r="BC725" s="189"/>
      <c r="BD725" s="189"/>
      <c r="BE725" s="189"/>
      <c r="BF725" s="189"/>
      <c r="BG725" s="189"/>
      <c r="BH725" s="189"/>
      <c r="BI725" s="189"/>
      <c r="BJ725" s="189"/>
      <c r="BK725" s="189"/>
      <c r="BL725" s="189"/>
      <c r="BM725" s="189"/>
      <c r="BN725" s="189"/>
      <c r="BO725" s="189"/>
      <c r="BP725" s="189"/>
      <c r="BQ725" s="189"/>
      <c r="BR725" s="189"/>
    </row>
    <row r="726" spans="1:70">
      <c r="A726" s="108">
        <v>724</v>
      </c>
      <c r="F726" s="45">
        <v>43151.688981481479</v>
      </c>
      <c r="G726" s="45">
        <v>43151.731921296298</v>
      </c>
      <c r="H726" s="38">
        <f>G726-F726-'user time'!AJ98-'user time'!AJ99</f>
        <v>4.2222222226372064E-2</v>
      </c>
      <c r="I726" s="86">
        <v>50.37</v>
      </c>
      <c r="J726" s="109" t="s">
        <v>260</v>
      </c>
      <c r="K726" s="88" t="s">
        <v>72</v>
      </c>
      <c r="L726" s="88" t="s">
        <v>73</v>
      </c>
      <c r="M726" s="88">
        <v>-369</v>
      </c>
      <c r="N726" s="108">
        <v>1</v>
      </c>
      <c r="O726" s="108">
        <v>200</v>
      </c>
      <c r="P726" s="88">
        <v>348</v>
      </c>
      <c r="Q726" s="88" t="s">
        <v>75</v>
      </c>
      <c r="R726" s="88" t="s">
        <v>348</v>
      </c>
      <c r="S726" s="110">
        <v>10000</v>
      </c>
      <c r="T726" s="110">
        <v>930</v>
      </c>
      <c r="U726" s="88">
        <v>983</v>
      </c>
      <c r="V726" s="90">
        <v>1500</v>
      </c>
      <c r="W726" s="111">
        <v>10</v>
      </c>
      <c r="X726" s="110">
        <v>48657</v>
      </c>
      <c r="Y726" s="110">
        <v>846221</v>
      </c>
      <c r="Z726" s="110">
        <v>6767707</v>
      </c>
      <c r="AA726" s="110">
        <v>2084572</v>
      </c>
      <c r="AB726" s="112">
        <v>4709963</v>
      </c>
      <c r="AC726" s="109">
        <v>160.1</v>
      </c>
      <c r="AD726" s="110">
        <v>-110</v>
      </c>
      <c r="AE726" s="110">
        <v>3.94</v>
      </c>
      <c r="AF726" s="110">
        <v>-0.76</v>
      </c>
      <c r="AG726" s="110">
        <v>109.8</v>
      </c>
      <c r="AH726" s="110">
        <v>-110</v>
      </c>
      <c r="AI726" s="110">
        <v>3.7</v>
      </c>
      <c r="AJ726" s="109">
        <v>-0.34</v>
      </c>
      <c r="AK726" s="113" t="s">
        <v>59</v>
      </c>
      <c r="AL726" s="107" t="s">
        <v>181</v>
      </c>
      <c r="AN726" s="107">
        <v>0.95</v>
      </c>
      <c r="AO726" s="48">
        <f t="shared" ref="AO726:AO742" si="1124">(HOUR(H726)*60*60+MINUTE(H726)*60+SECOND(H726))/5.2*AA726/W726*AN726</f>
        <v>138928706.2153846</v>
      </c>
      <c r="AP726" s="156">
        <f t="shared" ref="AP726:AP742" si="1125">AO726*0.7</f>
        <v>97250094.350769222</v>
      </c>
      <c r="AQ726" s="161">
        <f>AP726+AQ722</f>
        <v>33190537850.249554</v>
      </c>
      <c r="AR726" s="163">
        <f>H726+AR722</f>
        <v>14.756030092599437</v>
      </c>
      <c r="AS726" s="49">
        <f t="shared" ref="AS726:AS742" si="1126">I726*(HOUR(H726)*60+MINUTE(H726))/60/(7*24)</f>
        <v>0.29982142857142857</v>
      </c>
      <c r="AT726" s="165">
        <f>AS726+AT722</f>
        <v>101.38211507936499</v>
      </c>
      <c r="AU726" s="254">
        <f t="shared" ref="AU726" si="1127">AA726/W726*AN726</f>
        <v>198034.34</v>
      </c>
      <c r="AV726" s="255">
        <f t="shared" ref="AV726" si="1128">AB726/W726+AA726/W726*(1-AN726)</f>
        <v>481419.16</v>
      </c>
      <c r="AW726" s="256">
        <f t="shared" ref="AW726" si="1129">AU726/AV726</f>
        <v>0.41135533533812824</v>
      </c>
    </row>
    <row r="727" spans="1:70">
      <c r="A727" s="108">
        <v>725</v>
      </c>
      <c r="F727" s="45">
        <v>43151.731990740744</v>
      </c>
      <c r="G727" s="45">
        <v>43151.774513888886</v>
      </c>
      <c r="H727" s="38">
        <f>G727-F727</f>
        <v>4.2523148142208811E-2</v>
      </c>
      <c r="I727" s="86">
        <v>50.51</v>
      </c>
      <c r="J727" s="109" t="s">
        <v>260</v>
      </c>
      <c r="K727" s="88" t="s">
        <v>72</v>
      </c>
      <c r="L727" s="88" t="s">
        <v>73</v>
      </c>
      <c r="M727" s="88">
        <v>-369</v>
      </c>
      <c r="N727" s="108">
        <v>1</v>
      </c>
      <c r="O727" s="108">
        <v>200</v>
      </c>
      <c r="P727" s="88">
        <v>348</v>
      </c>
      <c r="Q727" s="88" t="s">
        <v>75</v>
      </c>
      <c r="R727" s="88" t="s">
        <v>348</v>
      </c>
      <c r="S727" s="110">
        <v>10000</v>
      </c>
      <c r="T727" s="110">
        <v>927</v>
      </c>
      <c r="U727" s="88">
        <v>983</v>
      </c>
      <c r="V727" s="90">
        <v>1500</v>
      </c>
      <c r="W727" s="111">
        <v>10</v>
      </c>
      <c r="X727" s="110">
        <v>48532</v>
      </c>
      <c r="Y727" s="110">
        <v>848239</v>
      </c>
      <c r="Z727" s="110">
        <v>6743844</v>
      </c>
      <c r="AA727" s="110">
        <v>2081848</v>
      </c>
      <c r="AB727" s="112">
        <v>4687929</v>
      </c>
      <c r="AC727" s="109">
        <v>160</v>
      </c>
      <c r="AD727" s="110">
        <v>-110</v>
      </c>
      <c r="AE727" s="110">
        <v>3.94</v>
      </c>
      <c r="AF727" s="110">
        <v>-0.76</v>
      </c>
      <c r="AG727" s="110">
        <v>109.8</v>
      </c>
      <c r="AH727" s="110">
        <v>-110</v>
      </c>
      <c r="AI727" s="110">
        <v>3.7</v>
      </c>
      <c r="AJ727" s="109">
        <v>-0.34</v>
      </c>
      <c r="AK727" s="113" t="s">
        <v>59</v>
      </c>
      <c r="AL727" s="107" t="s">
        <v>181</v>
      </c>
      <c r="AN727" s="107">
        <v>0.94499999999999995</v>
      </c>
      <c r="AO727" s="48">
        <f t="shared" si="1124"/>
        <v>139000587.05076924</v>
      </c>
      <c r="AP727" s="156">
        <f t="shared" si="1125"/>
        <v>97300410.935538456</v>
      </c>
      <c r="AQ727" s="161">
        <f t="shared" ref="AQ727:AQ742" si="1130">AP727+AQ726</f>
        <v>33287838261.185093</v>
      </c>
      <c r="AR727" s="163">
        <f t="shared" ref="AR727:AR742" si="1131">H727+AR726</f>
        <v>14.798553240741645</v>
      </c>
      <c r="AS727" s="49">
        <f t="shared" si="1126"/>
        <v>0.30566567460317456</v>
      </c>
      <c r="AT727" s="165">
        <f t="shared" ref="AT727:AT742" si="1132">AS727+AT726</f>
        <v>101.68778075396817</v>
      </c>
      <c r="AU727" s="254">
        <f t="shared" ref="AU727:AU742" si="1133">AA727/W727*AN727</f>
        <v>196734.63599999997</v>
      </c>
      <c r="AV727" s="255">
        <f t="shared" ref="AV727:AV742" si="1134">AB727/W727+AA727/W727*(1-AN727)</f>
        <v>480243.06400000001</v>
      </c>
      <c r="AW727" s="256">
        <f t="shared" ref="AW727:AW742" si="1135">AU727/AV727</f>
        <v>0.40965638183584463</v>
      </c>
    </row>
    <row r="728" spans="1:70">
      <c r="A728" s="108">
        <v>726</v>
      </c>
      <c r="F728" s="45">
        <v>43151.774548611109</v>
      </c>
      <c r="G728" s="45">
        <v>43151.817939814813</v>
      </c>
      <c r="H728" s="38">
        <f>G728-F728-'user time'!AJ100</f>
        <v>4.3101851852380135E-2</v>
      </c>
      <c r="I728" s="86">
        <v>50.44</v>
      </c>
      <c r="J728" s="109" t="s">
        <v>260</v>
      </c>
      <c r="K728" s="88" t="s">
        <v>72</v>
      </c>
      <c r="L728" s="88" t="s">
        <v>73</v>
      </c>
      <c r="M728" s="88">
        <v>-369</v>
      </c>
      <c r="N728" s="108">
        <v>1</v>
      </c>
      <c r="O728" s="108">
        <v>200</v>
      </c>
      <c r="P728" s="88">
        <v>348</v>
      </c>
      <c r="Q728" s="88" t="s">
        <v>75</v>
      </c>
      <c r="R728" s="88" t="s">
        <v>348</v>
      </c>
      <c r="S728" s="110">
        <v>10000</v>
      </c>
      <c r="T728" s="110">
        <v>920</v>
      </c>
      <c r="U728" s="88">
        <v>983</v>
      </c>
      <c r="V728" s="90">
        <v>1500</v>
      </c>
      <c r="W728" s="111">
        <v>10</v>
      </c>
      <c r="X728" s="110">
        <v>48488</v>
      </c>
      <c r="Y728" s="110">
        <v>844277</v>
      </c>
      <c r="Z728" s="110">
        <v>6746333</v>
      </c>
      <c r="AA728" s="110">
        <v>2078441</v>
      </c>
      <c r="AB728" s="112">
        <v>4694417</v>
      </c>
      <c r="AC728" s="109">
        <v>160.1</v>
      </c>
      <c r="AD728" s="110">
        <v>-110</v>
      </c>
      <c r="AE728" s="110">
        <v>3.94</v>
      </c>
      <c r="AF728" s="110">
        <v>-0.76</v>
      </c>
      <c r="AG728" s="110">
        <v>109.8</v>
      </c>
      <c r="AH728" s="110">
        <v>-110</v>
      </c>
      <c r="AI728" s="110">
        <v>3.7</v>
      </c>
      <c r="AJ728" s="109">
        <v>-0.34</v>
      </c>
      <c r="AK728" s="113" t="s">
        <v>59</v>
      </c>
      <c r="AL728" s="107" t="s">
        <v>181</v>
      </c>
      <c r="AN728" s="107">
        <v>0.94599999999999995</v>
      </c>
      <c r="AO728" s="48">
        <f t="shared" si="1124"/>
        <v>140810540.62815383</v>
      </c>
      <c r="AP728" s="156">
        <f t="shared" si="1125"/>
        <v>98567378.439707682</v>
      </c>
      <c r="AQ728" s="161">
        <f t="shared" si="1130"/>
        <v>33386405639.624802</v>
      </c>
      <c r="AR728" s="163">
        <f t="shared" si="1131"/>
        <v>14.841655092594026</v>
      </c>
      <c r="AS728" s="49">
        <f t="shared" si="1126"/>
        <v>0.31024603174603171</v>
      </c>
      <c r="AT728" s="165">
        <f t="shared" si="1132"/>
        <v>101.9980267857142</v>
      </c>
      <c r="AU728" s="254">
        <f t="shared" si="1133"/>
        <v>196620.51859999998</v>
      </c>
      <c r="AV728" s="255">
        <f t="shared" si="1134"/>
        <v>480665.28140000004</v>
      </c>
      <c r="AW728" s="256">
        <f t="shared" si="1135"/>
        <v>0.40905912327871319</v>
      </c>
    </row>
    <row r="729" spans="1:70">
      <c r="A729" s="108">
        <v>727</v>
      </c>
      <c r="F729" s="45">
        <v>43151.81795138889</v>
      </c>
      <c r="G729" s="45">
        <v>43151.860162037039</v>
      </c>
      <c r="H729" s="38">
        <f>G729-F729</f>
        <v>4.221064814919373E-2</v>
      </c>
      <c r="I729" s="86">
        <v>50.42</v>
      </c>
      <c r="J729" s="109" t="s">
        <v>260</v>
      </c>
      <c r="K729" s="88" t="s">
        <v>72</v>
      </c>
      <c r="L729" s="88" t="s">
        <v>73</v>
      </c>
      <c r="M729" s="88">
        <v>-369</v>
      </c>
      <c r="N729" s="108">
        <v>1</v>
      </c>
      <c r="O729" s="108">
        <v>200</v>
      </c>
      <c r="P729" s="88">
        <v>348</v>
      </c>
      <c r="Q729" s="88" t="s">
        <v>75</v>
      </c>
      <c r="R729" s="88" t="s">
        <v>348</v>
      </c>
      <c r="S729" s="110">
        <v>10000</v>
      </c>
      <c r="T729" s="110">
        <v>920</v>
      </c>
      <c r="U729" s="88">
        <v>983</v>
      </c>
      <c r="V729" s="90">
        <v>1500</v>
      </c>
      <c r="W729" s="111">
        <v>10</v>
      </c>
      <c r="X729" s="110">
        <v>48442</v>
      </c>
      <c r="Y729" s="110">
        <v>843244</v>
      </c>
      <c r="Z729" s="110">
        <v>6749810</v>
      </c>
      <c r="AA729" s="110">
        <v>2082752</v>
      </c>
      <c r="AB729" s="112">
        <v>4693436</v>
      </c>
      <c r="AC729" s="109">
        <v>160.1</v>
      </c>
      <c r="AD729" s="110">
        <v>-110</v>
      </c>
      <c r="AE729" s="110">
        <v>3.94</v>
      </c>
      <c r="AF729" s="110">
        <v>-0.76</v>
      </c>
      <c r="AG729" s="110">
        <v>109.8</v>
      </c>
      <c r="AH729" s="110">
        <v>-110</v>
      </c>
      <c r="AI729" s="110">
        <v>3.7</v>
      </c>
      <c r="AJ729" s="109">
        <v>-0.34</v>
      </c>
      <c r="AK729" s="113" t="s">
        <v>59</v>
      </c>
      <c r="AL729" s="107" t="s">
        <v>815</v>
      </c>
      <c r="AN729" s="107">
        <v>0.94899999999999995</v>
      </c>
      <c r="AO729" s="48">
        <f t="shared" si="1124"/>
        <v>138623286.928</v>
      </c>
      <c r="AP729" s="156">
        <f t="shared" si="1125"/>
        <v>97036300.849600002</v>
      </c>
      <c r="AQ729" s="161">
        <f t="shared" si="1130"/>
        <v>33483441940.474403</v>
      </c>
      <c r="AR729" s="163">
        <f t="shared" si="1131"/>
        <v>14.88386574074322</v>
      </c>
      <c r="AS729" s="49">
        <f t="shared" si="1126"/>
        <v>0.30011904761904762</v>
      </c>
      <c r="AT729" s="165">
        <f t="shared" si="1132"/>
        <v>102.29814583333325</v>
      </c>
      <c r="AU729" s="254">
        <f t="shared" si="1133"/>
        <v>197653.1648</v>
      </c>
      <c r="AV729" s="255">
        <f t="shared" si="1134"/>
        <v>479965.63519999996</v>
      </c>
      <c r="AW729" s="256">
        <f t="shared" si="1135"/>
        <v>0.4118069092959929</v>
      </c>
    </row>
    <row r="730" spans="1:70">
      <c r="A730" s="108">
        <v>728</v>
      </c>
      <c r="F730" s="45">
        <v>43151.860196759262</v>
      </c>
      <c r="G730" s="45">
        <v>43151.903425925928</v>
      </c>
      <c r="H730" s="38">
        <f>G730-F730-SUM('user time'!AJ101:AJ103)</f>
        <v>4.2199074073104081E-2</v>
      </c>
      <c r="I730" s="86">
        <v>50.52</v>
      </c>
      <c r="J730" s="109" t="s">
        <v>260</v>
      </c>
      <c r="K730" s="88" t="s">
        <v>72</v>
      </c>
      <c r="L730" s="88" t="s">
        <v>73</v>
      </c>
      <c r="M730" s="88">
        <v>-369</v>
      </c>
      <c r="N730" s="108">
        <v>1</v>
      </c>
      <c r="O730" s="108">
        <v>200</v>
      </c>
      <c r="P730" s="88">
        <v>348</v>
      </c>
      <c r="Q730" s="88" t="s">
        <v>75</v>
      </c>
      <c r="R730" s="88" t="s">
        <v>348</v>
      </c>
      <c r="S730" s="110">
        <v>10000</v>
      </c>
      <c r="T730" s="110">
        <v>927</v>
      </c>
      <c r="U730" s="88">
        <v>983</v>
      </c>
      <c r="V730" s="90">
        <v>1500</v>
      </c>
      <c r="W730" s="111">
        <v>10</v>
      </c>
      <c r="X730" s="110">
        <v>48788</v>
      </c>
      <c r="Y730" s="110">
        <v>847475</v>
      </c>
      <c r="Z730" s="110">
        <v>6770242</v>
      </c>
      <c r="AA730" s="110">
        <v>2098712</v>
      </c>
      <c r="AB730" s="112">
        <v>4706306</v>
      </c>
      <c r="AC730" s="109">
        <v>160.1</v>
      </c>
      <c r="AD730" s="110">
        <v>-109.9</v>
      </c>
      <c r="AE730" s="110">
        <v>3.94</v>
      </c>
      <c r="AF730" s="110">
        <v>-0.76</v>
      </c>
      <c r="AG730" s="110">
        <v>109.8</v>
      </c>
      <c r="AH730" s="110">
        <v>-110</v>
      </c>
      <c r="AI730" s="110">
        <v>3.7</v>
      </c>
      <c r="AJ730" s="109">
        <v>-0.34</v>
      </c>
      <c r="AK730" s="113" t="s">
        <v>59</v>
      </c>
      <c r="AL730" s="107" t="s">
        <v>181</v>
      </c>
      <c r="AN730" s="107">
        <v>0.94799999999999995</v>
      </c>
      <c r="AO730" s="48">
        <f t="shared" si="1124"/>
        <v>139500095.12492308</v>
      </c>
      <c r="AP730" s="156">
        <f t="shared" si="1125"/>
        <v>97650066.587446153</v>
      </c>
      <c r="AQ730" s="161">
        <f t="shared" si="1130"/>
        <v>33581092007.061848</v>
      </c>
      <c r="AR730" s="163">
        <f t="shared" si="1131"/>
        <v>14.926064814816323</v>
      </c>
      <c r="AS730" s="49">
        <f t="shared" si="1126"/>
        <v>0.30071428571428571</v>
      </c>
      <c r="AT730" s="165">
        <f t="shared" si="1132"/>
        <v>102.59886011904754</v>
      </c>
      <c r="AU730" s="254">
        <f t="shared" si="1133"/>
        <v>198957.8976</v>
      </c>
      <c r="AV730" s="255">
        <f t="shared" si="1134"/>
        <v>481543.90239999996</v>
      </c>
      <c r="AW730" s="256">
        <f t="shared" si="1135"/>
        <v>0.41316668450872279</v>
      </c>
    </row>
    <row r="731" spans="1:70">
      <c r="A731" s="108">
        <v>729</v>
      </c>
      <c r="F731" s="45">
        <v>43151.903460648151</v>
      </c>
      <c r="G731" s="45">
        <v>43151.946944444448</v>
      </c>
      <c r="H731" s="38">
        <f>G731-F731-SUM('user time'!AJ104:AJ107)</f>
        <v>4.2152777778122652E-2</v>
      </c>
      <c r="I731" s="86">
        <v>50.35</v>
      </c>
      <c r="J731" s="109" t="s">
        <v>260</v>
      </c>
      <c r="K731" s="88" t="s">
        <v>72</v>
      </c>
      <c r="L731" s="88" t="s">
        <v>73</v>
      </c>
      <c r="M731" s="88">
        <v>-369</v>
      </c>
      <c r="N731" s="108">
        <v>1</v>
      </c>
      <c r="O731" s="108">
        <v>200</v>
      </c>
      <c r="P731" s="88">
        <v>348</v>
      </c>
      <c r="Q731" s="88" t="s">
        <v>75</v>
      </c>
      <c r="R731" s="88" t="s">
        <v>348</v>
      </c>
      <c r="S731" s="110">
        <v>10000</v>
      </c>
      <c r="T731" s="110">
        <v>919</v>
      </c>
      <c r="U731" s="88">
        <v>983</v>
      </c>
      <c r="V731" s="90">
        <v>1500</v>
      </c>
      <c r="W731" s="111">
        <v>10</v>
      </c>
      <c r="X731" s="110">
        <v>48932</v>
      </c>
      <c r="Y731" s="110">
        <v>844010</v>
      </c>
      <c r="Z731" s="110">
        <v>6768447</v>
      </c>
      <c r="AA731" s="110">
        <v>2093598</v>
      </c>
      <c r="AB731" s="112">
        <v>4701686</v>
      </c>
      <c r="AC731" s="109">
        <v>160.1</v>
      </c>
      <c r="AD731" s="110">
        <v>-109.9</v>
      </c>
      <c r="AE731" s="110">
        <v>3.94</v>
      </c>
      <c r="AF731" s="110">
        <v>-0.76</v>
      </c>
      <c r="AG731" s="110">
        <v>109.8</v>
      </c>
      <c r="AH731" s="110">
        <v>-110</v>
      </c>
      <c r="AI731" s="110">
        <v>3.7</v>
      </c>
      <c r="AJ731" s="109">
        <v>-0.33</v>
      </c>
      <c r="AK731" s="113" t="s">
        <v>59</v>
      </c>
      <c r="AL731" s="107" t="s">
        <v>181</v>
      </c>
      <c r="AN731" s="107">
        <v>0.95</v>
      </c>
      <c r="AO731" s="48">
        <f t="shared" si="1124"/>
        <v>139300763.84999999</v>
      </c>
      <c r="AP731" s="156">
        <f t="shared" si="1125"/>
        <v>97510534.694999993</v>
      </c>
      <c r="AQ731" s="161">
        <f t="shared" si="1130"/>
        <v>33678602541.756847</v>
      </c>
      <c r="AR731" s="163">
        <f t="shared" si="1131"/>
        <v>14.968217592594446</v>
      </c>
      <c r="AS731" s="49">
        <f t="shared" si="1126"/>
        <v>0.29970238095238094</v>
      </c>
      <c r="AT731" s="165">
        <f t="shared" si="1132"/>
        <v>102.89856249999993</v>
      </c>
      <c r="AU731" s="254">
        <f t="shared" si="1133"/>
        <v>198891.80999999997</v>
      </c>
      <c r="AV731" s="255">
        <f t="shared" si="1134"/>
        <v>480636.58999999997</v>
      </c>
      <c r="AW731" s="256">
        <f t="shared" si="1135"/>
        <v>0.41380913176002682</v>
      </c>
    </row>
    <row r="732" spans="1:70">
      <c r="A732" s="108">
        <v>730</v>
      </c>
      <c r="F732" s="45">
        <v>43151.946979166663</v>
      </c>
      <c r="G732" s="45">
        <v>43151.989988425928</v>
      </c>
      <c r="H732" s="38">
        <f>G732-F732-'user time'!AJ108-'user time'!AJ109</f>
        <v>4.2164351857683635E-2</v>
      </c>
      <c r="I732" s="86">
        <v>50.42</v>
      </c>
      <c r="J732" s="109" t="s">
        <v>260</v>
      </c>
      <c r="K732" s="88" t="s">
        <v>72</v>
      </c>
      <c r="L732" s="88" t="s">
        <v>73</v>
      </c>
      <c r="M732" s="88">
        <v>-369</v>
      </c>
      <c r="N732" s="108">
        <v>1</v>
      </c>
      <c r="O732" s="108">
        <v>200</v>
      </c>
      <c r="P732" s="88">
        <v>348</v>
      </c>
      <c r="Q732" s="88" t="s">
        <v>75</v>
      </c>
      <c r="R732" s="88" t="s">
        <v>348</v>
      </c>
      <c r="S732" s="110">
        <v>10000</v>
      </c>
      <c r="T732" s="110">
        <v>912</v>
      </c>
      <c r="U732" s="88">
        <v>983</v>
      </c>
      <c r="V732" s="90">
        <v>1500</v>
      </c>
      <c r="W732" s="111">
        <v>10</v>
      </c>
      <c r="X732" s="110">
        <v>48259</v>
      </c>
      <c r="Y732" s="110">
        <v>844413</v>
      </c>
      <c r="Z732" s="110">
        <v>6760990</v>
      </c>
      <c r="AA732" s="110">
        <v>2085916</v>
      </c>
      <c r="AB732" s="112">
        <v>4701461</v>
      </c>
      <c r="AC732" s="109">
        <v>160.1</v>
      </c>
      <c r="AD732" s="110">
        <v>-109.9</v>
      </c>
      <c r="AE732" s="110">
        <v>3.94</v>
      </c>
      <c r="AF732" s="110">
        <v>-0.76</v>
      </c>
      <c r="AG732" s="110">
        <v>109.8</v>
      </c>
      <c r="AH732" s="110">
        <v>-110</v>
      </c>
      <c r="AI732" s="110">
        <v>3.7</v>
      </c>
      <c r="AJ732" s="109">
        <v>-0.33</v>
      </c>
      <c r="AK732" s="113" t="s">
        <v>59</v>
      </c>
      <c r="AL732" s="107" t="s">
        <v>181</v>
      </c>
      <c r="AN732" s="107">
        <v>0.94799999999999995</v>
      </c>
      <c r="AO732" s="48">
        <f t="shared" si="1124"/>
        <v>138535469.31969231</v>
      </c>
      <c r="AP732" s="156">
        <f t="shared" si="1125"/>
        <v>96974828.523784608</v>
      </c>
      <c r="AQ732" s="161">
        <f t="shared" si="1130"/>
        <v>33775577370.280632</v>
      </c>
      <c r="AR732" s="163">
        <f t="shared" si="1131"/>
        <v>15.01038194445213</v>
      </c>
      <c r="AS732" s="49">
        <f t="shared" si="1126"/>
        <v>0.30011904761904762</v>
      </c>
      <c r="AT732" s="165">
        <f t="shared" si="1132"/>
        <v>103.19868154761897</v>
      </c>
      <c r="AU732" s="254">
        <f t="shared" si="1133"/>
        <v>197744.83679999999</v>
      </c>
      <c r="AV732" s="255">
        <f t="shared" si="1134"/>
        <v>480992.86319999996</v>
      </c>
      <c r="AW732" s="256">
        <f t="shared" si="1135"/>
        <v>0.41111802675079695</v>
      </c>
    </row>
    <row r="733" spans="1:70">
      <c r="A733" s="108">
        <v>731</v>
      </c>
      <c r="F733" s="45">
        <v>43151.990011574075</v>
      </c>
      <c r="G733" s="45">
        <v>43152.025868055556</v>
      </c>
      <c r="H733" s="38">
        <f>G733-F733</f>
        <v>3.5856481481459923E-2</v>
      </c>
      <c r="I733" s="86">
        <v>50.41</v>
      </c>
      <c r="J733" s="109" t="s">
        <v>260</v>
      </c>
      <c r="K733" s="88" t="s">
        <v>72</v>
      </c>
      <c r="L733" s="88" t="s">
        <v>73</v>
      </c>
      <c r="M733" s="88">
        <v>-369</v>
      </c>
      <c r="N733" s="108">
        <v>1</v>
      </c>
      <c r="O733" s="108">
        <v>200</v>
      </c>
      <c r="P733" s="88">
        <v>348</v>
      </c>
      <c r="Q733" s="88" t="s">
        <v>75</v>
      </c>
      <c r="R733" s="88" t="s">
        <v>348</v>
      </c>
      <c r="S733" s="110">
        <v>10000</v>
      </c>
      <c r="T733" s="110">
        <v>926</v>
      </c>
      <c r="U733" s="88">
        <v>983</v>
      </c>
      <c r="V733" s="90">
        <v>1500</v>
      </c>
      <c r="W733" s="111">
        <v>10</v>
      </c>
      <c r="X733" s="110">
        <v>48491</v>
      </c>
      <c r="Y733" s="110">
        <v>846421</v>
      </c>
      <c r="Z733" s="110">
        <v>6773617</v>
      </c>
      <c r="AA733" s="110">
        <v>2089536</v>
      </c>
      <c r="AB733" s="112">
        <v>4710479</v>
      </c>
      <c r="AC733" s="109">
        <v>160.1</v>
      </c>
      <c r="AD733" s="110">
        <v>-109.9</v>
      </c>
      <c r="AE733" s="110">
        <v>3.94</v>
      </c>
      <c r="AF733" s="110">
        <v>-0.76</v>
      </c>
      <c r="AG733" s="110">
        <v>109.8</v>
      </c>
      <c r="AH733" s="110">
        <v>-110</v>
      </c>
      <c r="AI733" s="110">
        <v>3.7</v>
      </c>
      <c r="AJ733" s="109">
        <v>-0.34</v>
      </c>
      <c r="AK733" s="113" t="s">
        <v>59</v>
      </c>
      <c r="AL733" s="107" t="s">
        <v>238</v>
      </c>
      <c r="AN733" s="107">
        <v>0.94899999999999995</v>
      </c>
      <c r="AO733" s="48">
        <f t="shared" si="1124"/>
        <v>118139231.13599998</v>
      </c>
      <c r="AP733" s="156">
        <f t="shared" si="1125"/>
        <v>82697461.795199975</v>
      </c>
      <c r="AQ733" s="161">
        <f t="shared" si="1130"/>
        <v>33858274832.075832</v>
      </c>
      <c r="AR733" s="163">
        <f t="shared" si="1131"/>
        <v>15.04623842593359</v>
      </c>
      <c r="AS733" s="49">
        <f t="shared" si="1126"/>
        <v>0.2550505952380952</v>
      </c>
      <c r="AT733" s="165">
        <f t="shared" si="1132"/>
        <v>103.45373214285706</v>
      </c>
      <c r="AU733" s="254">
        <f t="shared" si="1133"/>
        <v>198296.9664</v>
      </c>
      <c r="AV733" s="255">
        <f t="shared" si="1134"/>
        <v>481704.53360000002</v>
      </c>
      <c r="AW733" s="256">
        <f t="shared" si="1135"/>
        <v>0.41165684059071517</v>
      </c>
    </row>
    <row r="734" spans="1:70">
      <c r="A734" s="108">
        <v>732</v>
      </c>
      <c r="F734" s="45">
        <v>43152.030104166668</v>
      </c>
      <c r="G734" s="45">
        <v>43152.071597222224</v>
      </c>
      <c r="H734" s="38">
        <f>G734-F734-SUM('user time'!AJ114:AJ116)</f>
        <v>4.0694444445091203E-2</v>
      </c>
      <c r="I734" s="86">
        <v>50.47</v>
      </c>
      <c r="J734" s="109" t="s">
        <v>260</v>
      </c>
      <c r="K734" s="88" t="s">
        <v>72</v>
      </c>
      <c r="L734" s="88" t="s">
        <v>73</v>
      </c>
      <c r="M734" s="88">
        <v>-369</v>
      </c>
      <c r="N734" s="108">
        <v>1</v>
      </c>
      <c r="O734" s="108">
        <v>200</v>
      </c>
      <c r="P734" s="88">
        <v>348</v>
      </c>
      <c r="Q734" s="88" t="s">
        <v>75</v>
      </c>
      <c r="R734" s="88" t="s">
        <v>348</v>
      </c>
      <c r="S734" s="110">
        <v>10029</v>
      </c>
      <c r="T734" s="110">
        <v>921</v>
      </c>
      <c r="U734" s="88">
        <v>983</v>
      </c>
      <c r="V734" s="90">
        <v>1500</v>
      </c>
      <c r="W734" s="111">
        <v>10</v>
      </c>
      <c r="X734" s="110">
        <v>48598</v>
      </c>
      <c r="Y734" s="110">
        <v>845543</v>
      </c>
      <c r="Z734" s="110">
        <v>6768850</v>
      </c>
      <c r="AA734" s="110">
        <v>2087784</v>
      </c>
      <c r="AB734" s="112">
        <v>4707671</v>
      </c>
      <c r="AC734" s="109">
        <v>160.1</v>
      </c>
      <c r="AD734" s="110">
        <v>-109.9</v>
      </c>
      <c r="AE734" s="110">
        <v>3.93</v>
      </c>
      <c r="AF734" s="110">
        <v>-0.76</v>
      </c>
      <c r="AG734" s="110">
        <v>109.8</v>
      </c>
      <c r="AH734" s="110">
        <v>-110</v>
      </c>
      <c r="AI734" s="110">
        <v>3.7</v>
      </c>
      <c r="AJ734" s="109">
        <v>-0.33</v>
      </c>
      <c r="AK734" s="113" t="s">
        <v>59</v>
      </c>
      <c r="AL734" s="107" t="s">
        <v>181</v>
      </c>
      <c r="AN734" s="107">
        <v>0.95099999999999996</v>
      </c>
      <c r="AO734" s="48">
        <f t="shared" si="1124"/>
        <v>134249168.56430769</v>
      </c>
      <c r="AP734" s="156">
        <f t="shared" si="1125"/>
        <v>93974417.995015383</v>
      </c>
      <c r="AQ734" s="161">
        <f t="shared" si="1130"/>
        <v>33952249250.070847</v>
      </c>
      <c r="AR734" s="163">
        <f t="shared" si="1131"/>
        <v>15.08693287037868</v>
      </c>
      <c r="AS734" s="49">
        <f t="shared" si="1126"/>
        <v>0.29040277777777773</v>
      </c>
      <c r="AT734" s="165">
        <f t="shared" si="1132"/>
        <v>103.74413492063483</v>
      </c>
      <c r="AU734" s="254">
        <f t="shared" si="1133"/>
        <v>198548.25839999999</v>
      </c>
      <c r="AV734" s="255">
        <f t="shared" si="1134"/>
        <v>480997.24160000001</v>
      </c>
      <c r="AW734" s="256">
        <f t="shared" si="1135"/>
        <v>0.41278460919972143</v>
      </c>
    </row>
    <row r="735" spans="1:70">
      <c r="A735" s="108">
        <v>733</v>
      </c>
      <c r="F735" s="45">
        <v>43152.071631944447</v>
      </c>
      <c r="G735" s="45">
        <v>43152.080578703702</v>
      </c>
      <c r="H735" s="38">
        <f>G735-F735</f>
        <v>8.9467592551955022E-3</v>
      </c>
      <c r="I735" s="86">
        <v>50.44</v>
      </c>
      <c r="J735" s="109" t="s">
        <v>260</v>
      </c>
      <c r="K735" s="88" t="s">
        <v>72</v>
      </c>
      <c r="L735" s="88" t="s">
        <v>73</v>
      </c>
      <c r="M735" s="88">
        <v>-369</v>
      </c>
      <c r="N735" s="108">
        <v>1</v>
      </c>
      <c r="O735" s="108">
        <v>200</v>
      </c>
      <c r="P735" s="88">
        <v>348</v>
      </c>
      <c r="Q735" s="88" t="s">
        <v>75</v>
      </c>
      <c r="R735" s="88" t="s">
        <v>348</v>
      </c>
      <c r="S735" s="110">
        <v>10100</v>
      </c>
      <c r="T735" s="110">
        <v>920</v>
      </c>
      <c r="U735" s="88">
        <v>983</v>
      </c>
      <c r="V735" s="90">
        <v>1500</v>
      </c>
      <c r="W735" s="111">
        <v>10</v>
      </c>
      <c r="X735" s="110">
        <v>48507</v>
      </c>
      <c r="Y735" s="110">
        <v>845627</v>
      </c>
      <c r="Z735" s="110">
        <v>6762447</v>
      </c>
      <c r="AA735" s="110">
        <v>2087837</v>
      </c>
      <c r="AB735" s="112">
        <v>4701257</v>
      </c>
      <c r="AC735" s="109">
        <v>160.1</v>
      </c>
      <c r="AD735" s="110">
        <v>-109.9</v>
      </c>
      <c r="AE735" s="110">
        <v>3.93</v>
      </c>
      <c r="AF735" s="110">
        <v>-0.76</v>
      </c>
      <c r="AG735" s="110">
        <v>109.8</v>
      </c>
      <c r="AH735" s="110">
        <v>-110</v>
      </c>
      <c r="AI735" s="110">
        <v>3.7</v>
      </c>
      <c r="AJ735" s="109">
        <v>-0.34</v>
      </c>
      <c r="AK735" s="113" t="s">
        <v>59</v>
      </c>
      <c r="AL735" s="107" t="s">
        <v>238</v>
      </c>
      <c r="AN735" s="107">
        <v>0.95099999999999996</v>
      </c>
      <c r="AO735" s="48">
        <f t="shared" si="1124"/>
        <v>29515711.518288463</v>
      </c>
      <c r="AP735" s="156">
        <f t="shared" si="1125"/>
        <v>20660998.062801924</v>
      </c>
      <c r="AQ735" s="161">
        <f t="shared" si="1130"/>
        <v>33972910248.133648</v>
      </c>
      <c r="AR735" s="163">
        <f t="shared" si="1131"/>
        <v>15.095879629633876</v>
      </c>
      <c r="AS735" s="49">
        <f t="shared" si="1126"/>
        <v>6.0047619047619044E-2</v>
      </c>
      <c r="AT735" s="165">
        <f t="shared" si="1132"/>
        <v>103.80418253968246</v>
      </c>
      <c r="AU735" s="254">
        <f t="shared" si="1133"/>
        <v>198553.29870000001</v>
      </c>
      <c r="AV735" s="255">
        <f t="shared" si="1134"/>
        <v>480356.10130000004</v>
      </c>
      <c r="AW735" s="256">
        <f t="shared" si="1135"/>
        <v>0.41334605340215336</v>
      </c>
    </row>
    <row r="736" spans="1:70">
      <c r="A736" s="108">
        <v>734</v>
      </c>
      <c r="F736" s="45">
        <v>43152.115983796299</v>
      </c>
      <c r="G736" s="45">
        <v>43152.158043981479</v>
      </c>
      <c r="H736" s="38">
        <f>G736-F736-'user time'!AJ118-'user time'!AJ119</f>
        <v>4.1423611106087999E-2</v>
      </c>
      <c r="I736" s="86">
        <v>50.42</v>
      </c>
      <c r="J736" s="109" t="s">
        <v>260</v>
      </c>
      <c r="K736" s="88" t="s">
        <v>72</v>
      </c>
      <c r="L736" s="88" t="s">
        <v>73</v>
      </c>
      <c r="M736" s="88">
        <v>-369</v>
      </c>
      <c r="N736" s="108">
        <v>1</v>
      </c>
      <c r="O736" s="108">
        <v>200</v>
      </c>
      <c r="P736" s="88">
        <v>348</v>
      </c>
      <c r="Q736" s="88" t="s">
        <v>75</v>
      </c>
      <c r="R736" s="88" t="s">
        <v>348</v>
      </c>
      <c r="S736" s="110">
        <v>10300</v>
      </c>
      <c r="T736" s="110">
        <v>930</v>
      </c>
      <c r="U736" s="88">
        <v>983</v>
      </c>
      <c r="V736" s="90">
        <v>1500</v>
      </c>
      <c r="W736" s="111">
        <v>10</v>
      </c>
      <c r="X736" s="110">
        <v>48413</v>
      </c>
      <c r="Y736" s="110">
        <v>850990</v>
      </c>
      <c r="Z736" s="110">
        <v>6654886</v>
      </c>
      <c r="AA736" s="110">
        <v>2092084</v>
      </c>
      <c r="AB736" s="112">
        <v>4588336</v>
      </c>
      <c r="AC736" s="109">
        <v>160.1</v>
      </c>
      <c r="AD736" s="110">
        <v>-109.9</v>
      </c>
      <c r="AE736" s="110">
        <v>3.93</v>
      </c>
      <c r="AF736" s="110">
        <v>-0.76</v>
      </c>
      <c r="AG736" s="110">
        <v>109.8</v>
      </c>
      <c r="AH736" s="110">
        <v>-110</v>
      </c>
      <c r="AI736" s="110">
        <v>3.7</v>
      </c>
      <c r="AJ736" s="109">
        <v>-0.34</v>
      </c>
      <c r="AK736" s="113" t="s">
        <v>59</v>
      </c>
      <c r="AL736" s="107" t="s">
        <v>181</v>
      </c>
      <c r="AN736" s="107">
        <v>0.95</v>
      </c>
      <c r="AO736" s="48">
        <f t="shared" si="1124"/>
        <v>136792119.31153843</v>
      </c>
      <c r="AP736" s="156">
        <f t="shared" si="1125"/>
        <v>95754483.518076897</v>
      </c>
      <c r="AQ736" s="161">
        <f t="shared" si="1130"/>
        <v>34068664731.651726</v>
      </c>
      <c r="AR736" s="163">
        <f t="shared" si="1131"/>
        <v>15.137303240739964</v>
      </c>
      <c r="AS736" s="49">
        <f t="shared" si="1126"/>
        <v>0.29511706349206351</v>
      </c>
      <c r="AT736" s="165">
        <f t="shared" si="1132"/>
        <v>104.09929960317452</v>
      </c>
      <c r="AU736" s="254">
        <f t="shared" si="1133"/>
        <v>198747.97999999998</v>
      </c>
      <c r="AV736" s="255">
        <f t="shared" si="1134"/>
        <v>469294.01999999996</v>
      </c>
      <c r="AW736" s="256">
        <f t="shared" si="1135"/>
        <v>0.42350418187728028</v>
      </c>
    </row>
    <row r="737" spans="1:70">
      <c r="A737" s="108">
        <v>735</v>
      </c>
      <c r="F737" s="45">
        <v>43152.158067129632</v>
      </c>
      <c r="G737" s="45">
        <v>43152.200532407405</v>
      </c>
      <c r="H737" s="38">
        <f>G737-F737-'user time'!AJ120-'user time'!AJ121</f>
        <v>4.2060185180269882E-2</v>
      </c>
      <c r="I737" s="86">
        <v>50.38</v>
      </c>
      <c r="J737" s="109" t="s">
        <v>260</v>
      </c>
      <c r="K737" s="88" t="s">
        <v>72</v>
      </c>
      <c r="L737" s="88" t="s">
        <v>73</v>
      </c>
      <c r="M737" s="88">
        <v>-369</v>
      </c>
      <c r="N737" s="108">
        <v>1</v>
      </c>
      <c r="O737" s="108">
        <v>200</v>
      </c>
      <c r="P737" s="88">
        <v>348</v>
      </c>
      <c r="Q737" s="88" t="s">
        <v>75</v>
      </c>
      <c r="R737" s="88" t="s">
        <v>348</v>
      </c>
      <c r="S737" s="110">
        <v>10300</v>
      </c>
      <c r="T737" s="110">
        <v>930</v>
      </c>
      <c r="U737" s="88">
        <v>983</v>
      </c>
      <c r="V737" s="90">
        <v>1500</v>
      </c>
      <c r="W737" s="111">
        <v>10</v>
      </c>
      <c r="X737" s="110">
        <v>48547</v>
      </c>
      <c r="Y737" s="110">
        <v>847363</v>
      </c>
      <c r="Z737" s="110">
        <v>6705557</v>
      </c>
      <c r="AA737" s="110">
        <v>2101012</v>
      </c>
      <c r="AB737" s="112">
        <v>4630208</v>
      </c>
      <c r="AC737" s="109">
        <v>160.1</v>
      </c>
      <c r="AD737" s="110">
        <v>-109.9</v>
      </c>
      <c r="AE737" s="110">
        <v>3.93</v>
      </c>
      <c r="AF737" s="110">
        <v>-0.75</v>
      </c>
      <c r="AG737" s="110">
        <v>109.8</v>
      </c>
      <c r="AH737" s="110">
        <v>-110</v>
      </c>
      <c r="AI737" s="110">
        <v>3.7</v>
      </c>
      <c r="AJ737" s="109">
        <v>-0.33</v>
      </c>
      <c r="AK737" s="113" t="s">
        <v>59</v>
      </c>
      <c r="AL737" s="107" t="s">
        <v>181</v>
      </c>
      <c r="AN737" s="107">
        <v>0.95699999999999996</v>
      </c>
      <c r="AO737" s="48">
        <f t="shared" si="1124"/>
        <v>140514793.6703077</v>
      </c>
      <c r="AP737" s="156">
        <f t="shared" si="1125"/>
        <v>98360355.569215387</v>
      </c>
      <c r="AQ737" s="161">
        <f t="shared" si="1130"/>
        <v>34167025087.22094</v>
      </c>
      <c r="AR737" s="163">
        <f t="shared" si="1131"/>
        <v>15.179363425920235</v>
      </c>
      <c r="AS737" s="49">
        <f t="shared" si="1126"/>
        <v>0.29988095238095241</v>
      </c>
      <c r="AT737" s="165">
        <f t="shared" si="1132"/>
        <v>104.39918055555546</v>
      </c>
      <c r="AU737" s="254">
        <f t="shared" si="1133"/>
        <v>201066.84840000002</v>
      </c>
      <c r="AV737" s="255">
        <f t="shared" si="1134"/>
        <v>472055.15159999998</v>
      </c>
      <c r="AW737" s="256">
        <f t="shared" si="1135"/>
        <v>0.42593931602800461</v>
      </c>
    </row>
    <row r="738" spans="1:70">
      <c r="A738" s="108">
        <v>736</v>
      </c>
      <c r="F738" s="45">
        <v>43152.200115740743</v>
      </c>
      <c r="G738" s="45">
        <v>43152.210578703707</v>
      </c>
      <c r="H738" s="38">
        <f>G738-F738</f>
        <v>1.0462962964083999E-2</v>
      </c>
      <c r="I738" s="86">
        <v>50.29</v>
      </c>
      <c r="J738" s="109" t="s">
        <v>260</v>
      </c>
      <c r="K738" s="88" t="s">
        <v>72</v>
      </c>
      <c r="L738" s="88" t="s">
        <v>73</v>
      </c>
      <c r="M738" s="88">
        <v>-369</v>
      </c>
      <c r="N738" s="108">
        <v>1</v>
      </c>
      <c r="O738" s="108">
        <v>200</v>
      </c>
      <c r="P738" s="88">
        <v>348</v>
      </c>
      <c r="Q738" s="88" t="s">
        <v>75</v>
      </c>
      <c r="R738" s="88" t="s">
        <v>348</v>
      </c>
      <c r="S738" s="110">
        <v>10300</v>
      </c>
      <c r="T738" s="110">
        <v>921</v>
      </c>
      <c r="U738" s="88">
        <v>983</v>
      </c>
      <c r="V738" s="90">
        <v>1500</v>
      </c>
      <c r="W738" s="111">
        <v>10</v>
      </c>
      <c r="X738" s="110">
        <v>48528</v>
      </c>
      <c r="Y738" s="110">
        <v>846689</v>
      </c>
      <c r="Z738" s="110">
        <v>6686305</v>
      </c>
      <c r="AA738" s="110">
        <v>2094420</v>
      </c>
      <c r="AB738" s="112">
        <v>4617690</v>
      </c>
      <c r="AC738" s="109">
        <v>160.1</v>
      </c>
      <c r="AD738" s="110">
        <v>-109.9</v>
      </c>
      <c r="AE738" s="110">
        <v>3.93</v>
      </c>
      <c r="AF738" s="110">
        <v>-0.75</v>
      </c>
      <c r="AG738" s="110">
        <v>109.8</v>
      </c>
      <c r="AH738" s="110">
        <v>-110</v>
      </c>
      <c r="AI738" s="110">
        <v>3.7</v>
      </c>
      <c r="AJ738" s="109">
        <v>-0.33</v>
      </c>
      <c r="AK738" s="113" t="s">
        <v>59</v>
      </c>
      <c r="AL738" s="107" t="s">
        <v>459</v>
      </c>
      <c r="AM738" s="114" t="s">
        <v>826</v>
      </c>
      <c r="AN738" s="107">
        <v>0.94699999999999995</v>
      </c>
      <c r="AO738" s="48">
        <f t="shared" si="1124"/>
        <v>34480919.787692301</v>
      </c>
      <c r="AP738" s="156">
        <f t="shared" si="1125"/>
        <v>24136643.85138461</v>
      </c>
      <c r="AQ738" s="161">
        <f t="shared" si="1130"/>
        <v>34191161731.072323</v>
      </c>
      <c r="AR738" s="163">
        <f t="shared" si="1131"/>
        <v>15.189826388884319</v>
      </c>
      <c r="AS738" s="49">
        <f t="shared" si="1126"/>
        <v>7.4836309523809527E-2</v>
      </c>
      <c r="AT738" s="165">
        <f t="shared" si="1132"/>
        <v>104.47401686507926</v>
      </c>
      <c r="AU738" s="254">
        <f t="shared" si="1133"/>
        <v>198341.57399999999</v>
      </c>
      <c r="AV738" s="255">
        <f t="shared" si="1134"/>
        <v>472869.42600000004</v>
      </c>
      <c r="AW738" s="256">
        <f t="shared" si="1135"/>
        <v>0.41944258413526608</v>
      </c>
    </row>
    <row r="739" spans="1:70">
      <c r="A739" s="108">
        <v>737</v>
      </c>
      <c r="F739" s="45">
        <v>43152.211041666669</v>
      </c>
      <c r="G739" s="45">
        <v>43152.252858796295</v>
      </c>
      <c r="H739" s="38">
        <f>G739-F739-'user time'!AJ122</f>
        <v>4.1342592588960003E-2</v>
      </c>
      <c r="I739" s="86">
        <v>50.45</v>
      </c>
      <c r="J739" s="109" t="s">
        <v>260</v>
      </c>
      <c r="K739" s="88" t="s">
        <v>72</v>
      </c>
      <c r="L739" s="88" t="s">
        <v>73</v>
      </c>
      <c r="M739" s="88">
        <v>-369</v>
      </c>
      <c r="N739" s="108">
        <v>1</v>
      </c>
      <c r="O739" s="108">
        <v>200</v>
      </c>
      <c r="P739" s="88">
        <v>348</v>
      </c>
      <c r="Q739" s="88" t="s">
        <v>75</v>
      </c>
      <c r="R739" s="88" t="s">
        <v>348</v>
      </c>
      <c r="S739" s="110">
        <v>10300</v>
      </c>
      <c r="T739" s="110">
        <v>920</v>
      </c>
      <c r="U739" s="88">
        <v>983</v>
      </c>
      <c r="V739" s="90">
        <v>1500</v>
      </c>
      <c r="W739" s="111">
        <v>10</v>
      </c>
      <c r="X739" s="110">
        <v>48757</v>
      </c>
      <c r="Y739" s="110">
        <v>848518</v>
      </c>
      <c r="Z739" s="110">
        <v>6687520</v>
      </c>
      <c r="AA739" s="110">
        <v>2098679</v>
      </c>
      <c r="AB739" s="112">
        <v>4614563</v>
      </c>
      <c r="AC739" s="109">
        <v>160.1</v>
      </c>
      <c r="AD739" s="110">
        <v>-109.9</v>
      </c>
      <c r="AE739" s="110">
        <v>3.93</v>
      </c>
      <c r="AF739" s="110">
        <v>-0.75</v>
      </c>
      <c r="AG739" s="110">
        <v>109.8</v>
      </c>
      <c r="AH739" s="110">
        <v>-110</v>
      </c>
      <c r="AI739" s="110">
        <v>3.7</v>
      </c>
      <c r="AJ739" s="109">
        <v>-0.33</v>
      </c>
      <c r="AK739" s="113" t="s">
        <v>59</v>
      </c>
      <c r="AL739" s="107" t="s">
        <v>181</v>
      </c>
      <c r="AN739" s="107">
        <v>0.94699999999999995</v>
      </c>
      <c r="AO739" s="48">
        <f t="shared" si="1124"/>
        <v>136522459.12376922</v>
      </c>
      <c r="AP739" s="156">
        <f t="shared" si="1125"/>
        <v>95565721.386638448</v>
      </c>
      <c r="AQ739" s="161">
        <f t="shared" si="1130"/>
        <v>34286727452.458961</v>
      </c>
      <c r="AR739" s="163">
        <f t="shared" si="1131"/>
        <v>15.231168981473278</v>
      </c>
      <c r="AS739" s="49">
        <f t="shared" si="1126"/>
        <v>0.29529265873015875</v>
      </c>
      <c r="AT739" s="165">
        <f t="shared" si="1132"/>
        <v>104.76930952380943</v>
      </c>
      <c r="AU739" s="254">
        <f t="shared" si="1133"/>
        <v>198744.9013</v>
      </c>
      <c r="AV739" s="255">
        <f t="shared" si="1134"/>
        <v>472579.29869999998</v>
      </c>
      <c r="AW739" s="256">
        <f t="shared" si="1135"/>
        <v>0.42055354910111303</v>
      </c>
    </row>
    <row r="740" spans="1:70">
      <c r="A740" s="108">
        <v>738</v>
      </c>
      <c r="F740" s="45">
        <v>43152.252870370372</v>
      </c>
      <c r="G740" s="45">
        <v>43152.294687499998</v>
      </c>
      <c r="H740" s="38">
        <f>G740-F740</f>
        <v>4.181712962599704E-2</v>
      </c>
      <c r="I740" s="86">
        <v>50.4</v>
      </c>
      <c r="J740" s="109" t="s">
        <v>260</v>
      </c>
      <c r="K740" s="88" t="s">
        <v>72</v>
      </c>
      <c r="L740" s="88" t="s">
        <v>73</v>
      </c>
      <c r="M740" s="88">
        <v>-369</v>
      </c>
      <c r="N740" s="108">
        <v>1</v>
      </c>
      <c r="O740" s="108">
        <v>200</v>
      </c>
      <c r="P740" s="88">
        <v>348</v>
      </c>
      <c r="Q740" s="88" t="s">
        <v>75</v>
      </c>
      <c r="R740" s="88" t="s">
        <v>348</v>
      </c>
      <c r="S740" s="110">
        <v>10300</v>
      </c>
      <c r="T740" s="110">
        <v>940</v>
      </c>
      <c r="U740" s="88">
        <v>983</v>
      </c>
      <c r="V740" s="90">
        <v>1500</v>
      </c>
      <c r="W740" s="111">
        <v>10</v>
      </c>
      <c r="X740" s="110">
        <v>48980</v>
      </c>
      <c r="Y740" s="110">
        <v>850074</v>
      </c>
      <c r="Z740" s="110">
        <v>6686392</v>
      </c>
      <c r="AA740" s="110">
        <v>2093967</v>
      </c>
      <c r="AB740" s="112">
        <v>4618259</v>
      </c>
      <c r="AC740" s="109">
        <v>160.1</v>
      </c>
      <c r="AD740" s="110">
        <v>-109.9</v>
      </c>
      <c r="AE740" s="110">
        <v>3.93</v>
      </c>
      <c r="AF740" s="110">
        <v>-0.75</v>
      </c>
      <c r="AG740" s="110">
        <v>109.8</v>
      </c>
      <c r="AH740" s="110">
        <v>-110</v>
      </c>
      <c r="AI740" s="110">
        <v>3.7</v>
      </c>
      <c r="AJ740" s="109">
        <v>-0.34</v>
      </c>
      <c r="AK740" s="113" t="s">
        <v>59</v>
      </c>
      <c r="AL740" s="107" t="s">
        <v>181</v>
      </c>
      <c r="AN740" s="107">
        <v>0.95199999999999996</v>
      </c>
      <c r="AO740" s="48">
        <f t="shared" si="1124"/>
        <v>138506896.88446152</v>
      </c>
      <c r="AP740" s="156">
        <f t="shared" si="1125"/>
        <v>96954827.81912306</v>
      </c>
      <c r="AQ740" s="161">
        <f t="shared" si="1130"/>
        <v>34383682280.278084</v>
      </c>
      <c r="AR740" s="163">
        <f t="shared" si="1131"/>
        <v>15.272986111099275</v>
      </c>
      <c r="AS740" s="49">
        <f t="shared" si="1126"/>
        <v>0.3</v>
      </c>
      <c r="AT740" s="165">
        <f t="shared" si="1132"/>
        <v>105.06930952380942</v>
      </c>
      <c r="AU740" s="254">
        <f t="shared" si="1133"/>
        <v>199345.65840000001</v>
      </c>
      <c r="AV740" s="255">
        <f t="shared" si="1134"/>
        <v>471876.94160000002</v>
      </c>
      <c r="AW740" s="256">
        <f t="shared" si="1135"/>
        <v>0.42245263717289466</v>
      </c>
    </row>
    <row r="741" spans="1:70">
      <c r="A741" s="108">
        <v>739</v>
      </c>
      <c r="F741" s="45">
        <v>43152.294745370367</v>
      </c>
      <c r="G741" s="45">
        <v>43152.310914351852</v>
      </c>
      <c r="H741" s="38">
        <f>G741-F741-'user time'!AJ123</f>
        <v>1.5671296299767157E-2</v>
      </c>
      <c r="I741" s="86">
        <v>50.34</v>
      </c>
      <c r="J741" s="109" t="s">
        <v>260</v>
      </c>
      <c r="K741" s="88" t="s">
        <v>72</v>
      </c>
      <c r="L741" s="88" t="s">
        <v>73</v>
      </c>
      <c r="M741" s="88">
        <v>-369</v>
      </c>
      <c r="N741" s="108">
        <v>1</v>
      </c>
      <c r="O741" s="108">
        <v>200</v>
      </c>
      <c r="P741" s="88">
        <v>348</v>
      </c>
      <c r="Q741" s="88" t="s">
        <v>75</v>
      </c>
      <c r="R741" s="88" t="s">
        <v>348</v>
      </c>
      <c r="S741" s="110">
        <v>10200</v>
      </c>
      <c r="T741" s="110">
        <v>929</v>
      </c>
      <c r="U741" s="88">
        <v>983</v>
      </c>
      <c r="V741" s="90">
        <v>1500</v>
      </c>
      <c r="W741" s="111">
        <v>10</v>
      </c>
      <c r="X741" s="110">
        <v>48592</v>
      </c>
      <c r="Y741" s="110">
        <v>847328</v>
      </c>
      <c r="Z741" s="110">
        <v>6690565</v>
      </c>
      <c r="AA741" s="110">
        <v>2098473</v>
      </c>
      <c r="AB741" s="112">
        <v>4617971</v>
      </c>
      <c r="AC741" s="109">
        <v>160.1</v>
      </c>
      <c r="AD741" s="110">
        <v>-109.9</v>
      </c>
      <c r="AE741" s="110">
        <v>3.93</v>
      </c>
      <c r="AF741" s="110">
        <v>-0.75</v>
      </c>
      <c r="AG741" s="110">
        <v>109.8</v>
      </c>
      <c r="AH741" s="110">
        <v>-110</v>
      </c>
      <c r="AI741" s="110">
        <v>3.7</v>
      </c>
      <c r="AJ741" s="109">
        <v>-0.34</v>
      </c>
      <c r="AK741" s="113" t="s">
        <v>59</v>
      </c>
      <c r="AL741" s="107" t="s">
        <v>238</v>
      </c>
      <c r="AN741" s="107">
        <v>0.95199999999999996</v>
      </c>
      <c r="AO741" s="48">
        <f t="shared" si="1124"/>
        <v>52018240.092</v>
      </c>
      <c r="AP741" s="156">
        <f t="shared" si="1125"/>
        <v>36412768.064399995</v>
      </c>
      <c r="AQ741" s="161">
        <f t="shared" si="1130"/>
        <v>34420095048.342484</v>
      </c>
      <c r="AR741" s="163">
        <f t="shared" si="1131"/>
        <v>15.288657407399043</v>
      </c>
      <c r="AS741" s="49">
        <f t="shared" si="1126"/>
        <v>0.10986904761904763</v>
      </c>
      <c r="AT741" s="165">
        <f t="shared" si="1132"/>
        <v>105.17917857142847</v>
      </c>
      <c r="AU741" s="254">
        <f t="shared" si="1133"/>
        <v>199774.62959999999</v>
      </c>
      <c r="AV741" s="255">
        <f t="shared" si="1134"/>
        <v>471869.77039999998</v>
      </c>
      <c r="AW741" s="256">
        <f t="shared" si="1135"/>
        <v>0.42336814547508039</v>
      </c>
    </row>
    <row r="742" spans="1:70">
      <c r="A742" s="108">
        <v>740</v>
      </c>
      <c r="F742" s="45">
        <v>43152.333310185182</v>
      </c>
      <c r="G742" s="45">
        <v>43152.375</v>
      </c>
      <c r="H742" s="38">
        <f>G742-F742-'user time'!AJ125</f>
        <v>3.8460648151134036E-2</v>
      </c>
      <c r="I742" s="86">
        <v>50.51</v>
      </c>
      <c r="J742" s="109" t="s">
        <v>260</v>
      </c>
      <c r="K742" s="88" t="s">
        <v>72</v>
      </c>
      <c r="L742" s="88" t="s">
        <v>73</v>
      </c>
      <c r="M742" s="88">
        <v>-369</v>
      </c>
      <c r="N742" s="108">
        <v>1</v>
      </c>
      <c r="O742" s="108">
        <v>200</v>
      </c>
      <c r="P742" s="88">
        <v>348</v>
      </c>
      <c r="Q742" s="88" t="s">
        <v>75</v>
      </c>
      <c r="R742" s="88" t="s">
        <v>348</v>
      </c>
      <c r="S742" s="110">
        <v>10200</v>
      </c>
      <c r="T742" s="110">
        <v>950</v>
      </c>
      <c r="U742" s="88">
        <v>983</v>
      </c>
      <c r="V742" s="90">
        <v>1500</v>
      </c>
      <c r="W742" s="111">
        <v>10</v>
      </c>
      <c r="X742" s="110">
        <v>48560</v>
      </c>
      <c r="Y742" s="110">
        <v>845890</v>
      </c>
      <c r="Z742" s="110">
        <v>6739825</v>
      </c>
      <c r="AA742" s="110">
        <v>2090511</v>
      </c>
      <c r="AB742" s="112">
        <v>4675380</v>
      </c>
      <c r="AC742" s="109">
        <v>160.1</v>
      </c>
      <c r="AD742" s="110">
        <v>-109.9</v>
      </c>
      <c r="AE742" s="110">
        <v>3.93</v>
      </c>
      <c r="AF742" s="110">
        <v>-0.75</v>
      </c>
      <c r="AG742" s="110">
        <v>109.8</v>
      </c>
      <c r="AH742" s="110">
        <v>-110</v>
      </c>
      <c r="AI742" s="110">
        <v>3.7</v>
      </c>
      <c r="AJ742" s="109">
        <v>-0.33</v>
      </c>
      <c r="AK742" s="113" t="s">
        <v>59</v>
      </c>
      <c r="AL742" s="107" t="s">
        <v>181</v>
      </c>
      <c r="AN742" s="107">
        <v>0.95</v>
      </c>
      <c r="AO742" s="48">
        <f t="shared" si="1124"/>
        <v>126912108.66057692</v>
      </c>
      <c r="AP742" s="156">
        <f t="shared" si="1125"/>
        <v>88838476.062403843</v>
      </c>
      <c r="AQ742" s="161">
        <f t="shared" si="1130"/>
        <v>34508933524.404884</v>
      </c>
      <c r="AR742" s="163">
        <f t="shared" si="1131"/>
        <v>15.327118055550176</v>
      </c>
      <c r="AS742" s="49">
        <f t="shared" si="1126"/>
        <v>0.27560019841269839</v>
      </c>
      <c r="AT742" s="165">
        <f t="shared" si="1132"/>
        <v>105.45477876984117</v>
      </c>
      <c r="AU742" s="254">
        <f t="shared" si="1133"/>
        <v>198598.54499999998</v>
      </c>
      <c r="AV742" s="255">
        <f t="shared" si="1134"/>
        <v>477990.55499999999</v>
      </c>
      <c r="AW742" s="256">
        <f t="shared" si="1135"/>
        <v>0.41548633738170826</v>
      </c>
    </row>
    <row r="743" spans="1:70" s="190" customFormat="1">
      <c r="A743" s="176">
        <v>741</v>
      </c>
      <c r="F743" s="171">
        <v>43154.982777777775</v>
      </c>
      <c r="G743" s="171">
        <v>43154.983854166669</v>
      </c>
      <c r="H743" s="247">
        <f>G743-F743</f>
        <v>1.0763888931251131E-3</v>
      </c>
      <c r="I743" s="173">
        <v>51.1</v>
      </c>
      <c r="J743" s="174" t="s">
        <v>260</v>
      </c>
      <c r="K743" s="175" t="s">
        <v>72</v>
      </c>
      <c r="L743" s="175" t="s">
        <v>73</v>
      </c>
      <c r="M743" s="175">
        <v>-369</v>
      </c>
      <c r="N743" s="176">
        <v>1</v>
      </c>
      <c r="O743" s="176">
        <v>200</v>
      </c>
      <c r="P743" s="175">
        <v>348</v>
      </c>
      <c r="Q743" s="175" t="s">
        <v>75</v>
      </c>
      <c r="R743" s="230" t="s">
        <v>849</v>
      </c>
      <c r="S743" s="177"/>
      <c r="T743" s="177"/>
      <c r="U743" s="175">
        <v>983</v>
      </c>
      <c r="V743" s="178">
        <v>1500</v>
      </c>
      <c r="W743" s="179"/>
      <c r="X743" s="177"/>
      <c r="Y743" s="177"/>
      <c r="Z743" s="177"/>
      <c r="AA743" s="177"/>
      <c r="AB743" s="180"/>
      <c r="AC743" s="174">
        <v>160</v>
      </c>
      <c r="AD743" s="177">
        <v>-110</v>
      </c>
      <c r="AE743" s="177">
        <v>3.94</v>
      </c>
      <c r="AF743" s="177">
        <v>-0.75</v>
      </c>
      <c r="AG743" s="177">
        <v>109.9</v>
      </c>
      <c r="AH743" s="177">
        <v>-110.1</v>
      </c>
      <c r="AI743" s="177">
        <v>3.72</v>
      </c>
      <c r="AJ743" s="174">
        <v>-0.34</v>
      </c>
      <c r="AK743" s="181"/>
      <c r="AL743" s="182" t="s">
        <v>180</v>
      </c>
      <c r="AM743" s="183"/>
      <c r="AN743" s="182"/>
      <c r="AO743" s="191"/>
      <c r="AP743" s="184"/>
      <c r="AQ743" s="193"/>
      <c r="AR743" s="186"/>
      <c r="AS743" s="187"/>
      <c r="AT743" s="188"/>
      <c r="AU743" s="187"/>
      <c r="AV743" s="187"/>
      <c r="AW743" s="177"/>
      <c r="AX743" s="177"/>
      <c r="AY743" s="177"/>
      <c r="AZ743" s="177"/>
      <c r="BA743" s="187"/>
      <c r="BB743" s="180"/>
      <c r="BC743" s="189"/>
      <c r="BD743" s="189"/>
      <c r="BE743" s="189"/>
      <c r="BF743" s="189"/>
      <c r="BG743" s="189"/>
      <c r="BH743" s="189"/>
      <c r="BI743" s="189"/>
      <c r="BJ743" s="189"/>
      <c r="BK743" s="189"/>
      <c r="BL743" s="189"/>
      <c r="BM743" s="189"/>
      <c r="BN743" s="189"/>
      <c r="BO743" s="189"/>
      <c r="BP743" s="189"/>
      <c r="BQ743" s="189"/>
      <c r="BR743" s="189"/>
    </row>
    <row r="744" spans="1:70" s="190" customFormat="1">
      <c r="A744" s="176">
        <v>742</v>
      </c>
      <c r="F744" s="171">
        <v>43154.984317129631</v>
      </c>
      <c r="G744" s="171">
        <v>43154.986793981479</v>
      </c>
      <c r="H744" s="247">
        <f t="shared" ref="H744:H756" si="1136">G744-F744</f>
        <v>2.4768518487690017E-3</v>
      </c>
      <c r="I744" s="173">
        <v>51.1</v>
      </c>
      <c r="J744" s="174" t="s">
        <v>260</v>
      </c>
      <c r="K744" s="175" t="s">
        <v>72</v>
      </c>
      <c r="L744" s="175" t="s">
        <v>73</v>
      </c>
      <c r="M744" s="175">
        <v>-369</v>
      </c>
      <c r="N744" s="176">
        <v>1</v>
      </c>
      <c r="O744" s="176">
        <v>200</v>
      </c>
      <c r="P744" s="175">
        <v>348</v>
      </c>
      <c r="Q744" s="175" t="s">
        <v>75</v>
      </c>
      <c r="R744" s="230" t="s">
        <v>850</v>
      </c>
      <c r="S744" s="177"/>
      <c r="T744" s="177"/>
      <c r="U744" s="175">
        <v>983</v>
      </c>
      <c r="V744" s="178">
        <v>1500</v>
      </c>
      <c r="W744" s="179"/>
      <c r="X744" s="177"/>
      <c r="Y744" s="177"/>
      <c r="Z744" s="177"/>
      <c r="AA744" s="177"/>
      <c r="AB744" s="180"/>
      <c r="AC744" s="174">
        <v>160</v>
      </c>
      <c r="AD744" s="177">
        <v>-110</v>
      </c>
      <c r="AE744" s="177">
        <v>3.94</v>
      </c>
      <c r="AF744" s="177">
        <v>-0.75</v>
      </c>
      <c r="AG744" s="177">
        <v>109.9</v>
      </c>
      <c r="AH744" s="177">
        <v>-110.1</v>
      </c>
      <c r="AI744" s="177">
        <v>3.72</v>
      </c>
      <c r="AJ744" s="174">
        <v>-0.34</v>
      </c>
      <c r="AK744" s="181"/>
      <c r="AL744" s="182" t="s">
        <v>206</v>
      </c>
      <c r="AM744" s="183"/>
      <c r="AN744" s="182"/>
      <c r="AO744" s="191"/>
      <c r="AP744" s="184"/>
      <c r="AQ744" s="193"/>
      <c r="AR744" s="186"/>
      <c r="AS744" s="187"/>
      <c r="AT744" s="188"/>
      <c r="AU744" s="187"/>
      <c r="AV744" s="187"/>
      <c r="AW744" s="177"/>
      <c r="AX744" s="177"/>
      <c r="AY744" s="177"/>
      <c r="AZ744" s="177"/>
      <c r="BA744" s="187"/>
      <c r="BB744" s="180"/>
      <c r="BC744" s="189"/>
      <c r="BD744" s="189"/>
      <c r="BE744" s="189"/>
      <c r="BF744" s="189"/>
      <c r="BG744" s="189"/>
      <c r="BH744" s="189"/>
      <c r="BI744" s="189"/>
      <c r="BJ744" s="189"/>
      <c r="BK744" s="189"/>
      <c r="BL744" s="189"/>
      <c r="BM744" s="189"/>
      <c r="BN744" s="189"/>
      <c r="BO744" s="189"/>
      <c r="BP744" s="189"/>
      <c r="BQ744" s="189"/>
      <c r="BR744" s="189"/>
    </row>
    <row r="745" spans="1:70" s="190" customFormat="1">
      <c r="A745" s="176">
        <v>743</v>
      </c>
      <c r="F745" s="171">
        <v>43154.987071759257</v>
      </c>
      <c r="G745" s="171">
        <v>43154.989502314813</v>
      </c>
      <c r="H745" s="247">
        <f t="shared" si="1136"/>
        <v>2.4305555562023073E-3</v>
      </c>
      <c r="I745" s="173">
        <v>51.1</v>
      </c>
      <c r="J745" s="174" t="s">
        <v>260</v>
      </c>
      <c r="K745" s="175" t="s">
        <v>72</v>
      </c>
      <c r="L745" s="175" t="s">
        <v>73</v>
      </c>
      <c r="M745" s="175">
        <v>-369</v>
      </c>
      <c r="N745" s="176">
        <v>1</v>
      </c>
      <c r="O745" s="176">
        <v>200</v>
      </c>
      <c r="P745" s="175">
        <v>348</v>
      </c>
      <c r="Q745" s="175" t="s">
        <v>75</v>
      </c>
      <c r="R745" s="230" t="s">
        <v>850</v>
      </c>
      <c r="S745" s="177"/>
      <c r="T745" s="177"/>
      <c r="U745" s="175">
        <v>983</v>
      </c>
      <c r="V745" s="178">
        <v>1500</v>
      </c>
      <c r="W745" s="179"/>
      <c r="X745" s="177"/>
      <c r="Y745" s="177"/>
      <c r="Z745" s="177"/>
      <c r="AA745" s="177"/>
      <c r="AB745" s="180"/>
      <c r="AC745" s="174">
        <v>160</v>
      </c>
      <c r="AD745" s="177">
        <v>-110</v>
      </c>
      <c r="AE745" s="177">
        <v>3.94</v>
      </c>
      <c r="AF745" s="177">
        <v>-0.75</v>
      </c>
      <c r="AG745" s="177">
        <v>109.9</v>
      </c>
      <c r="AH745" s="177">
        <v>-110.1</v>
      </c>
      <c r="AI745" s="177">
        <v>3.72</v>
      </c>
      <c r="AJ745" s="174">
        <v>-0.34</v>
      </c>
      <c r="AK745" s="181"/>
      <c r="AL745" s="182" t="s">
        <v>207</v>
      </c>
      <c r="AM745" s="183"/>
      <c r="AN745" s="182"/>
      <c r="AO745" s="191"/>
      <c r="AP745" s="184"/>
      <c r="AQ745" s="193"/>
      <c r="AR745" s="186"/>
      <c r="AS745" s="187"/>
      <c r="AT745" s="188"/>
      <c r="AU745" s="187"/>
      <c r="AV745" s="187"/>
      <c r="AW745" s="177"/>
      <c r="AX745" s="177"/>
      <c r="AY745" s="177"/>
      <c r="AZ745" s="177"/>
      <c r="BA745" s="187"/>
      <c r="BB745" s="180"/>
      <c r="BC745" s="189"/>
      <c r="BD745" s="189"/>
      <c r="BE745" s="189"/>
      <c r="BF745" s="189"/>
      <c r="BG745" s="189"/>
      <c r="BH745" s="189"/>
      <c r="BI745" s="189"/>
      <c r="BJ745" s="189"/>
      <c r="BK745" s="189"/>
      <c r="BL745" s="189"/>
      <c r="BM745" s="189"/>
      <c r="BN745" s="189"/>
      <c r="BO745" s="189"/>
      <c r="BP745" s="189"/>
      <c r="BQ745" s="189"/>
      <c r="BR745" s="189"/>
    </row>
    <row r="746" spans="1:70" s="149" customFormat="1">
      <c r="A746" s="138">
        <v>744</v>
      </c>
      <c r="F746" s="133"/>
      <c r="G746" s="133"/>
      <c r="H746" s="245"/>
      <c r="I746" s="135"/>
      <c r="J746" s="136"/>
      <c r="K746" s="137"/>
      <c r="L746" s="137"/>
      <c r="M746" s="137"/>
      <c r="N746" s="138"/>
      <c r="O746" s="138"/>
      <c r="P746" s="137"/>
      <c r="Q746" s="137"/>
      <c r="R746" s="235"/>
      <c r="S746" s="139"/>
      <c r="T746" s="139"/>
      <c r="U746" s="137"/>
      <c r="V746" s="140"/>
      <c r="W746" s="141"/>
      <c r="X746" s="139"/>
      <c r="Y746" s="139"/>
      <c r="Z746" s="139"/>
      <c r="AA746" s="139"/>
      <c r="AB746" s="142"/>
      <c r="AC746" s="136"/>
      <c r="AD746" s="139"/>
      <c r="AE746" s="139"/>
      <c r="AF746" s="139"/>
      <c r="AG746" s="139"/>
      <c r="AH746" s="139"/>
      <c r="AI746" s="139"/>
      <c r="AJ746" s="136"/>
      <c r="AK746" s="143"/>
      <c r="AL746" s="144" t="s">
        <v>831</v>
      </c>
      <c r="AM746" s="145"/>
      <c r="AN746" s="144"/>
      <c r="AO746" s="151"/>
      <c r="AP746" s="146"/>
      <c r="AQ746" s="160"/>
      <c r="AR746" s="162"/>
      <c r="AS746" s="147"/>
      <c r="AT746" s="164"/>
      <c r="AU746" s="147"/>
      <c r="AV746" s="147"/>
      <c r="AW746" s="139"/>
      <c r="AX746" s="139"/>
      <c r="AY746" s="139"/>
      <c r="AZ746" s="139"/>
      <c r="BA746" s="147"/>
      <c r="BB746" s="142"/>
      <c r="BC746" s="148"/>
      <c r="BD746" s="148"/>
      <c r="BE746" s="148"/>
      <c r="BF746" s="148"/>
      <c r="BG746" s="148"/>
      <c r="BH746" s="148"/>
      <c r="BI746" s="148"/>
      <c r="BJ746" s="148"/>
      <c r="BK746" s="148"/>
      <c r="BL746" s="148"/>
      <c r="BM746" s="148"/>
      <c r="BN746" s="148"/>
      <c r="BO746" s="148"/>
      <c r="BP746" s="148"/>
      <c r="BQ746" s="148"/>
      <c r="BR746" s="148"/>
    </row>
    <row r="747" spans="1:70" s="190" customFormat="1">
      <c r="A747" s="176">
        <v>745</v>
      </c>
      <c r="F747" s="171">
        <v>43154.991365740738</v>
      </c>
      <c r="G747" s="171">
        <v>43154.992928240739</v>
      </c>
      <c r="H747" s="247">
        <f t="shared" si="1136"/>
        <v>1.5625000014551915E-3</v>
      </c>
      <c r="I747" s="173">
        <v>51.1</v>
      </c>
      <c r="J747" s="174" t="s">
        <v>260</v>
      </c>
      <c r="K747" s="175" t="s">
        <v>72</v>
      </c>
      <c r="L747" s="175" t="s">
        <v>73</v>
      </c>
      <c r="M747" s="175">
        <v>-369</v>
      </c>
      <c r="N747" s="176">
        <v>1</v>
      </c>
      <c r="O747" s="176">
        <v>200</v>
      </c>
      <c r="P747" s="175">
        <v>420</v>
      </c>
      <c r="Q747" s="175" t="s">
        <v>150</v>
      </c>
      <c r="R747" s="230" t="s">
        <v>849</v>
      </c>
      <c r="S747" s="177"/>
      <c r="T747" s="177"/>
      <c r="U747" s="175">
        <v>983</v>
      </c>
      <c r="V747" s="178">
        <v>-1900</v>
      </c>
      <c r="W747" s="179"/>
      <c r="X747" s="177"/>
      <c r="Y747" s="177"/>
      <c r="Z747" s="177"/>
      <c r="AA747" s="177"/>
      <c r="AB747" s="180"/>
      <c r="AC747" s="174">
        <v>160</v>
      </c>
      <c r="AD747" s="177">
        <v>-110</v>
      </c>
      <c r="AE747" s="177">
        <v>3.94</v>
      </c>
      <c r="AF747" s="177">
        <v>-0.75</v>
      </c>
      <c r="AG747" s="177">
        <v>109.9</v>
      </c>
      <c r="AH747" s="177">
        <v>-110.1</v>
      </c>
      <c r="AI747" s="177">
        <v>3.72</v>
      </c>
      <c r="AJ747" s="174">
        <v>-0.34</v>
      </c>
      <c r="AK747" s="181"/>
      <c r="AL747" s="182" t="s">
        <v>189</v>
      </c>
      <c r="AM747" s="183"/>
      <c r="AN747" s="182"/>
      <c r="AO747" s="191"/>
      <c r="AP747" s="184"/>
      <c r="AQ747" s="193"/>
      <c r="AR747" s="186"/>
      <c r="AS747" s="187"/>
      <c r="AT747" s="188"/>
      <c r="AU747" s="187"/>
      <c r="AV747" s="187"/>
      <c r="AW747" s="177"/>
      <c r="AX747" s="177"/>
      <c r="AY747" s="177"/>
      <c r="AZ747" s="177"/>
      <c r="BA747" s="187"/>
      <c r="BB747" s="180"/>
      <c r="BC747" s="189"/>
      <c r="BD747" s="189"/>
      <c r="BE747" s="189"/>
      <c r="BF747" s="189"/>
      <c r="BG747" s="189"/>
      <c r="BH747" s="189"/>
      <c r="BI747" s="189"/>
      <c r="BJ747" s="189"/>
      <c r="BK747" s="189"/>
      <c r="BL747" s="189"/>
      <c r="BM747" s="189"/>
      <c r="BN747" s="189"/>
      <c r="BO747" s="189"/>
      <c r="BP747" s="189"/>
      <c r="BQ747" s="189"/>
      <c r="BR747" s="189"/>
    </row>
    <row r="748" spans="1:70" s="190" customFormat="1">
      <c r="A748" s="176">
        <v>746</v>
      </c>
      <c r="F748" s="171">
        <v>43154.993113425924</v>
      </c>
      <c r="G748" s="171">
        <v>43154.994675925926</v>
      </c>
      <c r="H748" s="247">
        <f t="shared" si="1136"/>
        <v>1.5625000014551915E-3</v>
      </c>
      <c r="I748" s="173">
        <v>51.1</v>
      </c>
      <c r="J748" s="174" t="s">
        <v>260</v>
      </c>
      <c r="K748" s="175" t="s">
        <v>72</v>
      </c>
      <c r="L748" s="175" t="s">
        <v>73</v>
      </c>
      <c r="M748" s="175">
        <v>-369</v>
      </c>
      <c r="N748" s="176">
        <v>1</v>
      </c>
      <c r="O748" s="176">
        <v>200</v>
      </c>
      <c r="P748" s="175">
        <v>420</v>
      </c>
      <c r="Q748" s="175" t="s">
        <v>150</v>
      </c>
      <c r="R748" s="230" t="s">
        <v>849</v>
      </c>
      <c r="S748" s="177"/>
      <c r="T748" s="177"/>
      <c r="U748" s="175">
        <v>983</v>
      </c>
      <c r="V748" s="178">
        <v>-1550</v>
      </c>
      <c r="W748" s="179"/>
      <c r="X748" s="177"/>
      <c r="Y748" s="177"/>
      <c r="Z748" s="177"/>
      <c r="AA748" s="177"/>
      <c r="AB748" s="180"/>
      <c r="AC748" s="174">
        <v>160</v>
      </c>
      <c r="AD748" s="177">
        <v>-110</v>
      </c>
      <c r="AE748" s="177">
        <v>3.94</v>
      </c>
      <c r="AF748" s="177">
        <v>-0.75</v>
      </c>
      <c r="AG748" s="177">
        <v>109.9</v>
      </c>
      <c r="AH748" s="177">
        <v>-110.1</v>
      </c>
      <c r="AI748" s="177">
        <v>3.72</v>
      </c>
      <c r="AJ748" s="174">
        <v>-0.34</v>
      </c>
      <c r="AK748" s="181"/>
      <c r="AL748" s="182" t="s">
        <v>190</v>
      </c>
      <c r="AM748" s="183"/>
      <c r="AN748" s="182"/>
      <c r="AO748" s="173"/>
      <c r="AP748" s="184"/>
      <c r="AQ748" s="185"/>
      <c r="AR748" s="186"/>
      <c r="AS748" s="187"/>
      <c r="AT748" s="188"/>
      <c r="AU748" s="187"/>
      <c r="AV748" s="187"/>
      <c r="AW748" s="177"/>
      <c r="AX748" s="177"/>
      <c r="AY748" s="177"/>
      <c r="AZ748" s="177"/>
      <c r="BA748" s="187"/>
      <c r="BB748" s="180"/>
      <c r="BC748" s="189"/>
      <c r="BD748" s="189"/>
      <c r="BE748" s="189"/>
      <c r="BF748" s="189"/>
      <c r="BG748" s="189"/>
      <c r="BH748" s="189"/>
      <c r="BI748" s="189"/>
      <c r="BJ748" s="189"/>
      <c r="BK748" s="189"/>
      <c r="BL748" s="189"/>
      <c r="BM748" s="189"/>
      <c r="BN748" s="189"/>
      <c r="BO748" s="189"/>
      <c r="BP748" s="189"/>
      <c r="BQ748" s="189"/>
      <c r="BR748" s="189"/>
    </row>
    <row r="749" spans="1:70" s="190" customFormat="1">
      <c r="A749" s="176">
        <v>747</v>
      </c>
      <c r="F749" s="171">
        <v>43154.994884259257</v>
      </c>
      <c r="G749" s="171">
        <v>43154.996423611112</v>
      </c>
      <c r="H749" s="247">
        <f t="shared" si="1136"/>
        <v>1.5393518551718444E-3</v>
      </c>
      <c r="I749" s="173">
        <v>51.1</v>
      </c>
      <c r="J749" s="174" t="s">
        <v>260</v>
      </c>
      <c r="K749" s="175" t="s">
        <v>72</v>
      </c>
      <c r="L749" s="175" t="s">
        <v>73</v>
      </c>
      <c r="M749" s="175">
        <v>-369</v>
      </c>
      <c r="N749" s="176">
        <v>1</v>
      </c>
      <c r="O749" s="176">
        <v>200</v>
      </c>
      <c r="P749" s="175">
        <v>420</v>
      </c>
      <c r="Q749" s="175" t="s">
        <v>150</v>
      </c>
      <c r="R749" s="230" t="s">
        <v>849</v>
      </c>
      <c r="S749" s="177"/>
      <c r="T749" s="177"/>
      <c r="U749" s="175">
        <v>983</v>
      </c>
      <c r="V749" s="178">
        <v>-1200</v>
      </c>
      <c r="W749" s="179"/>
      <c r="X749" s="177"/>
      <c r="Y749" s="177"/>
      <c r="Z749" s="177"/>
      <c r="AA749" s="177"/>
      <c r="AB749" s="180"/>
      <c r="AC749" s="174">
        <v>160</v>
      </c>
      <c r="AD749" s="177">
        <v>-110</v>
      </c>
      <c r="AE749" s="177">
        <v>3.94</v>
      </c>
      <c r="AF749" s="177">
        <v>-0.75</v>
      </c>
      <c r="AG749" s="177">
        <v>109.9</v>
      </c>
      <c r="AH749" s="177">
        <v>-110.1</v>
      </c>
      <c r="AI749" s="177">
        <v>3.72</v>
      </c>
      <c r="AJ749" s="174">
        <v>-0.34</v>
      </c>
      <c r="AK749" s="181"/>
      <c r="AL749" s="182" t="s">
        <v>191</v>
      </c>
      <c r="AM749" s="183"/>
      <c r="AN749" s="182"/>
      <c r="AO749" s="191"/>
      <c r="AP749" s="184"/>
      <c r="AQ749" s="193"/>
      <c r="AR749" s="186"/>
      <c r="AS749" s="187"/>
      <c r="AT749" s="188"/>
      <c r="AU749" s="187"/>
      <c r="AV749" s="187"/>
      <c r="AW749" s="177"/>
      <c r="AX749" s="177"/>
      <c r="AY749" s="177"/>
      <c r="AZ749" s="177"/>
      <c r="BA749" s="187"/>
      <c r="BB749" s="180"/>
      <c r="BC749" s="189"/>
      <c r="BD749" s="189"/>
      <c r="BE749" s="189"/>
      <c r="BF749" s="189"/>
      <c r="BG749" s="189"/>
      <c r="BH749" s="189"/>
      <c r="BI749" s="189"/>
      <c r="BJ749" s="189"/>
      <c r="BK749" s="189"/>
      <c r="BL749" s="189"/>
      <c r="BM749" s="189"/>
      <c r="BN749" s="189"/>
      <c r="BO749" s="189"/>
      <c r="BP749" s="189"/>
      <c r="BQ749" s="189"/>
      <c r="BR749" s="189"/>
    </row>
    <row r="750" spans="1:70" s="190" customFormat="1">
      <c r="A750" s="176">
        <v>748</v>
      </c>
      <c r="F750" s="171">
        <v>43154.996550925927</v>
      </c>
      <c r="G750" s="171">
        <v>43154.998182870368</v>
      </c>
      <c r="H750" s="247">
        <f t="shared" si="1136"/>
        <v>1.631944440305233E-3</v>
      </c>
      <c r="I750" s="173">
        <v>51.1</v>
      </c>
      <c r="J750" s="174" t="s">
        <v>260</v>
      </c>
      <c r="K750" s="175" t="s">
        <v>72</v>
      </c>
      <c r="L750" s="175" t="s">
        <v>73</v>
      </c>
      <c r="M750" s="175">
        <v>-369</v>
      </c>
      <c r="N750" s="176">
        <v>1</v>
      </c>
      <c r="O750" s="176">
        <v>200</v>
      </c>
      <c r="P750" s="175">
        <v>420</v>
      </c>
      <c r="Q750" s="175" t="s">
        <v>150</v>
      </c>
      <c r="R750" s="230" t="s">
        <v>849</v>
      </c>
      <c r="S750" s="177"/>
      <c r="T750" s="177"/>
      <c r="U750" s="175">
        <v>983</v>
      </c>
      <c r="V750" s="178">
        <v>-900</v>
      </c>
      <c r="W750" s="179"/>
      <c r="X750" s="177"/>
      <c r="Y750" s="177"/>
      <c r="Z750" s="177"/>
      <c r="AA750" s="177"/>
      <c r="AB750" s="180"/>
      <c r="AC750" s="174">
        <v>160</v>
      </c>
      <c r="AD750" s="177">
        <v>-110</v>
      </c>
      <c r="AE750" s="177">
        <v>3.94</v>
      </c>
      <c r="AF750" s="177">
        <v>-0.75</v>
      </c>
      <c r="AG750" s="177">
        <v>109.9</v>
      </c>
      <c r="AH750" s="177">
        <v>-110.1</v>
      </c>
      <c r="AI750" s="177">
        <v>3.72</v>
      </c>
      <c r="AJ750" s="174">
        <v>-0.34</v>
      </c>
      <c r="AK750" s="181"/>
      <c r="AL750" s="182" t="s">
        <v>192</v>
      </c>
      <c r="AM750" s="183"/>
      <c r="AN750" s="182"/>
      <c r="AO750" s="191"/>
      <c r="AP750" s="184"/>
      <c r="AQ750" s="193"/>
      <c r="AR750" s="186"/>
      <c r="AS750" s="187"/>
      <c r="AT750" s="188"/>
      <c r="AU750" s="187"/>
      <c r="AV750" s="187"/>
      <c r="AW750" s="177"/>
      <c r="AX750" s="177"/>
      <c r="AY750" s="177"/>
      <c r="AZ750" s="177"/>
      <c r="BA750" s="187"/>
      <c r="BB750" s="180"/>
      <c r="BC750" s="189"/>
      <c r="BD750" s="189"/>
      <c r="BE750" s="189"/>
      <c r="BF750" s="189"/>
      <c r="BG750" s="189"/>
      <c r="BH750" s="189"/>
      <c r="BI750" s="189"/>
      <c r="BJ750" s="189"/>
      <c r="BK750" s="189"/>
      <c r="BL750" s="189"/>
      <c r="BM750" s="189"/>
      <c r="BN750" s="189"/>
      <c r="BO750" s="189"/>
      <c r="BP750" s="189"/>
      <c r="BQ750" s="189"/>
      <c r="BR750" s="189"/>
    </row>
    <row r="751" spans="1:70" s="190" customFormat="1">
      <c r="A751" s="176">
        <v>749</v>
      </c>
      <c r="F751" s="171">
        <v>43154.99832175926</v>
      </c>
      <c r="G751" s="171">
        <v>43154.999861111108</v>
      </c>
      <c r="H751" s="247">
        <f t="shared" si="1136"/>
        <v>1.5393518478958867E-3</v>
      </c>
      <c r="I751" s="173">
        <v>51.1</v>
      </c>
      <c r="J751" s="174" t="s">
        <v>260</v>
      </c>
      <c r="K751" s="175" t="s">
        <v>72</v>
      </c>
      <c r="L751" s="175" t="s">
        <v>73</v>
      </c>
      <c r="M751" s="175">
        <v>-369</v>
      </c>
      <c r="N751" s="176">
        <v>1</v>
      </c>
      <c r="O751" s="176">
        <v>200</v>
      </c>
      <c r="P751" s="175">
        <v>420</v>
      </c>
      <c r="Q751" s="175" t="s">
        <v>150</v>
      </c>
      <c r="R751" s="230" t="s">
        <v>849</v>
      </c>
      <c r="S751" s="177"/>
      <c r="T751" s="177"/>
      <c r="U751" s="175">
        <v>983</v>
      </c>
      <c r="V751" s="178">
        <v>-600</v>
      </c>
      <c r="W751" s="179"/>
      <c r="X751" s="177"/>
      <c r="Y751" s="177"/>
      <c r="Z751" s="177"/>
      <c r="AA751" s="177"/>
      <c r="AB751" s="180"/>
      <c r="AC751" s="174">
        <v>160</v>
      </c>
      <c r="AD751" s="177">
        <v>-110</v>
      </c>
      <c r="AE751" s="177">
        <v>3.94</v>
      </c>
      <c r="AF751" s="177">
        <v>-0.75</v>
      </c>
      <c r="AG751" s="177">
        <v>109.9</v>
      </c>
      <c r="AH751" s="177">
        <v>-110.1</v>
      </c>
      <c r="AI751" s="177">
        <v>3.72</v>
      </c>
      <c r="AJ751" s="174">
        <v>-0.34</v>
      </c>
      <c r="AK751" s="181"/>
      <c r="AL751" s="182" t="s">
        <v>193</v>
      </c>
      <c r="AM751" s="183"/>
      <c r="AN751" s="182"/>
      <c r="AO751" s="191"/>
      <c r="AP751" s="184"/>
      <c r="AQ751" s="193"/>
      <c r="AR751" s="186"/>
      <c r="AS751" s="187"/>
      <c r="AT751" s="188"/>
      <c r="AU751" s="187"/>
      <c r="AV751" s="187"/>
      <c r="AW751" s="177"/>
      <c r="AX751" s="177"/>
      <c r="AY751" s="177"/>
      <c r="AZ751" s="177"/>
      <c r="BA751" s="187"/>
      <c r="BB751" s="180"/>
      <c r="BC751" s="189"/>
      <c r="BD751" s="189"/>
      <c r="BE751" s="189"/>
      <c r="BF751" s="189"/>
      <c r="BG751" s="189"/>
      <c r="BH751" s="189"/>
      <c r="BI751" s="189"/>
      <c r="BJ751" s="189"/>
      <c r="BK751" s="189"/>
      <c r="BL751" s="189"/>
      <c r="BM751" s="189"/>
      <c r="BN751" s="189"/>
      <c r="BO751" s="189"/>
      <c r="BP751" s="189"/>
      <c r="BQ751" s="189"/>
      <c r="BR751" s="189"/>
    </row>
    <row r="752" spans="1:70" s="190" customFormat="1">
      <c r="A752" s="176">
        <v>750</v>
      </c>
      <c r="F752" s="171">
        <v>43154.999976851854</v>
      </c>
      <c r="G752" s="171">
        <v>43155.001539351855</v>
      </c>
      <c r="H752" s="247">
        <f t="shared" si="1136"/>
        <v>1.5625000014551915E-3</v>
      </c>
      <c r="I752" s="173">
        <v>51.1</v>
      </c>
      <c r="J752" s="174" t="s">
        <v>260</v>
      </c>
      <c r="K752" s="175" t="s">
        <v>72</v>
      </c>
      <c r="L752" s="175" t="s">
        <v>73</v>
      </c>
      <c r="M752" s="175">
        <v>-369</v>
      </c>
      <c r="N752" s="176">
        <v>1</v>
      </c>
      <c r="O752" s="176">
        <v>200</v>
      </c>
      <c r="P752" s="175">
        <v>420</v>
      </c>
      <c r="Q752" s="175" t="s">
        <v>150</v>
      </c>
      <c r="R752" s="230" t="s">
        <v>849</v>
      </c>
      <c r="S752" s="177"/>
      <c r="T752" s="177"/>
      <c r="U752" s="175">
        <v>983</v>
      </c>
      <c r="V752" s="178">
        <v>-300</v>
      </c>
      <c r="W752" s="179"/>
      <c r="X752" s="177"/>
      <c r="Y752" s="177"/>
      <c r="Z752" s="177"/>
      <c r="AA752" s="177"/>
      <c r="AB752" s="180"/>
      <c r="AC752" s="174">
        <v>160</v>
      </c>
      <c r="AD752" s="177">
        <v>-110</v>
      </c>
      <c r="AE752" s="177">
        <v>3.94</v>
      </c>
      <c r="AF752" s="177">
        <v>-0.75</v>
      </c>
      <c r="AG752" s="177">
        <v>109.9</v>
      </c>
      <c r="AH752" s="177">
        <v>-110.1</v>
      </c>
      <c r="AI752" s="177">
        <v>3.72</v>
      </c>
      <c r="AJ752" s="174">
        <v>-0.34</v>
      </c>
      <c r="AK752" s="181"/>
      <c r="AL752" s="182" t="s">
        <v>194</v>
      </c>
      <c r="AM752" s="183"/>
      <c r="AN752" s="182"/>
      <c r="AO752" s="191"/>
      <c r="AP752" s="184"/>
      <c r="AQ752" s="193"/>
      <c r="AR752" s="186"/>
      <c r="AS752" s="187"/>
      <c r="AT752" s="188"/>
      <c r="AU752" s="187"/>
      <c r="AV752" s="187"/>
      <c r="AW752" s="177"/>
      <c r="AX752" s="177"/>
      <c r="AY752" s="177"/>
      <c r="AZ752" s="177"/>
      <c r="BA752" s="187"/>
      <c r="BB752" s="180"/>
      <c r="BC752" s="189"/>
      <c r="BD752" s="189"/>
      <c r="BE752" s="189"/>
      <c r="BF752" s="189"/>
      <c r="BG752" s="189"/>
      <c r="BH752" s="189"/>
      <c r="BI752" s="189"/>
      <c r="BJ752" s="189"/>
      <c r="BK752" s="189"/>
      <c r="BL752" s="189"/>
      <c r="BM752" s="189"/>
      <c r="BN752" s="189"/>
      <c r="BO752" s="189"/>
      <c r="BP752" s="189"/>
      <c r="BQ752" s="189"/>
      <c r="BR752" s="189"/>
    </row>
    <row r="753" spans="1:70" s="190" customFormat="1">
      <c r="A753" s="176">
        <v>751</v>
      </c>
      <c r="F753" s="171">
        <v>43155.001747685186</v>
      </c>
      <c r="G753" s="171">
        <v>43155.003344907411</v>
      </c>
      <c r="H753" s="247">
        <f t="shared" si="1136"/>
        <v>1.5972222245181911E-3</v>
      </c>
      <c r="I753" s="173">
        <v>51.1</v>
      </c>
      <c r="J753" s="174" t="s">
        <v>260</v>
      </c>
      <c r="K753" s="175" t="s">
        <v>72</v>
      </c>
      <c r="L753" s="175" t="s">
        <v>73</v>
      </c>
      <c r="M753" s="175">
        <v>-369</v>
      </c>
      <c r="N753" s="176">
        <v>1</v>
      </c>
      <c r="O753" s="176">
        <v>200</v>
      </c>
      <c r="P753" s="175">
        <v>420</v>
      </c>
      <c r="Q753" s="175" t="s">
        <v>150</v>
      </c>
      <c r="R753" s="230" t="s">
        <v>849</v>
      </c>
      <c r="S753" s="177"/>
      <c r="T753" s="177"/>
      <c r="U753" s="175">
        <v>983</v>
      </c>
      <c r="V753" s="178">
        <v>0</v>
      </c>
      <c r="W753" s="179"/>
      <c r="X753" s="177"/>
      <c r="Y753" s="177"/>
      <c r="Z753" s="177"/>
      <c r="AA753" s="177"/>
      <c r="AB753" s="180"/>
      <c r="AC753" s="174">
        <v>160</v>
      </c>
      <c r="AD753" s="177">
        <v>-110</v>
      </c>
      <c r="AE753" s="177">
        <v>3.94</v>
      </c>
      <c r="AF753" s="177">
        <v>-0.75</v>
      </c>
      <c r="AG753" s="177">
        <v>109.9</v>
      </c>
      <c r="AH753" s="177">
        <v>-110.1</v>
      </c>
      <c r="AI753" s="177">
        <v>3.72</v>
      </c>
      <c r="AJ753" s="174">
        <v>-0.34</v>
      </c>
      <c r="AK753" s="181"/>
      <c r="AL753" s="182" t="s">
        <v>195</v>
      </c>
      <c r="AM753" s="183"/>
      <c r="AN753" s="182"/>
      <c r="AO753" s="191"/>
      <c r="AP753" s="184"/>
      <c r="AQ753" s="193"/>
      <c r="AR753" s="186"/>
      <c r="AS753" s="187"/>
      <c r="AT753" s="188"/>
      <c r="AU753" s="187"/>
      <c r="AV753" s="187"/>
      <c r="AW753" s="177"/>
      <c r="AX753" s="177"/>
      <c r="AY753" s="177"/>
      <c r="AZ753" s="177"/>
      <c r="BA753" s="187"/>
      <c r="BB753" s="180"/>
      <c r="BC753" s="189"/>
      <c r="BD753" s="189"/>
      <c r="BE753" s="189"/>
      <c r="BF753" s="189"/>
      <c r="BG753" s="189"/>
      <c r="BH753" s="189"/>
      <c r="BI753" s="189"/>
      <c r="BJ753" s="189"/>
      <c r="BK753" s="189"/>
      <c r="BL753" s="189"/>
      <c r="BM753" s="189"/>
      <c r="BN753" s="189"/>
      <c r="BO753" s="189"/>
      <c r="BP753" s="189"/>
      <c r="BQ753" s="189"/>
      <c r="BR753" s="189"/>
    </row>
    <row r="754" spans="1:70" s="190" customFormat="1">
      <c r="A754" s="176">
        <v>752</v>
      </c>
      <c r="F754" s="171">
        <v>43155.003761574073</v>
      </c>
      <c r="G754" s="171">
        <v>43155.005335648151</v>
      </c>
      <c r="H754" s="247">
        <f t="shared" si="1136"/>
        <v>1.5740740782348439E-3</v>
      </c>
      <c r="I754" s="173">
        <v>51.1</v>
      </c>
      <c r="J754" s="174" t="s">
        <v>260</v>
      </c>
      <c r="K754" s="175" t="s">
        <v>72</v>
      </c>
      <c r="L754" s="175" t="s">
        <v>73</v>
      </c>
      <c r="M754" s="175">
        <v>-369</v>
      </c>
      <c r="N754" s="176">
        <v>1</v>
      </c>
      <c r="O754" s="176">
        <v>200</v>
      </c>
      <c r="P754" s="175">
        <v>420</v>
      </c>
      <c r="Q754" s="175" t="s">
        <v>150</v>
      </c>
      <c r="R754" s="230" t="s">
        <v>849</v>
      </c>
      <c r="S754" s="177"/>
      <c r="T754" s="177"/>
      <c r="U754" s="175">
        <v>983</v>
      </c>
      <c r="V754" s="178">
        <v>350</v>
      </c>
      <c r="W754" s="179"/>
      <c r="X754" s="177"/>
      <c r="Y754" s="177"/>
      <c r="Z754" s="177"/>
      <c r="AA754" s="177"/>
      <c r="AB754" s="180"/>
      <c r="AC754" s="174">
        <v>160</v>
      </c>
      <c r="AD754" s="177">
        <v>-110</v>
      </c>
      <c r="AE754" s="177">
        <v>3.94</v>
      </c>
      <c r="AF754" s="177">
        <v>-0.75</v>
      </c>
      <c r="AG754" s="177">
        <v>109.9</v>
      </c>
      <c r="AH754" s="177">
        <v>-110.1</v>
      </c>
      <c r="AI754" s="177">
        <v>3.72</v>
      </c>
      <c r="AJ754" s="174">
        <v>-0.34</v>
      </c>
      <c r="AK754" s="181"/>
      <c r="AL754" s="182" t="s">
        <v>196</v>
      </c>
      <c r="AM754" s="183"/>
      <c r="AN754" s="182"/>
      <c r="AO754" s="191"/>
      <c r="AP754" s="184"/>
      <c r="AQ754" s="193"/>
      <c r="AR754" s="186"/>
      <c r="AS754" s="187"/>
      <c r="AT754" s="188"/>
      <c r="AU754" s="187"/>
      <c r="AV754" s="187"/>
      <c r="AW754" s="177"/>
      <c r="AX754" s="177"/>
      <c r="AY754" s="177"/>
      <c r="AZ754" s="177"/>
      <c r="BA754" s="187"/>
      <c r="BB754" s="180"/>
      <c r="BC754" s="189"/>
      <c r="BD754" s="189"/>
      <c r="BE754" s="189"/>
      <c r="BF754" s="189"/>
      <c r="BG754" s="189"/>
      <c r="BH754" s="189"/>
      <c r="BI754" s="189"/>
      <c r="BJ754" s="189"/>
      <c r="BK754" s="189"/>
      <c r="BL754" s="189"/>
      <c r="BM754" s="189"/>
      <c r="BN754" s="189"/>
      <c r="BO754" s="189"/>
      <c r="BP754" s="189"/>
      <c r="BQ754" s="189"/>
      <c r="BR754" s="189"/>
    </row>
    <row r="755" spans="1:70" s="190" customFormat="1">
      <c r="A755" s="176">
        <v>753</v>
      </c>
      <c r="F755" s="171">
        <v>43155.005486111113</v>
      </c>
      <c r="G755" s="171">
        <v>43155.007013888891</v>
      </c>
      <c r="H755" s="247">
        <f t="shared" si="1136"/>
        <v>1.527777778392192E-3</v>
      </c>
      <c r="I755" s="173">
        <v>51.1</v>
      </c>
      <c r="J755" s="174" t="s">
        <v>260</v>
      </c>
      <c r="K755" s="175" t="s">
        <v>72</v>
      </c>
      <c r="L755" s="175" t="s">
        <v>73</v>
      </c>
      <c r="M755" s="175">
        <v>-369</v>
      </c>
      <c r="N755" s="176">
        <v>1</v>
      </c>
      <c r="O755" s="176">
        <v>200</v>
      </c>
      <c r="P755" s="175">
        <v>420</v>
      </c>
      <c r="Q755" s="175" t="s">
        <v>150</v>
      </c>
      <c r="R755" s="230" t="s">
        <v>849</v>
      </c>
      <c r="S755" s="177"/>
      <c r="T755" s="177"/>
      <c r="U755" s="175">
        <v>983</v>
      </c>
      <c r="V755" s="178">
        <v>700</v>
      </c>
      <c r="W755" s="179"/>
      <c r="X755" s="177"/>
      <c r="Y755" s="177"/>
      <c r="Z755" s="177"/>
      <c r="AA755" s="177"/>
      <c r="AB755" s="180"/>
      <c r="AC755" s="174">
        <v>160</v>
      </c>
      <c r="AD755" s="177">
        <v>-110</v>
      </c>
      <c r="AE755" s="177">
        <v>3.94</v>
      </c>
      <c r="AF755" s="177">
        <v>-0.75</v>
      </c>
      <c r="AG755" s="177">
        <v>109.9</v>
      </c>
      <c r="AH755" s="177">
        <v>-110.1</v>
      </c>
      <c r="AI755" s="177">
        <v>3.72</v>
      </c>
      <c r="AJ755" s="174">
        <v>-0.34</v>
      </c>
      <c r="AK755" s="181"/>
      <c r="AL755" s="182" t="s">
        <v>197</v>
      </c>
      <c r="AM755" s="183"/>
      <c r="AN755" s="182"/>
      <c r="AO755" s="191"/>
      <c r="AP755" s="184"/>
      <c r="AQ755" s="193"/>
      <c r="AR755" s="186"/>
      <c r="AS755" s="187"/>
      <c r="AT755" s="188"/>
      <c r="AU755" s="187"/>
      <c r="AV755" s="187"/>
      <c r="AW755" s="177"/>
      <c r="AX755" s="177"/>
      <c r="AY755" s="177"/>
      <c r="AZ755" s="177"/>
      <c r="BA755" s="187"/>
      <c r="BB755" s="180"/>
      <c r="BC755" s="189"/>
      <c r="BD755" s="189"/>
      <c r="BE755" s="189"/>
      <c r="BF755" s="189"/>
      <c r="BG755" s="189"/>
      <c r="BH755" s="189"/>
      <c r="BI755" s="189"/>
      <c r="BJ755" s="189"/>
      <c r="BK755" s="189"/>
      <c r="BL755" s="189"/>
      <c r="BM755" s="189"/>
      <c r="BN755" s="189"/>
      <c r="BO755" s="189"/>
      <c r="BP755" s="189"/>
      <c r="BQ755" s="189"/>
      <c r="BR755" s="189"/>
    </row>
    <row r="756" spans="1:70" s="190" customFormat="1">
      <c r="A756" s="176">
        <v>754</v>
      </c>
      <c r="F756" s="171">
        <v>43155.007210648146</v>
      </c>
      <c r="G756" s="171">
        <v>43155.008761574078</v>
      </c>
      <c r="H756" s="247">
        <f t="shared" si="1136"/>
        <v>1.5509259319514968E-3</v>
      </c>
      <c r="I756" s="173">
        <v>51.1</v>
      </c>
      <c r="J756" s="174" t="s">
        <v>260</v>
      </c>
      <c r="K756" s="175" t="s">
        <v>72</v>
      </c>
      <c r="L756" s="175" t="s">
        <v>73</v>
      </c>
      <c r="M756" s="175">
        <v>-369</v>
      </c>
      <c r="N756" s="176">
        <v>1</v>
      </c>
      <c r="O756" s="176">
        <v>200</v>
      </c>
      <c r="P756" s="175">
        <v>420</v>
      </c>
      <c r="Q756" s="175" t="s">
        <v>150</v>
      </c>
      <c r="R756" s="230" t="s">
        <v>849</v>
      </c>
      <c r="S756" s="177"/>
      <c r="T756" s="177"/>
      <c r="U756" s="175">
        <v>983</v>
      </c>
      <c r="V756" s="178">
        <v>1800</v>
      </c>
      <c r="W756" s="179"/>
      <c r="X756" s="177"/>
      <c r="Y756" s="177"/>
      <c r="Z756" s="177"/>
      <c r="AA756" s="177"/>
      <c r="AB756" s="180"/>
      <c r="AC756" s="174">
        <v>160</v>
      </c>
      <c r="AD756" s="177">
        <v>-110</v>
      </c>
      <c r="AE756" s="177">
        <v>3.94</v>
      </c>
      <c r="AF756" s="177">
        <v>-0.75</v>
      </c>
      <c r="AG756" s="177">
        <v>109.9</v>
      </c>
      <c r="AH756" s="177">
        <v>-110.1</v>
      </c>
      <c r="AI756" s="177">
        <v>3.72</v>
      </c>
      <c r="AJ756" s="174">
        <v>-0.34</v>
      </c>
      <c r="AK756" s="181"/>
      <c r="AL756" s="182" t="s">
        <v>443</v>
      </c>
      <c r="AM756" s="183"/>
      <c r="AN756" s="182"/>
      <c r="AO756" s="191"/>
      <c r="AP756" s="184"/>
      <c r="AQ756" s="193"/>
      <c r="AR756" s="186"/>
      <c r="AS756" s="187"/>
      <c r="AT756" s="188"/>
      <c r="AU756" s="187"/>
      <c r="AV756" s="187"/>
      <c r="AW756" s="177"/>
      <c r="AX756" s="177"/>
      <c r="AY756" s="177"/>
      <c r="AZ756" s="177"/>
      <c r="BA756" s="187"/>
      <c r="BB756" s="180"/>
      <c r="BC756" s="189"/>
      <c r="BD756" s="189"/>
      <c r="BE756" s="189"/>
      <c r="BF756" s="189"/>
      <c r="BG756" s="189"/>
      <c r="BH756" s="189"/>
      <c r="BI756" s="189"/>
      <c r="BJ756" s="189"/>
      <c r="BK756" s="189"/>
      <c r="BL756" s="189"/>
      <c r="BM756" s="189"/>
      <c r="BN756" s="189"/>
      <c r="BO756" s="189"/>
      <c r="BP756" s="189"/>
      <c r="BQ756" s="189"/>
      <c r="BR756" s="189"/>
    </row>
    <row r="757" spans="1:70" s="149" customFormat="1">
      <c r="A757" s="138">
        <v>755</v>
      </c>
      <c r="F757" s="133">
        <v>43155.008923611109</v>
      </c>
      <c r="G757" s="133">
        <v>43155.009722222225</v>
      </c>
      <c r="H757" s="245">
        <f t="shared" ref="H757" si="1137">G757-F757</f>
        <v>7.9861111589707434E-4</v>
      </c>
      <c r="I757" s="135">
        <v>51.1</v>
      </c>
      <c r="J757" s="136" t="s">
        <v>260</v>
      </c>
      <c r="K757" s="137" t="s">
        <v>72</v>
      </c>
      <c r="L757" s="137" t="s">
        <v>73</v>
      </c>
      <c r="M757" s="137">
        <v>-369</v>
      </c>
      <c r="N757" s="138">
        <v>1</v>
      </c>
      <c r="O757" s="138">
        <v>200</v>
      </c>
      <c r="P757" s="137">
        <v>420</v>
      </c>
      <c r="Q757" s="137" t="s">
        <v>150</v>
      </c>
      <c r="R757" s="235" t="s">
        <v>849</v>
      </c>
      <c r="S757" s="139"/>
      <c r="T757" s="139"/>
      <c r="U757" s="137">
        <v>983</v>
      </c>
      <c r="V757" s="140">
        <v>2150</v>
      </c>
      <c r="W757" s="141"/>
      <c r="X757" s="139"/>
      <c r="Y757" s="139"/>
      <c r="Z757" s="139"/>
      <c r="AA757" s="139"/>
      <c r="AB757" s="142"/>
      <c r="AC757" s="136">
        <v>160</v>
      </c>
      <c r="AD757" s="139">
        <v>-110</v>
      </c>
      <c r="AE757" s="139">
        <v>3.94</v>
      </c>
      <c r="AF757" s="139">
        <v>-0.75</v>
      </c>
      <c r="AG757" s="139">
        <v>109.9</v>
      </c>
      <c r="AH757" s="139">
        <v>-110.1</v>
      </c>
      <c r="AI757" s="139">
        <v>3.72</v>
      </c>
      <c r="AJ757" s="136">
        <v>-0.34</v>
      </c>
      <c r="AK757" s="143"/>
      <c r="AL757" s="144" t="s">
        <v>832</v>
      </c>
      <c r="AM757" s="145"/>
      <c r="AN757" s="144"/>
      <c r="AO757" s="238"/>
      <c r="AP757" s="239"/>
      <c r="AQ757" s="160"/>
      <c r="AR757" s="241"/>
      <c r="AS757" s="242"/>
      <c r="AT757" s="243"/>
      <c r="AU757" s="261"/>
      <c r="AV757" s="262"/>
      <c r="AW757" s="263"/>
      <c r="AX757" s="139"/>
      <c r="AY757" s="139"/>
      <c r="AZ757" s="139"/>
      <c r="BA757" s="147"/>
      <c r="BB757" s="142"/>
      <c r="BC757" s="148"/>
      <c r="BD757" s="148"/>
      <c r="BE757" s="148"/>
      <c r="BF757" s="148"/>
      <c r="BG757" s="148"/>
      <c r="BH757" s="148"/>
      <c r="BI757" s="148"/>
      <c r="BJ757" s="148"/>
      <c r="BK757" s="148"/>
      <c r="BL757" s="148"/>
      <c r="BM757" s="148"/>
      <c r="BN757" s="148"/>
      <c r="BO757" s="148"/>
      <c r="BP757" s="148"/>
      <c r="BQ757" s="148"/>
      <c r="BR757" s="148"/>
    </row>
    <row r="758" spans="1:70">
      <c r="A758" s="108">
        <v>756</v>
      </c>
      <c r="F758" s="45">
        <v>43154.013483796298</v>
      </c>
      <c r="G758" s="45">
        <v>43154.055046296293</v>
      </c>
      <c r="H758" s="38">
        <f>G758-F758-'user time'!P5-'user time'!P6</f>
        <v>4.0856481476533826E-2</v>
      </c>
      <c r="I758" s="86">
        <v>51.2</v>
      </c>
      <c r="J758" s="109" t="s">
        <v>260</v>
      </c>
      <c r="K758" s="88" t="s">
        <v>72</v>
      </c>
      <c r="L758" s="88" t="s">
        <v>73</v>
      </c>
      <c r="M758" s="88">
        <v>-369</v>
      </c>
      <c r="N758" s="108">
        <v>1</v>
      </c>
      <c r="O758" s="108">
        <v>200</v>
      </c>
      <c r="P758" s="88">
        <v>348</v>
      </c>
      <c r="Q758" s="88" t="s">
        <v>75</v>
      </c>
      <c r="R758" s="88" t="s">
        <v>348</v>
      </c>
      <c r="S758" s="110">
        <v>10000</v>
      </c>
      <c r="T758" s="110">
        <v>980</v>
      </c>
      <c r="U758" s="88">
        <v>983</v>
      </c>
      <c r="V758" s="90">
        <v>1500</v>
      </c>
      <c r="W758" s="111">
        <v>10</v>
      </c>
      <c r="X758" s="110">
        <v>49158</v>
      </c>
      <c r="Y758" s="110">
        <v>862173</v>
      </c>
      <c r="Z758" s="110">
        <v>6602752</v>
      </c>
      <c r="AA758" s="110">
        <v>2036390</v>
      </c>
      <c r="AB758" s="112">
        <v>4596611</v>
      </c>
      <c r="AC758" s="109">
        <v>160</v>
      </c>
      <c r="AD758" s="110">
        <v>-110</v>
      </c>
      <c r="AE758" s="110">
        <v>3.94</v>
      </c>
      <c r="AF758" s="110">
        <v>-0.76</v>
      </c>
      <c r="AG758" s="110">
        <v>109.9</v>
      </c>
      <c r="AH758" s="110">
        <v>-110.1</v>
      </c>
      <c r="AI758" s="110">
        <v>3.71</v>
      </c>
      <c r="AJ758" s="109">
        <v>-0.33</v>
      </c>
      <c r="AK758" s="113" t="s">
        <v>59</v>
      </c>
      <c r="AL758" s="107" t="s">
        <v>181</v>
      </c>
      <c r="AN758" s="107">
        <v>0.94399999999999995</v>
      </c>
      <c r="AO758" s="48">
        <f t="shared" ref="AO758:AO768" si="1138">(HOUR(H758)*60*60+MINUTE(H758)*60+SECOND(H758))/5.2*AA758/W758*AN758</f>
        <v>130498137.01538461</v>
      </c>
      <c r="AP758" s="156">
        <f t="shared" ref="AP758" si="1139">AO758*0.7</f>
        <v>91348695.910769224</v>
      </c>
      <c r="AQ758" s="161">
        <f>AP758+AQ742</f>
        <v>34600282220.315651</v>
      </c>
      <c r="AR758" s="163">
        <f>H758+AR742</f>
        <v>15.36797453702671</v>
      </c>
      <c r="AS758" s="49">
        <f t="shared" ref="AS758" si="1140">I758*(HOUR(H758)*60+MINUTE(H758))/60/(7*24)</f>
        <v>0.29460317460317464</v>
      </c>
      <c r="AT758" s="165">
        <f>AS758+AT742</f>
        <v>105.74938194444434</v>
      </c>
      <c r="AU758" s="254">
        <f t="shared" ref="AU758" si="1141">AA758/W758*AN758</f>
        <v>192235.21599999999</v>
      </c>
      <c r="AV758" s="255">
        <f t="shared" ref="AV758" si="1142">AB758/W758+AA758/W758*(1-AN758)</f>
        <v>471064.88399999996</v>
      </c>
      <c r="AW758" s="256">
        <f t="shared" ref="AW758" si="1143">AU758/AV758</f>
        <v>0.40808649196614705</v>
      </c>
    </row>
    <row r="759" spans="1:70">
      <c r="A759" s="108">
        <v>757</v>
      </c>
      <c r="F759" s="45">
        <v>43154.05505787037</v>
      </c>
      <c r="G759" s="45">
        <v>43154.09710648148</v>
      </c>
      <c r="H759" s="38">
        <f>G759-F759-'user time'!P7</f>
        <v>4.1643518518065803E-2</v>
      </c>
      <c r="I759" s="86">
        <v>51.12</v>
      </c>
      <c r="J759" s="109" t="s">
        <v>260</v>
      </c>
      <c r="K759" s="88" t="s">
        <v>72</v>
      </c>
      <c r="L759" s="88" t="s">
        <v>73</v>
      </c>
      <c r="M759" s="88">
        <v>-369</v>
      </c>
      <c r="N759" s="108">
        <v>1</v>
      </c>
      <c r="O759" s="108">
        <v>200</v>
      </c>
      <c r="P759" s="88">
        <v>348</v>
      </c>
      <c r="Q759" s="88" t="s">
        <v>75</v>
      </c>
      <c r="R759" s="88" t="s">
        <v>348</v>
      </c>
      <c r="S759" s="110">
        <v>10000</v>
      </c>
      <c r="T759" s="110">
        <v>900</v>
      </c>
      <c r="U759" s="88">
        <v>983</v>
      </c>
      <c r="V759" s="90">
        <v>1500</v>
      </c>
      <c r="W759" s="111">
        <v>10</v>
      </c>
      <c r="X759" s="110">
        <v>49520</v>
      </c>
      <c r="Y759" s="110">
        <v>863992</v>
      </c>
      <c r="Z759" s="110">
        <v>6584042</v>
      </c>
      <c r="AA759" s="110">
        <v>2030783</v>
      </c>
      <c r="AB759" s="112">
        <v>4581482</v>
      </c>
      <c r="AC759" s="109">
        <v>160</v>
      </c>
      <c r="AD759" s="110">
        <v>-110</v>
      </c>
      <c r="AE759" s="110">
        <v>3.94</v>
      </c>
      <c r="AF759" s="110">
        <v>-0.76</v>
      </c>
      <c r="AG759" s="110">
        <v>109.9</v>
      </c>
      <c r="AH759" s="110">
        <v>-110.1</v>
      </c>
      <c r="AI759" s="110">
        <v>3.71</v>
      </c>
      <c r="AJ759" s="109">
        <v>-0.33</v>
      </c>
      <c r="AK759" s="113" t="s">
        <v>59</v>
      </c>
      <c r="AL759" s="107" t="s">
        <v>181</v>
      </c>
      <c r="AN759" s="107">
        <v>0.94699999999999995</v>
      </c>
      <c r="AO759" s="48">
        <f t="shared" si="1138"/>
        <v>133067290.39611536</v>
      </c>
      <c r="AP759" s="156">
        <f t="shared" ref="AP759:AP768" si="1144">AO759*0.7</f>
        <v>93147103.277280748</v>
      </c>
      <c r="AQ759" s="161">
        <f t="shared" ref="AQ759:AQ768" si="1145">AP759+AQ758</f>
        <v>34693429323.592934</v>
      </c>
      <c r="AR759" s="163">
        <f t="shared" ref="AR759:AR768" si="1146">H759+AR758</f>
        <v>15.409618055544776</v>
      </c>
      <c r="AS759" s="49">
        <f t="shared" ref="AS759:AS768" si="1147">I759*(HOUR(H759)*60+MINUTE(H759))/60/(7*24)</f>
        <v>0.29921428571428571</v>
      </c>
      <c r="AT759" s="165">
        <f t="shared" ref="AT759:AT768" si="1148">AS759+AT758</f>
        <v>106.04859623015862</v>
      </c>
      <c r="AU759" s="254">
        <f t="shared" ref="AU759:AU768" si="1149">AA759/W759*AN759</f>
        <v>192315.15009999997</v>
      </c>
      <c r="AV759" s="255">
        <f t="shared" ref="AV759:AV768" si="1150">AB759/W759+AA759/W759*(1-AN759)</f>
        <v>468911.34990000003</v>
      </c>
      <c r="AW759" s="256">
        <f t="shared" ref="AW759:AW768" si="1151">AU759/AV759</f>
        <v>0.41013114769137721</v>
      </c>
    </row>
    <row r="760" spans="1:70">
      <c r="A760" s="108">
        <v>758</v>
      </c>
      <c r="F760" s="45">
        <v>43154.097118055557</v>
      </c>
      <c r="G760" s="45">
        <v>43154.139525462961</v>
      </c>
      <c r="H760" s="38">
        <f>G760-F760-'user time'!P8</f>
        <v>4.1527777773886498E-2</v>
      </c>
      <c r="I760" s="86">
        <v>51.27</v>
      </c>
      <c r="J760" s="109" t="s">
        <v>260</v>
      </c>
      <c r="K760" s="88" t="s">
        <v>72</v>
      </c>
      <c r="L760" s="88" t="s">
        <v>73</v>
      </c>
      <c r="M760" s="88">
        <v>-369</v>
      </c>
      <c r="N760" s="108">
        <v>1</v>
      </c>
      <c r="O760" s="108">
        <v>200</v>
      </c>
      <c r="P760" s="88">
        <v>348</v>
      </c>
      <c r="Q760" s="88" t="s">
        <v>75</v>
      </c>
      <c r="R760" s="88" t="s">
        <v>348</v>
      </c>
      <c r="S760" s="110">
        <v>9900</v>
      </c>
      <c r="T760" s="110">
        <v>930</v>
      </c>
      <c r="U760" s="88">
        <v>983</v>
      </c>
      <c r="V760" s="90">
        <v>1500</v>
      </c>
      <c r="W760" s="111">
        <v>10</v>
      </c>
      <c r="X760" s="110">
        <v>49672</v>
      </c>
      <c r="Y760" s="110">
        <v>862750</v>
      </c>
      <c r="Z760" s="110">
        <v>6602730</v>
      </c>
      <c r="AA760" s="110">
        <v>2036677</v>
      </c>
      <c r="AB760" s="112">
        <v>4593954</v>
      </c>
      <c r="AC760" s="109">
        <v>160</v>
      </c>
      <c r="AD760" s="110">
        <v>-110</v>
      </c>
      <c r="AE760" s="110">
        <v>3.94</v>
      </c>
      <c r="AF760" s="110">
        <v>-0.76</v>
      </c>
      <c r="AG760" s="110">
        <v>109.9</v>
      </c>
      <c r="AH760" s="110">
        <v>-110.1</v>
      </c>
      <c r="AI760" s="110">
        <v>3.71</v>
      </c>
      <c r="AJ760" s="109">
        <v>-0.33</v>
      </c>
      <c r="AK760" s="113" t="s">
        <v>59</v>
      </c>
      <c r="AL760" s="107" t="s">
        <v>181</v>
      </c>
      <c r="AN760" s="107">
        <v>0.94299999999999995</v>
      </c>
      <c r="AO760" s="48">
        <f t="shared" si="1138"/>
        <v>132520462.359</v>
      </c>
      <c r="AP760" s="156">
        <f t="shared" si="1144"/>
        <v>92764323.651299998</v>
      </c>
      <c r="AQ760" s="161">
        <f t="shared" si="1145"/>
        <v>34786193647.244232</v>
      </c>
      <c r="AR760" s="163">
        <f>H760+AR759</f>
        <v>15.451145833318662</v>
      </c>
      <c r="AS760" s="49">
        <f t="shared" si="1147"/>
        <v>0.3000922619047619</v>
      </c>
      <c r="AT760" s="165">
        <f t="shared" si="1148"/>
        <v>106.34868849206339</v>
      </c>
      <c r="AU760" s="254">
        <f t="shared" si="1149"/>
        <v>192058.64110000001</v>
      </c>
      <c r="AV760" s="255">
        <f t="shared" si="1150"/>
        <v>471004.45890000003</v>
      </c>
      <c r="AW760" s="256">
        <f t="shared" si="1151"/>
        <v>0.40776395524692133</v>
      </c>
    </row>
    <row r="761" spans="1:70" s="190" customFormat="1">
      <c r="A761" s="176">
        <v>759</v>
      </c>
      <c r="F761" s="171">
        <v>43154.140196759261</v>
      </c>
      <c r="G761" s="171">
        <v>43154.145960648151</v>
      </c>
      <c r="H761" s="247">
        <f>G761-F761</f>
        <v>5.7638888902147301E-3</v>
      </c>
      <c r="I761" s="173">
        <v>51.27</v>
      </c>
      <c r="J761" s="174" t="s">
        <v>260</v>
      </c>
      <c r="K761" s="175" t="s">
        <v>72</v>
      </c>
      <c r="L761" s="175" t="s">
        <v>73</v>
      </c>
      <c r="M761" s="175">
        <v>-369</v>
      </c>
      <c r="N761" s="176">
        <v>1</v>
      </c>
      <c r="O761" s="176">
        <v>200</v>
      </c>
      <c r="P761" s="175">
        <v>348</v>
      </c>
      <c r="Q761" s="175" t="s">
        <v>75</v>
      </c>
      <c r="R761" s="175" t="s">
        <v>836</v>
      </c>
      <c r="S761" s="177"/>
      <c r="T761" s="177"/>
      <c r="U761" s="175">
        <v>983</v>
      </c>
      <c r="V761" s="178">
        <v>1500</v>
      </c>
      <c r="W761" s="179"/>
      <c r="X761" s="177"/>
      <c r="Y761" s="177"/>
      <c r="Z761" s="177"/>
      <c r="AA761" s="177"/>
      <c r="AB761" s="180"/>
      <c r="AC761" s="174">
        <v>160</v>
      </c>
      <c r="AD761" s="177">
        <v>-110</v>
      </c>
      <c r="AE761" s="177">
        <v>3.94</v>
      </c>
      <c r="AF761" s="177">
        <v>-0.76</v>
      </c>
      <c r="AG761" s="177">
        <v>109.9</v>
      </c>
      <c r="AH761" s="177">
        <v>-110.1</v>
      </c>
      <c r="AI761" s="177">
        <v>3.71</v>
      </c>
      <c r="AJ761" s="174">
        <v>-0.33</v>
      </c>
      <c r="AK761" s="181" t="s">
        <v>837</v>
      </c>
      <c r="AL761" s="190" t="s">
        <v>840</v>
      </c>
      <c r="AM761" s="183"/>
      <c r="AN761" s="182"/>
      <c r="AO761" s="209"/>
      <c r="AP761" s="248"/>
      <c r="AQ761" s="210"/>
      <c r="AR761" s="211"/>
      <c r="AS761" s="212"/>
      <c r="AT761" s="213"/>
      <c r="AU761" s="271"/>
      <c r="AV761" s="272"/>
      <c r="AW761" s="273"/>
      <c r="AX761" s="177"/>
      <c r="AY761" s="177"/>
      <c r="AZ761" s="177"/>
      <c r="BA761" s="187"/>
      <c r="BB761" s="180"/>
      <c r="BC761" s="189"/>
      <c r="BD761" s="189"/>
      <c r="BE761" s="189"/>
      <c r="BF761" s="189"/>
      <c r="BG761" s="189"/>
      <c r="BH761" s="189"/>
      <c r="BI761" s="189"/>
      <c r="BJ761" s="189"/>
      <c r="BK761" s="189"/>
      <c r="BL761" s="189"/>
      <c r="BM761" s="189"/>
      <c r="BN761" s="189"/>
      <c r="BO761" s="189"/>
      <c r="BP761" s="189"/>
      <c r="BQ761" s="189"/>
      <c r="BR761" s="189"/>
    </row>
    <row r="762" spans="1:70" s="190" customFormat="1">
      <c r="A762" s="176">
        <v>760</v>
      </c>
      <c r="F762" s="171">
        <v>43154.150439814817</v>
      </c>
      <c r="G762" s="171">
        <v>43154.153506944444</v>
      </c>
      <c r="H762" s="247">
        <f>G762-F762</f>
        <v>3.0671296262880787E-3</v>
      </c>
      <c r="I762" s="173">
        <v>51.27</v>
      </c>
      <c r="J762" s="174" t="s">
        <v>260</v>
      </c>
      <c r="K762" s="175" t="s">
        <v>72</v>
      </c>
      <c r="L762" s="175" t="s">
        <v>73</v>
      </c>
      <c r="M762" s="175">
        <v>-369</v>
      </c>
      <c r="N762" s="176">
        <v>1</v>
      </c>
      <c r="O762" s="176">
        <v>200</v>
      </c>
      <c r="P762" s="175">
        <v>348</v>
      </c>
      <c r="Q762" s="175" t="s">
        <v>75</v>
      </c>
      <c r="R762" s="175" t="s">
        <v>836</v>
      </c>
      <c r="S762" s="177"/>
      <c r="T762" s="177"/>
      <c r="U762" s="175">
        <v>983</v>
      </c>
      <c r="V762" s="178">
        <v>1500</v>
      </c>
      <c r="W762" s="179"/>
      <c r="X762" s="177"/>
      <c r="Y762" s="177"/>
      <c r="Z762" s="177"/>
      <c r="AA762" s="177"/>
      <c r="AB762" s="180"/>
      <c r="AC762" s="174">
        <v>160</v>
      </c>
      <c r="AD762" s="177">
        <v>-110</v>
      </c>
      <c r="AE762" s="177">
        <v>3.94</v>
      </c>
      <c r="AF762" s="177">
        <v>-0.76</v>
      </c>
      <c r="AG762" s="177">
        <v>109.9</v>
      </c>
      <c r="AH762" s="177">
        <v>-110.1</v>
      </c>
      <c r="AI762" s="177">
        <v>3.71</v>
      </c>
      <c r="AJ762" s="174">
        <v>-0.33</v>
      </c>
      <c r="AK762" s="181" t="s">
        <v>838</v>
      </c>
      <c r="AL762" s="182" t="s">
        <v>839</v>
      </c>
      <c r="AM762" s="183"/>
      <c r="AN762" s="182"/>
      <c r="AO762" s="209"/>
      <c r="AP762" s="248"/>
      <c r="AQ762" s="210"/>
      <c r="AR762" s="211"/>
      <c r="AS762" s="212"/>
      <c r="AT762" s="213"/>
      <c r="AU762" s="271"/>
      <c r="AV762" s="272"/>
      <c r="AW762" s="273"/>
      <c r="AX762" s="177"/>
      <c r="AY762" s="177"/>
      <c r="AZ762" s="177"/>
      <c r="BA762" s="187"/>
      <c r="BB762" s="180"/>
      <c r="BC762" s="189"/>
      <c r="BD762" s="189"/>
      <c r="BE762" s="189"/>
      <c r="BF762" s="189"/>
      <c r="BG762" s="189"/>
      <c r="BH762" s="189"/>
      <c r="BI762" s="189"/>
      <c r="BJ762" s="189"/>
      <c r="BK762" s="189"/>
      <c r="BL762" s="189"/>
      <c r="BM762" s="189"/>
      <c r="BN762" s="189"/>
      <c r="BO762" s="189"/>
      <c r="BP762" s="189"/>
      <c r="BQ762" s="189"/>
      <c r="BR762" s="189"/>
    </row>
    <row r="763" spans="1:70" s="149" customFormat="1">
      <c r="A763" s="138">
        <v>761</v>
      </c>
      <c r="F763" s="133"/>
      <c r="G763" s="133"/>
      <c r="H763" s="245"/>
      <c r="I763" s="135"/>
      <c r="J763" s="136"/>
      <c r="K763" s="137"/>
      <c r="L763" s="137"/>
      <c r="M763" s="137"/>
      <c r="N763" s="138"/>
      <c r="O763" s="138"/>
      <c r="P763" s="137"/>
      <c r="Q763" s="137"/>
      <c r="R763" s="137"/>
      <c r="S763" s="139"/>
      <c r="T763" s="139"/>
      <c r="U763" s="137"/>
      <c r="V763" s="140"/>
      <c r="W763" s="141"/>
      <c r="X763" s="139"/>
      <c r="Y763" s="139"/>
      <c r="Z763" s="139"/>
      <c r="AA763" s="139"/>
      <c r="AB763" s="142"/>
      <c r="AC763" s="136"/>
      <c r="AD763" s="139"/>
      <c r="AE763" s="139"/>
      <c r="AF763" s="139"/>
      <c r="AG763" s="139"/>
      <c r="AH763" s="139"/>
      <c r="AI763" s="139"/>
      <c r="AJ763" s="136"/>
      <c r="AK763" s="143"/>
      <c r="AL763" s="144" t="s">
        <v>841</v>
      </c>
      <c r="AM763" s="145"/>
      <c r="AN763" s="144"/>
      <c r="AO763" s="238"/>
      <c r="AP763" s="239"/>
      <c r="AQ763" s="240"/>
      <c r="AR763" s="241"/>
      <c r="AS763" s="242"/>
      <c r="AT763" s="243"/>
      <c r="AU763" s="261"/>
      <c r="AV763" s="262"/>
      <c r="AW763" s="263"/>
      <c r="AX763" s="139"/>
      <c r="AY763" s="139"/>
      <c r="AZ763" s="139"/>
      <c r="BA763" s="147"/>
      <c r="BB763" s="142"/>
      <c r="BC763" s="148"/>
      <c r="BD763" s="148"/>
      <c r="BE763" s="148"/>
      <c r="BF763" s="148"/>
      <c r="BG763" s="148"/>
      <c r="BH763" s="148"/>
      <c r="BI763" s="148"/>
      <c r="BJ763" s="148"/>
      <c r="BK763" s="148"/>
      <c r="BL763" s="148"/>
      <c r="BM763" s="148"/>
      <c r="BN763" s="148"/>
      <c r="BO763" s="148"/>
      <c r="BP763" s="148"/>
      <c r="BQ763" s="148"/>
      <c r="BR763" s="148"/>
    </row>
    <row r="764" spans="1:70">
      <c r="A764" s="108">
        <v>762</v>
      </c>
      <c r="F764" s="45">
        <v>43154.156030092592</v>
      </c>
      <c r="G764" s="45">
        <v>43154.193981481483</v>
      </c>
      <c r="H764" s="38">
        <f>G764-F764-'user time'!P9</f>
        <v>3.7511574076273035E-2</v>
      </c>
      <c r="I764" s="86">
        <v>51.15</v>
      </c>
      <c r="J764" s="109" t="s">
        <v>260</v>
      </c>
      <c r="K764" s="88" t="s">
        <v>72</v>
      </c>
      <c r="L764" s="88" t="s">
        <v>73</v>
      </c>
      <c r="M764" s="88">
        <v>-369</v>
      </c>
      <c r="N764" s="108">
        <v>1</v>
      </c>
      <c r="O764" s="108">
        <v>200</v>
      </c>
      <c r="P764" s="88">
        <v>348</v>
      </c>
      <c r="Q764" s="88" t="s">
        <v>75</v>
      </c>
      <c r="R764" s="88" t="s">
        <v>348</v>
      </c>
      <c r="S764" s="110">
        <v>9900</v>
      </c>
      <c r="T764" s="110">
        <v>920</v>
      </c>
      <c r="U764" s="88">
        <v>983</v>
      </c>
      <c r="V764" s="90">
        <v>1500</v>
      </c>
      <c r="W764" s="111">
        <v>10</v>
      </c>
      <c r="X764" s="110">
        <v>49261</v>
      </c>
      <c r="Y764" s="110">
        <v>862772</v>
      </c>
      <c r="Z764" s="110">
        <v>6483414</v>
      </c>
      <c r="AA764" s="110">
        <v>2045895</v>
      </c>
      <c r="AB764" s="112">
        <v>4478768</v>
      </c>
      <c r="AC764" s="109">
        <v>160</v>
      </c>
      <c r="AD764" s="110">
        <v>-110</v>
      </c>
      <c r="AE764" s="110">
        <v>3.94</v>
      </c>
      <c r="AF764" s="110">
        <v>-0.76</v>
      </c>
      <c r="AG764" s="110">
        <v>109.9</v>
      </c>
      <c r="AH764" s="110">
        <v>-110.1</v>
      </c>
      <c r="AI764" s="110">
        <v>3.72</v>
      </c>
      <c r="AJ764" s="109">
        <v>-0.33</v>
      </c>
      <c r="AK764" s="113" t="s">
        <v>59</v>
      </c>
      <c r="AL764" s="107" t="s">
        <v>238</v>
      </c>
      <c r="AN764" s="107">
        <v>0.94799999999999995</v>
      </c>
      <c r="AO764" s="48">
        <f t="shared" si="1138"/>
        <v>120883594.59346151</v>
      </c>
      <c r="AP764" s="156">
        <f t="shared" si="1144"/>
        <v>84618516.215423048</v>
      </c>
      <c r="AQ764" s="161">
        <f>AP764+AQ760</f>
        <v>34870812163.459656</v>
      </c>
      <c r="AR764" s="163">
        <f>H764+AR760</f>
        <v>15.488657407394935</v>
      </c>
      <c r="AS764" s="49">
        <f t="shared" si="1147"/>
        <v>0.27401785714285715</v>
      </c>
      <c r="AT764" s="165">
        <f>AS764+AT760</f>
        <v>106.62270634920624</v>
      </c>
      <c r="AU764" s="254">
        <f t="shared" si="1149"/>
        <v>193950.84599999999</v>
      </c>
      <c r="AV764" s="255">
        <f t="shared" si="1150"/>
        <v>458515.45400000003</v>
      </c>
      <c r="AW764" s="256">
        <f t="shared" si="1151"/>
        <v>0.42299740239507821</v>
      </c>
    </row>
    <row r="765" spans="1:70">
      <c r="A765" s="108">
        <v>763</v>
      </c>
      <c r="F765" s="45">
        <v>43154.196018518516</v>
      </c>
      <c r="G765" s="45">
        <v>43154.238240740742</v>
      </c>
      <c r="H765" s="38">
        <f>G765-F765</f>
        <v>4.2222222225973383E-2</v>
      </c>
      <c r="I765" s="86">
        <v>51.19</v>
      </c>
      <c r="J765" s="109" t="s">
        <v>260</v>
      </c>
      <c r="K765" s="88" t="s">
        <v>72</v>
      </c>
      <c r="L765" s="88" t="s">
        <v>73</v>
      </c>
      <c r="M765" s="88">
        <v>-369</v>
      </c>
      <c r="N765" s="108">
        <v>1</v>
      </c>
      <c r="O765" s="108">
        <v>200</v>
      </c>
      <c r="P765" s="88">
        <v>348</v>
      </c>
      <c r="Q765" s="88" t="s">
        <v>75</v>
      </c>
      <c r="R765" s="88" t="s">
        <v>348</v>
      </c>
      <c r="S765" s="110">
        <v>9500</v>
      </c>
      <c r="T765" s="110">
        <v>850</v>
      </c>
      <c r="U765" s="88">
        <v>983</v>
      </c>
      <c r="V765" s="90">
        <v>1500</v>
      </c>
      <c r="W765" s="111">
        <v>10</v>
      </c>
      <c r="X765" s="110">
        <v>49449</v>
      </c>
      <c r="Y765" s="110">
        <v>865489</v>
      </c>
      <c r="Z765" s="110">
        <v>6509093</v>
      </c>
      <c r="AA765" s="110">
        <v>2047389</v>
      </c>
      <c r="AB765" s="112">
        <v>4492659</v>
      </c>
      <c r="AC765" s="109">
        <v>160</v>
      </c>
      <c r="AD765" s="110">
        <v>-110</v>
      </c>
      <c r="AE765" s="110">
        <v>3.94</v>
      </c>
      <c r="AF765" s="110">
        <v>-0.76</v>
      </c>
      <c r="AG765" s="110">
        <v>109.9</v>
      </c>
      <c r="AH765" s="110">
        <v>-110.1</v>
      </c>
      <c r="AI765" s="110">
        <v>3.71</v>
      </c>
      <c r="AJ765" s="109">
        <v>-0.34</v>
      </c>
      <c r="AK765" s="113" t="s">
        <v>59</v>
      </c>
      <c r="AL765" s="107" t="s">
        <v>181</v>
      </c>
      <c r="AN765" s="107">
        <v>0.94899999999999995</v>
      </c>
      <c r="AO765" s="48">
        <f t="shared" si="1138"/>
        <v>136306970.06400001</v>
      </c>
      <c r="AP765" s="156">
        <f t="shared" si="1144"/>
        <v>95414879.044799998</v>
      </c>
      <c r="AQ765" s="161">
        <f t="shared" si="1145"/>
        <v>34966227042.504456</v>
      </c>
      <c r="AR765" s="163">
        <f t="shared" si="1146"/>
        <v>15.530879629620909</v>
      </c>
      <c r="AS765" s="49">
        <f t="shared" si="1147"/>
        <v>0.30470238095238089</v>
      </c>
      <c r="AT765" s="165">
        <f t="shared" si="1148"/>
        <v>106.92740873015862</v>
      </c>
      <c r="AU765" s="254">
        <f t="shared" si="1149"/>
        <v>194297.21609999999</v>
      </c>
      <c r="AV765" s="255">
        <f t="shared" si="1150"/>
        <v>459707.58390000003</v>
      </c>
      <c r="AW765" s="256">
        <f t="shared" si="1151"/>
        <v>0.42265392807238389</v>
      </c>
    </row>
    <row r="766" spans="1:70">
      <c r="A766" s="108">
        <v>764</v>
      </c>
      <c r="F766" s="45">
        <v>43154.238252314812</v>
      </c>
      <c r="G766" s="45">
        <v>43154.280312499999</v>
      </c>
      <c r="H766" s="38">
        <f>G766-F766-SUM('user time'!P11:P14)</f>
        <v>4.0497685187438015E-2</v>
      </c>
      <c r="I766" s="86">
        <v>51.27</v>
      </c>
      <c r="J766" s="109" t="s">
        <v>260</v>
      </c>
      <c r="K766" s="88" t="s">
        <v>72</v>
      </c>
      <c r="L766" s="88" t="s">
        <v>73</v>
      </c>
      <c r="M766" s="88">
        <v>-369</v>
      </c>
      <c r="N766" s="108">
        <v>1</v>
      </c>
      <c r="O766" s="108">
        <v>200</v>
      </c>
      <c r="P766" s="88">
        <v>348</v>
      </c>
      <c r="Q766" s="88" t="s">
        <v>75</v>
      </c>
      <c r="R766" s="88" t="s">
        <v>348</v>
      </c>
      <c r="S766" s="110">
        <v>9900</v>
      </c>
      <c r="T766" s="110">
        <v>920</v>
      </c>
      <c r="U766" s="88">
        <v>983</v>
      </c>
      <c r="V766" s="90">
        <v>1500</v>
      </c>
      <c r="W766" s="111">
        <v>10</v>
      </c>
      <c r="X766" s="110">
        <v>49432</v>
      </c>
      <c r="Y766" s="110">
        <v>864763</v>
      </c>
      <c r="Z766" s="110">
        <v>6519709</v>
      </c>
      <c r="AA766" s="110">
        <v>2050093</v>
      </c>
      <c r="AB766" s="112">
        <v>4500963</v>
      </c>
      <c r="AC766" s="109">
        <v>160</v>
      </c>
      <c r="AD766" s="110">
        <v>-110</v>
      </c>
      <c r="AE766" s="110">
        <v>3.94</v>
      </c>
      <c r="AF766" s="110">
        <v>-0.76</v>
      </c>
      <c r="AG766" s="110">
        <v>109.9</v>
      </c>
      <c r="AH766" s="110">
        <v>-110.1</v>
      </c>
      <c r="AI766" s="110">
        <v>3.71</v>
      </c>
      <c r="AJ766" s="109">
        <v>-0.34</v>
      </c>
      <c r="AK766" s="113" t="s">
        <v>59</v>
      </c>
      <c r="AL766" s="107" t="s">
        <v>181</v>
      </c>
      <c r="AN766" s="107">
        <v>0.94899999999999995</v>
      </c>
      <c r="AO766" s="48">
        <f t="shared" si="1138"/>
        <v>130912276.17774998</v>
      </c>
      <c r="AP766" s="156">
        <f t="shared" si="1144"/>
        <v>91638593.324424982</v>
      </c>
      <c r="AQ766" s="161">
        <f t="shared" si="1145"/>
        <v>35057865635.82888</v>
      </c>
      <c r="AR766" s="163">
        <f t="shared" si="1146"/>
        <v>15.571377314808347</v>
      </c>
      <c r="AS766" s="49">
        <f t="shared" si="1147"/>
        <v>0.2950059523809524</v>
      </c>
      <c r="AT766" s="165">
        <f t="shared" si="1148"/>
        <v>107.22241468253956</v>
      </c>
      <c r="AU766" s="254">
        <f t="shared" si="1149"/>
        <v>194553.82569999999</v>
      </c>
      <c r="AV766" s="255">
        <f t="shared" si="1150"/>
        <v>460551.77429999999</v>
      </c>
      <c r="AW766" s="256">
        <f t="shared" si="1151"/>
        <v>0.4224363829576066</v>
      </c>
    </row>
    <row r="767" spans="1:70">
      <c r="A767" s="108">
        <v>765</v>
      </c>
      <c r="F767" s="45">
        <v>43154.280358796299</v>
      </c>
      <c r="G767" s="45">
        <v>43154.322500000002</v>
      </c>
      <c r="H767" s="38">
        <f>G767-F767-SUM('user time'!P15:P17)</f>
        <v>3.9780092591956695E-2</v>
      </c>
      <c r="I767" s="86">
        <v>51.03</v>
      </c>
      <c r="J767" s="109" t="s">
        <v>260</v>
      </c>
      <c r="K767" s="88" t="s">
        <v>72</v>
      </c>
      <c r="L767" s="88" t="s">
        <v>73</v>
      </c>
      <c r="M767" s="88">
        <v>-369</v>
      </c>
      <c r="N767" s="108">
        <v>1</v>
      </c>
      <c r="O767" s="108">
        <v>200</v>
      </c>
      <c r="P767" s="88">
        <v>348</v>
      </c>
      <c r="Q767" s="88" t="s">
        <v>75</v>
      </c>
      <c r="R767" s="88" t="s">
        <v>348</v>
      </c>
      <c r="S767" s="110">
        <v>9900</v>
      </c>
      <c r="T767" s="110">
        <v>918</v>
      </c>
      <c r="U767" s="88">
        <v>983</v>
      </c>
      <c r="V767" s="90">
        <v>1500</v>
      </c>
      <c r="W767" s="111">
        <v>10</v>
      </c>
      <c r="X767" s="110">
        <v>49393</v>
      </c>
      <c r="Y767" s="110">
        <v>862240</v>
      </c>
      <c r="Z767" s="110">
        <v>6467511</v>
      </c>
      <c r="AA767" s="110">
        <v>2042170</v>
      </c>
      <c r="AB767" s="112">
        <v>4455989</v>
      </c>
      <c r="AC767" s="109">
        <v>160</v>
      </c>
      <c r="AD767" s="110">
        <v>-110</v>
      </c>
      <c r="AE767" s="110">
        <v>3.94</v>
      </c>
      <c r="AF767" s="110">
        <v>-0.76</v>
      </c>
      <c r="AG767" s="110">
        <v>109.9</v>
      </c>
      <c r="AH767" s="110">
        <v>-110.1</v>
      </c>
      <c r="AI767" s="110">
        <v>3.71</v>
      </c>
      <c r="AJ767" s="109">
        <v>-0.33</v>
      </c>
      <c r="AK767" s="113" t="s">
        <v>59</v>
      </c>
      <c r="AL767" s="107" t="s">
        <v>181</v>
      </c>
      <c r="AN767" s="107">
        <v>0.94899999999999995</v>
      </c>
      <c r="AO767" s="48">
        <f t="shared" si="1138"/>
        <v>128095623.79249999</v>
      </c>
      <c r="AP767" s="156">
        <f t="shared" si="1144"/>
        <v>89666936.65474999</v>
      </c>
      <c r="AQ767" s="161">
        <f t="shared" si="1145"/>
        <v>35147532572.483627</v>
      </c>
      <c r="AR767" s="163">
        <f t="shared" si="1146"/>
        <v>15.611157407400302</v>
      </c>
      <c r="AS767" s="49">
        <f t="shared" si="1147"/>
        <v>0.2885625</v>
      </c>
      <c r="AT767" s="165">
        <f t="shared" si="1148"/>
        <v>107.51097718253956</v>
      </c>
      <c r="AU767" s="254">
        <f t="shared" si="1149"/>
        <v>193801.93299999999</v>
      </c>
      <c r="AV767" s="255">
        <f t="shared" si="1150"/>
        <v>456013.96700000006</v>
      </c>
      <c r="AW767" s="256">
        <f t="shared" si="1151"/>
        <v>0.42499122181492299</v>
      </c>
    </row>
    <row r="768" spans="1:70">
      <c r="A768" s="108">
        <v>766</v>
      </c>
      <c r="F768" s="45">
        <v>43154.322523148148</v>
      </c>
      <c r="G768" s="45">
        <v>43154.364386574074</v>
      </c>
      <c r="H768" s="38">
        <f>G768-F768-'user time'!P18-'user time'!P19</f>
        <v>4.1087962962876701E-2</v>
      </c>
      <c r="I768" s="86">
        <v>51.35</v>
      </c>
      <c r="J768" s="109" t="s">
        <v>260</v>
      </c>
      <c r="K768" s="88" t="s">
        <v>72</v>
      </c>
      <c r="L768" s="88" t="s">
        <v>73</v>
      </c>
      <c r="M768" s="88">
        <v>-369</v>
      </c>
      <c r="N768" s="108">
        <v>1</v>
      </c>
      <c r="O768" s="108">
        <v>200</v>
      </c>
      <c r="P768" s="88">
        <v>348</v>
      </c>
      <c r="Q768" s="88" t="s">
        <v>75</v>
      </c>
      <c r="R768" s="88" t="s">
        <v>348</v>
      </c>
      <c r="S768" s="110">
        <v>10000</v>
      </c>
      <c r="T768" s="110">
        <v>960</v>
      </c>
      <c r="U768" s="88">
        <v>983</v>
      </c>
      <c r="V768" s="90">
        <v>1500</v>
      </c>
      <c r="W768" s="111">
        <v>10</v>
      </c>
      <c r="X768" s="110">
        <v>49420</v>
      </c>
      <c r="Y768" s="110">
        <v>863660</v>
      </c>
      <c r="Z768" s="110">
        <v>6469788</v>
      </c>
      <c r="AA768" s="110">
        <v>2045318</v>
      </c>
      <c r="AB768" s="112">
        <v>4454726</v>
      </c>
      <c r="AC768" s="109">
        <v>160</v>
      </c>
      <c r="AD768" s="110">
        <v>-110</v>
      </c>
      <c r="AE768" s="110">
        <v>3.94</v>
      </c>
      <c r="AF768" s="110">
        <v>-0.76</v>
      </c>
      <c r="AG768" s="110">
        <v>109.9</v>
      </c>
      <c r="AH768" s="110">
        <v>-110.1</v>
      </c>
      <c r="AI768" s="110">
        <v>3.71</v>
      </c>
      <c r="AJ768" s="109">
        <v>-0.33</v>
      </c>
      <c r="AK768" s="113" t="s">
        <v>59</v>
      </c>
      <c r="AL768" s="107" t="s">
        <v>181</v>
      </c>
      <c r="AN768" s="107">
        <v>0.95199999999999996</v>
      </c>
      <c r="AO768" s="48">
        <f t="shared" si="1138"/>
        <v>132929936.78461535</v>
      </c>
      <c r="AP768" s="156">
        <f t="shared" si="1144"/>
        <v>93050955.749230742</v>
      </c>
      <c r="AQ768" s="161">
        <f t="shared" si="1145"/>
        <v>35240583528.232857</v>
      </c>
      <c r="AR768" s="163">
        <f t="shared" si="1146"/>
        <v>15.652245370363179</v>
      </c>
      <c r="AS768" s="49">
        <f t="shared" si="1147"/>
        <v>0.30056051587301585</v>
      </c>
      <c r="AT768" s="165">
        <f t="shared" si="1148"/>
        <v>107.81153769841258</v>
      </c>
      <c r="AU768" s="254">
        <f t="shared" si="1149"/>
        <v>194714.27359999999</v>
      </c>
      <c r="AV768" s="255">
        <f t="shared" si="1150"/>
        <v>455290.12640000001</v>
      </c>
      <c r="AW768" s="256">
        <f t="shared" si="1151"/>
        <v>0.42767075829123447</v>
      </c>
    </row>
    <row r="769" spans="1:49">
      <c r="A769" s="108">
        <v>767</v>
      </c>
      <c r="F769" s="45">
        <v>43154.36440972222</v>
      </c>
      <c r="G769" s="45">
        <v>43154.40724537037</v>
      </c>
      <c r="H769" s="38">
        <f>G769-F769-'user time'!P20</f>
        <v>4.040509259422026E-2</v>
      </c>
      <c r="I769" s="86">
        <v>51.17</v>
      </c>
      <c r="J769" s="109" t="s">
        <v>260</v>
      </c>
      <c r="K769" s="88" t="s">
        <v>72</v>
      </c>
      <c r="L769" s="88" t="s">
        <v>73</v>
      </c>
      <c r="M769" s="88">
        <v>-369</v>
      </c>
      <c r="N769" s="108">
        <v>1</v>
      </c>
      <c r="O769" s="108">
        <v>200</v>
      </c>
      <c r="P769" s="88">
        <v>348</v>
      </c>
      <c r="Q769" s="88" t="s">
        <v>75</v>
      </c>
      <c r="R769" s="88" t="s">
        <v>348</v>
      </c>
      <c r="S769" s="110">
        <v>10000</v>
      </c>
      <c r="T769" s="110">
        <v>916</v>
      </c>
      <c r="U769" s="88">
        <v>983</v>
      </c>
      <c r="V769" s="90">
        <v>1500</v>
      </c>
      <c r="W769" s="111">
        <v>10</v>
      </c>
      <c r="X769" s="110">
        <v>49003</v>
      </c>
      <c r="Y769" s="110">
        <v>863357</v>
      </c>
      <c r="Z769" s="110">
        <v>6481167</v>
      </c>
      <c r="AA769" s="110">
        <v>2048086</v>
      </c>
      <c r="AB769" s="112">
        <v>4463044</v>
      </c>
      <c r="AC769" s="109">
        <v>160</v>
      </c>
      <c r="AD769" s="110">
        <v>-110</v>
      </c>
      <c r="AE769" s="110">
        <v>3.94</v>
      </c>
      <c r="AF769" s="110">
        <v>-0.76</v>
      </c>
      <c r="AG769" s="110">
        <v>109.9</v>
      </c>
      <c r="AH769" s="110">
        <v>-110.1</v>
      </c>
      <c r="AI769" s="110">
        <v>3.71</v>
      </c>
      <c r="AJ769" s="109">
        <v>-0.33</v>
      </c>
      <c r="AK769" s="113" t="s">
        <v>59</v>
      </c>
      <c r="AL769" s="107" t="s">
        <v>181</v>
      </c>
      <c r="AN769" s="107">
        <v>0.95</v>
      </c>
      <c r="AO769" s="48">
        <f t="shared" ref="AO769:AO770" si="1152">(HOUR(H769)*60*60+MINUTE(H769)*60+SECOND(H769))/5.2*AA769/W769*AN769</f>
        <v>130622592.59038459</v>
      </c>
      <c r="AP769" s="156">
        <f t="shared" ref="AP769:AP770" si="1153">AO769*0.7</f>
        <v>91435814.813269213</v>
      </c>
      <c r="AQ769" s="161">
        <f>AP769+AQ768</f>
        <v>35332019343.046127</v>
      </c>
      <c r="AR769" s="163">
        <f t="shared" ref="AR769" si="1154">H769+AR768</f>
        <v>15.692650462957399</v>
      </c>
      <c r="AS769" s="49">
        <f t="shared" ref="AS769" si="1155">I769*(HOUR(H769)*60+MINUTE(H769))/60/(7*24)</f>
        <v>0.29443055555555558</v>
      </c>
      <c r="AT769" s="165">
        <f t="shared" ref="AT769" si="1156">AS769+AT768</f>
        <v>108.10596825396813</v>
      </c>
      <c r="AU769" s="254">
        <f t="shared" ref="AU769:AU770" si="1157">AA769/W769*AN769</f>
        <v>194568.16999999998</v>
      </c>
      <c r="AV769" s="255">
        <f t="shared" ref="AV769:AV770" si="1158">AB769/W769+AA769/W769*(1-AN769)</f>
        <v>456544.83</v>
      </c>
      <c r="AW769" s="256">
        <f t="shared" ref="AW769:AW770" si="1159">AU769/AV769</f>
        <v>0.42617538785840586</v>
      </c>
    </row>
    <row r="770" spans="1:49">
      <c r="A770" s="108">
        <v>768</v>
      </c>
      <c r="F770" s="45">
        <v>43154.407280092593</v>
      </c>
      <c r="G770" s="45">
        <v>43154.449791666666</v>
      </c>
      <c r="H770" s="38">
        <f>G770-F770-SUM('user time'!P21:P23)</f>
        <v>3.9733796294927348E-2</v>
      </c>
      <c r="I770" s="86">
        <v>51.16</v>
      </c>
      <c r="J770" s="109" t="s">
        <v>260</v>
      </c>
      <c r="K770" s="88" t="s">
        <v>72</v>
      </c>
      <c r="L770" s="88" t="s">
        <v>73</v>
      </c>
      <c r="M770" s="88">
        <v>-369</v>
      </c>
      <c r="N770" s="108">
        <v>1</v>
      </c>
      <c r="O770" s="108">
        <v>200</v>
      </c>
      <c r="P770" s="88">
        <v>348</v>
      </c>
      <c r="Q770" s="88" t="s">
        <v>75</v>
      </c>
      <c r="R770" s="88" t="s">
        <v>348</v>
      </c>
      <c r="S770" s="110">
        <v>9900</v>
      </c>
      <c r="T770" s="110">
        <v>921</v>
      </c>
      <c r="U770" s="88">
        <v>983</v>
      </c>
      <c r="V770" s="90">
        <v>1500</v>
      </c>
      <c r="W770" s="111">
        <v>10</v>
      </c>
      <c r="X770" s="110">
        <v>48910</v>
      </c>
      <c r="Y770" s="110">
        <v>864626</v>
      </c>
      <c r="Z770" s="110">
        <v>6475345</v>
      </c>
      <c r="AA770" s="110">
        <v>2047193</v>
      </c>
      <c r="AB770" s="112">
        <v>4457912</v>
      </c>
      <c r="AC770" s="109">
        <v>160</v>
      </c>
      <c r="AD770" s="110">
        <v>-110</v>
      </c>
      <c r="AE770" s="110">
        <v>3.94</v>
      </c>
      <c r="AF770" s="110">
        <v>-0.76</v>
      </c>
      <c r="AG770" s="110">
        <v>109.9</v>
      </c>
      <c r="AH770" s="110">
        <v>-110.1</v>
      </c>
      <c r="AI770" s="110">
        <v>3.71</v>
      </c>
      <c r="AJ770" s="109">
        <v>-0.33</v>
      </c>
      <c r="AK770" s="113" t="s">
        <v>59</v>
      </c>
      <c r="AL770" s="107" t="s">
        <v>181</v>
      </c>
      <c r="AN770" s="107">
        <v>0.95399999999999996</v>
      </c>
      <c r="AO770" s="48">
        <f t="shared" ref="AO770" si="1160">(HOUR(H770)*60*60+MINUTE(H770)*60+SECOND(H770))/5.2*AA770/W770*AN770</f>
        <v>128937018.16973074</v>
      </c>
      <c r="AP770" s="156">
        <f t="shared" ref="AP770" si="1161">AO770*0.7</f>
        <v>90255912.718811512</v>
      </c>
      <c r="AQ770" s="161">
        <f>AP770+AQ769</f>
        <v>35422275255.764938</v>
      </c>
      <c r="AR770" s="163">
        <f t="shared" ref="AR770" si="1162">H770+AR769</f>
        <v>15.732384259252326</v>
      </c>
      <c r="AS770" s="49">
        <f t="shared" ref="AS770" si="1163">I770*(HOUR(H770)*60+MINUTE(H770))/60/(7*24)</f>
        <v>0.28929761904761903</v>
      </c>
      <c r="AT770" s="165">
        <f t="shared" ref="AT770" si="1164">AS770+AT769</f>
        <v>108.39526587301575</v>
      </c>
      <c r="AU770" s="254">
        <f t="shared" ref="AU770" si="1165">AA770/W770*AN770</f>
        <v>195302.21219999998</v>
      </c>
      <c r="AV770" s="255">
        <f t="shared" ref="AV770" si="1166">AB770/W770+AA770/W770*(1-AN770)</f>
        <v>455208.28780000005</v>
      </c>
      <c r="AW770" s="256">
        <f t="shared" ref="AW770" si="1167">AU770/AV770</f>
        <v>0.42903922761135627</v>
      </c>
    </row>
    <row r="771" spans="1:49">
      <c r="A771" s="108">
        <v>769</v>
      </c>
      <c r="F771" s="45">
        <v>43154.449965277781</v>
      </c>
      <c r="G771" s="45">
        <v>43154.493738425925</v>
      </c>
      <c r="H771" s="38">
        <f>G771-F771-'user time'!P24-'user time'!P25</f>
        <v>1.9976851847076593E-2</v>
      </c>
      <c r="I771" s="86">
        <v>51.13</v>
      </c>
      <c r="J771" s="109" t="s">
        <v>260</v>
      </c>
      <c r="K771" s="88" t="s">
        <v>72</v>
      </c>
      <c r="L771" s="88" t="s">
        <v>73</v>
      </c>
      <c r="M771" s="88">
        <v>-369</v>
      </c>
      <c r="N771" s="108">
        <v>1</v>
      </c>
      <c r="O771" s="108">
        <v>200</v>
      </c>
      <c r="P771" s="88">
        <v>348</v>
      </c>
      <c r="Q771" s="88" t="s">
        <v>75</v>
      </c>
      <c r="R771" s="88" t="s">
        <v>348</v>
      </c>
      <c r="S771" s="110">
        <v>10000</v>
      </c>
      <c r="T771" s="110">
        <v>914</v>
      </c>
      <c r="U771" s="88">
        <v>983</v>
      </c>
      <c r="V771" s="90">
        <v>1500</v>
      </c>
      <c r="W771" s="111">
        <v>10</v>
      </c>
      <c r="X771" s="110">
        <v>49729</v>
      </c>
      <c r="Y771" s="110">
        <v>865046</v>
      </c>
      <c r="Z771" s="110">
        <v>6467154</v>
      </c>
      <c r="AA771" s="110">
        <v>2035721</v>
      </c>
      <c r="AB771" s="112">
        <v>4461060</v>
      </c>
      <c r="AC771" s="109">
        <v>160</v>
      </c>
      <c r="AD771" s="110">
        <v>-110</v>
      </c>
      <c r="AE771" s="110">
        <v>3.94</v>
      </c>
      <c r="AF771" s="110">
        <v>-0.77</v>
      </c>
      <c r="AG771" s="110">
        <v>109.9</v>
      </c>
      <c r="AH771" s="110">
        <v>-110.1</v>
      </c>
      <c r="AI771" s="110">
        <v>3.71</v>
      </c>
      <c r="AJ771" s="109">
        <v>-0.33</v>
      </c>
      <c r="AK771" s="113" t="s">
        <v>59</v>
      </c>
      <c r="AL771" s="107" t="s">
        <v>853</v>
      </c>
      <c r="AN771" s="107">
        <v>0.94399999999999995</v>
      </c>
      <c r="AO771" s="48">
        <f t="shared" ref="AO771" si="1168">(HOUR(H771)*60*60+MINUTE(H771)*60+SECOND(H771))/5.2*AA771/W771*AN771</f>
        <v>63786342.250461534</v>
      </c>
      <c r="AP771" s="156">
        <f t="shared" ref="AP771" si="1169">AO771*0.7</f>
        <v>44650439.575323068</v>
      </c>
      <c r="AQ771" s="161">
        <f>AP771+AQ770</f>
        <v>35466925695.340263</v>
      </c>
      <c r="AR771" s="163">
        <f t="shared" ref="AR771" si="1170">H771+AR770</f>
        <v>15.752361111099402</v>
      </c>
      <c r="AS771" s="49">
        <f t="shared" ref="AS771" si="1171">I771*(HOUR(H771)*60+MINUTE(H771))/60/(7*24)</f>
        <v>0.14202777777777778</v>
      </c>
      <c r="AT771" s="165">
        <f t="shared" ref="AT771" si="1172">AS771+AT770</f>
        <v>108.53729365079353</v>
      </c>
      <c r="AU771" s="254">
        <f t="shared" ref="AU771" si="1173">AA771/W771*AN771</f>
        <v>192172.0624</v>
      </c>
      <c r="AV771" s="255">
        <f t="shared" ref="AV771" si="1174">AB771/W771+AA771/W771*(1-AN771)</f>
        <v>457506.03760000004</v>
      </c>
      <c r="AW771" s="256">
        <f t="shared" ref="AW771" si="1175">AU771/AV771</f>
        <v>0.42004268054712984</v>
      </c>
    </row>
    <row r="772" spans="1:49">
      <c r="A772" s="108">
        <v>770</v>
      </c>
      <c r="F772" s="45">
        <v>43154.493761574071</v>
      </c>
      <c r="G772" s="45">
        <v>43154.536828703705</v>
      </c>
      <c r="H772" s="38">
        <f>G772-F772-'user time'!P26-'user time'!P27</f>
        <v>4.2384259264066748E-2</v>
      </c>
      <c r="I772" s="86">
        <v>51.19</v>
      </c>
      <c r="J772" s="109" t="s">
        <v>260</v>
      </c>
      <c r="K772" s="88" t="s">
        <v>72</v>
      </c>
      <c r="L772" s="88" t="s">
        <v>73</v>
      </c>
      <c r="M772" s="88">
        <v>-369</v>
      </c>
      <c r="N772" s="108">
        <v>1</v>
      </c>
      <c r="O772" s="108">
        <v>200</v>
      </c>
      <c r="P772" s="88">
        <v>348</v>
      </c>
      <c r="Q772" s="88" t="s">
        <v>75</v>
      </c>
      <c r="R772" s="88" t="s">
        <v>348</v>
      </c>
      <c r="S772" s="110">
        <v>10000</v>
      </c>
      <c r="T772" s="110">
        <v>919</v>
      </c>
      <c r="U772" s="88">
        <v>983</v>
      </c>
      <c r="V772" s="90">
        <v>1500</v>
      </c>
      <c r="W772" s="111">
        <v>10</v>
      </c>
      <c r="X772" s="110">
        <v>49379</v>
      </c>
      <c r="Y772" s="110">
        <v>864656</v>
      </c>
      <c r="Z772" s="110">
        <v>6386844</v>
      </c>
      <c r="AA772" s="110">
        <v>2008704</v>
      </c>
      <c r="AB772" s="112">
        <v>4408136</v>
      </c>
      <c r="AC772" s="109">
        <v>160</v>
      </c>
      <c r="AD772" s="110">
        <v>-110</v>
      </c>
      <c r="AE772" s="110">
        <v>3.94</v>
      </c>
      <c r="AF772" s="110">
        <v>-0.77</v>
      </c>
      <c r="AG772" s="110">
        <v>109.9</v>
      </c>
      <c r="AH772" s="110">
        <v>-110.1</v>
      </c>
      <c r="AI772" s="110">
        <v>3.71</v>
      </c>
      <c r="AJ772" s="109">
        <v>-0.33</v>
      </c>
      <c r="AK772" s="113" t="s">
        <v>59</v>
      </c>
      <c r="AL772" s="107" t="s">
        <v>181</v>
      </c>
      <c r="AN772" s="107">
        <v>0.93700000000000006</v>
      </c>
      <c r="AO772" s="48">
        <f t="shared" ref="AO772" si="1176">(HOUR(H772)*60*60+MINUTE(H772)*60+SECOND(H772))/5.2*AA772/W772*AN772</f>
        <v>132547191.98030768</v>
      </c>
      <c r="AP772" s="156">
        <f t="shared" ref="AP772" si="1177">AO772*0.7</f>
        <v>92783034.386215374</v>
      </c>
      <c r="AQ772" s="161">
        <f>AP772+AQ771</f>
        <v>35559708729.726479</v>
      </c>
      <c r="AR772" s="163">
        <f t="shared" ref="AR772" si="1178">H772+AR771</f>
        <v>15.794745370363469</v>
      </c>
      <c r="AS772" s="49">
        <f t="shared" ref="AS772" si="1179">I772*(HOUR(H772)*60+MINUTE(H772))/60/(7*24)</f>
        <v>0.30978075396825394</v>
      </c>
      <c r="AT772" s="165">
        <f t="shared" ref="AT772" si="1180">AS772+AT771</f>
        <v>108.84707440476178</v>
      </c>
      <c r="AU772" s="254">
        <f t="shared" ref="AU772" si="1181">AA772/W772*AN772</f>
        <v>188215.56479999999</v>
      </c>
      <c r="AV772" s="255">
        <f t="shared" ref="AV772" si="1182">AB772/W772+AA772/W772*(1-AN772)</f>
        <v>453468.43519999995</v>
      </c>
      <c r="AW772" s="256">
        <f t="shared" ref="AW772" si="1183">AU772/AV772</f>
        <v>0.41505769793434127</v>
      </c>
    </row>
    <row r="773" spans="1:49">
      <c r="A773" s="108">
        <v>771</v>
      </c>
      <c r="F773" s="45">
        <v>43154.538171296299</v>
      </c>
      <c r="G773" s="45">
        <v>43154.578530092593</v>
      </c>
      <c r="H773" s="38">
        <f>G773-F773</f>
        <v>4.0358796293730848E-2</v>
      </c>
      <c r="I773" s="86">
        <v>51.04</v>
      </c>
      <c r="J773" s="109" t="s">
        <v>260</v>
      </c>
      <c r="K773" s="88" t="s">
        <v>72</v>
      </c>
      <c r="L773" s="88" t="s">
        <v>73</v>
      </c>
      <c r="M773" s="88">
        <v>-369</v>
      </c>
      <c r="N773" s="108">
        <v>1</v>
      </c>
      <c r="O773" s="108">
        <v>200</v>
      </c>
      <c r="P773" s="88">
        <v>348</v>
      </c>
      <c r="Q773" s="88" t="s">
        <v>75</v>
      </c>
      <c r="R773" s="88" t="s">
        <v>348</v>
      </c>
      <c r="S773" s="110">
        <v>10300</v>
      </c>
      <c r="T773" s="110">
        <v>916</v>
      </c>
      <c r="U773" s="88">
        <v>983</v>
      </c>
      <c r="V773" s="90">
        <v>1500</v>
      </c>
      <c r="W773" s="111">
        <v>10</v>
      </c>
      <c r="X773" s="110">
        <v>49292</v>
      </c>
      <c r="Y773" s="110">
        <v>861529</v>
      </c>
      <c r="Z773" s="110">
        <v>6952713</v>
      </c>
      <c r="AA773" s="110">
        <v>2096033</v>
      </c>
      <c r="AB773" s="112">
        <v>4891787</v>
      </c>
      <c r="AC773" s="109">
        <v>160</v>
      </c>
      <c r="AD773" s="110">
        <v>-110</v>
      </c>
      <c r="AE773" s="110">
        <v>3.94</v>
      </c>
      <c r="AF773" s="110">
        <v>-0.77</v>
      </c>
      <c r="AG773" s="110">
        <v>109.9</v>
      </c>
      <c r="AH773" s="110">
        <v>-110.1</v>
      </c>
      <c r="AI773" s="110">
        <v>3.69</v>
      </c>
      <c r="AJ773" s="109">
        <v>-0.3</v>
      </c>
      <c r="AK773" s="113" t="s">
        <v>59</v>
      </c>
      <c r="AL773" s="107" t="s">
        <v>876</v>
      </c>
      <c r="AN773" s="107">
        <v>0.94499999999999995</v>
      </c>
      <c r="AO773" s="48">
        <f t="shared" ref="AO773" si="1184">(HOUR(H773)*60*60+MINUTE(H773)*60+SECOND(H773))/5.2*AA773/W773*AN773</f>
        <v>132824603.5018269</v>
      </c>
      <c r="AP773" s="156">
        <f t="shared" ref="AP773" si="1185">AO773*0.7</f>
        <v>92977222.451278821</v>
      </c>
      <c r="AQ773" s="161">
        <f>AP773+AQ772</f>
        <v>35652685952.177757</v>
      </c>
      <c r="AR773" s="163">
        <f t="shared" ref="AR773" si="1186">H773+AR772</f>
        <v>15.835104166657199</v>
      </c>
      <c r="AS773" s="49">
        <f t="shared" ref="AS773" si="1187">I773*(HOUR(H773)*60+MINUTE(H773))/60/(7*24)</f>
        <v>0.29368253968253971</v>
      </c>
      <c r="AT773" s="165">
        <f t="shared" ref="AT773" si="1188">AS773+AT772</f>
        <v>109.14075694444432</v>
      </c>
      <c r="AU773" s="254">
        <f t="shared" ref="AU773" si="1189">AA773/W773*AN773</f>
        <v>198075.11849999998</v>
      </c>
      <c r="AV773" s="255">
        <f t="shared" ref="AV773" si="1190">AB773/W773+AA773/W773*(1-AN773)</f>
        <v>500706.88150000002</v>
      </c>
      <c r="AW773" s="256">
        <f t="shared" ref="AW773" si="1191">AU773/AV773</f>
        <v>0.39559096513036435</v>
      </c>
    </row>
    <row r="774" spans="1:49">
      <c r="A774" s="108">
        <v>772</v>
      </c>
      <c r="F774" s="45">
        <v>43154.578553240739</v>
      </c>
      <c r="G774" s="45">
        <v>43154.62332175926</v>
      </c>
      <c r="H774" s="38">
        <f>G774-F774-'user time'!P28</f>
        <v>4.019675926160915E-2</v>
      </c>
      <c r="I774" s="86">
        <v>51.1</v>
      </c>
      <c r="J774" s="109" t="s">
        <v>260</v>
      </c>
      <c r="K774" s="88" t="s">
        <v>72</v>
      </c>
      <c r="L774" s="88" t="s">
        <v>73</v>
      </c>
      <c r="M774" s="88">
        <v>-369</v>
      </c>
      <c r="N774" s="108">
        <v>1</v>
      </c>
      <c r="O774" s="108">
        <v>200</v>
      </c>
      <c r="P774" s="88">
        <v>348</v>
      </c>
      <c r="Q774" s="88" t="s">
        <v>75</v>
      </c>
      <c r="R774" s="88" t="s">
        <v>348</v>
      </c>
      <c r="S774" s="110">
        <v>10200</v>
      </c>
      <c r="T774" s="110">
        <v>937</v>
      </c>
      <c r="U774" s="88">
        <v>983</v>
      </c>
      <c r="V774" s="90">
        <v>1500</v>
      </c>
      <c r="W774" s="111">
        <v>10</v>
      </c>
      <c r="X774" s="110">
        <v>49359</v>
      </c>
      <c r="Y774" s="110">
        <v>862249</v>
      </c>
      <c r="Z774" s="110">
        <v>6977423</v>
      </c>
      <c r="AA774" s="110">
        <v>2104722</v>
      </c>
      <c r="AB774" s="112">
        <v>4907308</v>
      </c>
      <c r="AC774" s="109">
        <v>160</v>
      </c>
      <c r="AD774" s="110">
        <v>-109.9</v>
      </c>
      <c r="AE774" s="110">
        <v>3.94</v>
      </c>
      <c r="AF774" s="110">
        <v>-0.77</v>
      </c>
      <c r="AG774" s="110">
        <v>109.9</v>
      </c>
      <c r="AH774" s="110">
        <v>-110.1</v>
      </c>
      <c r="AI774" s="110">
        <v>3.69</v>
      </c>
      <c r="AJ774" s="109">
        <v>-0.31</v>
      </c>
      <c r="AK774" s="113" t="s">
        <v>59</v>
      </c>
      <c r="AL774" s="107" t="s">
        <v>181</v>
      </c>
      <c r="AN774" s="107">
        <v>0.94</v>
      </c>
      <c r="AO774" s="48">
        <f t="shared" ref="AO774:AO775" si="1192">(HOUR(H774)*60*60+MINUTE(H774)*60+SECOND(H774))/5.2*AA774/W774*AN774</f>
        <v>132136875.68538459</v>
      </c>
      <c r="AP774" s="156">
        <f t="shared" ref="AP774:AP775" si="1193">AO774*0.7</f>
        <v>92495812.9797692</v>
      </c>
      <c r="AQ774" s="161">
        <f>AP774+AQ773</f>
        <v>35745181765.157524</v>
      </c>
      <c r="AR774" s="163">
        <f t="shared" ref="AR774" si="1194">H774+AR773</f>
        <v>15.875300925918809</v>
      </c>
      <c r="AS774" s="49">
        <f t="shared" ref="AS774" si="1195">I774*(HOUR(H774)*60+MINUTE(H774))/60/(7*24)</f>
        <v>0.28895833333333332</v>
      </c>
      <c r="AT774" s="165">
        <f t="shared" ref="AT774" si="1196">AS774+AT773</f>
        <v>109.42971527777765</v>
      </c>
      <c r="AU774" s="254">
        <f t="shared" ref="AU774:AU775" si="1197">AA774/W774*AN774</f>
        <v>197843.86799999999</v>
      </c>
      <c r="AV774" s="255">
        <f t="shared" ref="AV774:AV775" si="1198">AB774/W774+AA774/W774*(1-AN774)</f>
        <v>503359.13199999998</v>
      </c>
      <c r="AW774" s="256">
        <f t="shared" ref="AW774:AW775" si="1199">AU774/AV774</f>
        <v>0.39304714153869763</v>
      </c>
    </row>
    <row r="775" spans="1:49">
      <c r="A775" s="108">
        <v>773</v>
      </c>
      <c r="F775" s="45">
        <v>43154.623831018522</v>
      </c>
      <c r="G775" s="45">
        <v>43154.66574074074</v>
      </c>
      <c r="H775" s="38">
        <f>G775-F775</f>
        <v>4.1909722218406387E-2</v>
      </c>
      <c r="I775" s="86">
        <v>51.13</v>
      </c>
      <c r="J775" s="109" t="s">
        <v>260</v>
      </c>
      <c r="K775" s="88" t="s">
        <v>72</v>
      </c>
      <c r="L775" s="88" t="s">
        <v>73</v>
      </c>
      <c r="M775" s="88">
        <v>-369</v>
      </c>
      <c r="N775" s="108">
        <v>1</v>
      </c>
      <c r="O775" s="108">
        <v>200</v>
      </c>
      <c r="P775" s="88">
        <v>348</v>
      </c>
      <c r="Q775" s="88" t="s">
        <v>75</v>
      </c>
      <c r="R775" s="88" t="s">
        <v>348</v>
      </c>
      <c r="S775" s="110">
        <v>10400</v>
      </c>
      <c r="T775" s="110">
        <v>950</v>
      </c>
      <c r="U775" s="88">
        <v>983</v>
      </c>
      <c r="V775" s="90">
        <v>1500</v>
      </c>
      <c r="W775" s="111">
        <v>10</v>
      </c>
      <c r="X775" s="110">
        <v>49473</v>
      </c>
      <c r="Y775" s="110">
        <v>863141</v>
      </c>
      <c r="Z775" s="110">
        <v>6950287</v>
      </c>
      <c r="AA775" s="110">
        <v>2097768</v>
      </c>
      <c r="AB775" s="112">
        <v>4887537</v>
      </c>
      <c r="AC775" s="109">
        <v>160</v>
      </c>
      <c r="AD775" s="110">
        <v>-109.9</v>
      </c>
      <c r="AE775" s="110">
        <v>3.94</v>
      </c>
      <c r="AF775" s="110">
        <v>-0.77</v>
      </c>
      <c r="AG775" s="110">
        <v>109.9</v>
      </c>
      <c r="AH775" s="110">
        <v>-110.1</v>
      </c>
      <c r="AI775" s="110">
        <v>3.69</v>
      </c>
      <c r="AJ775" s="109">
        <v>-0.31</v>
      </c>
      <c r="AK775" s="113" t="s">
        <v>59</v>
      </c>
      <c r="AL775" s="107" t="s">
        <v>181</v>
      </c>
      <c r="AN775" s="107">
        <v>0.93899999999999995</v>
      </c>
      <c r="AO775" s="48">
        <f t="shared" ref="AO775" si="1200">(HOUR(H775)*60*60+MINUTE(H775)*60+SECOND(H775))/5.2*AA775/W775*AN775</f>
        <v>137166554.50753844</v>
      </c>
      <c r="AP775" s="156">
        <f t="shared" ref="AP775" si="1201">AO775*0.7</f>
        <v>96016588.155276895</v>
      </c>
      <c r="AQ775" s="161">
        <f>AP775+AQ774</f>
        <v>35841198353.312798</v>
      </c>
      <c r="AR775" s="163">
        <f t="shared" ref="AR775" si="1202">H775+AR774</f>
        <v>15.917210648137216</v>
      </c>
      <c r="AS775" s="49">
        <f t="shared" ref="AS775" si="1203">I775*(HOUR(H775)*60+MINUTE(H775))/60/(7*24)</f>
        <v>0.30434523809523811</v>
      </c>
      <c r="AT775" s="165">
        <f t="shared" ref="AT775" si="1204">AS775+AT774</f>
        <v>109.73406051587288</v>
      </c>
      <c r="AU775" s="254">
        <f t="shared" ref="AU775" si="1205">AA775/W775*AN775</f>
        <v>196980.41519999999</v>
      </c>
      <c r="AV775" s="255">
        <f t="shared" ref="AV775" si="1206">AB775/W775+AA775/W775*(1-AN775)</f>
        <v>501550.08480000001</v>
      </c>
      <c r="AW775" s="256">
        <f t="shared" ref="AW775" si="1207">AU775/AV775</f>
        <v>0.39274325968571738</v>
      </c>
    </row>
    <row r="776" spans="1:49">
      <c r="A776" s="108">
        <v>774</v>
      </c>
      <c r="F776" s="45">
        <v>43154.665763888886</v>
      </c>
      <c r="G776" s="45">
        <v>43154.708171296297</v>
      </c>
      <c r="H776" s="38">
        <f>G776-F776-'user time'!P30</f>
        <v>3.9189814818199498E-2</v>
      </c>
      <c r="I776" s="86">
        <v>51.14</v>
      </c>
      <c r="J776" s="109" t="s">
        <v>260</v>
      </c>
      <c r="K776" s="88" t="s">
        <v>72</v>
      </c>
      <c r="L776" s="88" t="s">
        <v>73</v>
      </c>
      <c r="M776" s="88">
        <v>-369</v>
      </c>
      <c r="N776" s="108">
        <v>1</v>
      </c>
      <c r="O776" s="108">
        <v>200</v>
      </c>
      <c r="P776" s="88">
        <v>348</v>
      </c>
      <c r="Q776" s="88" t="s">
        <v>75</v>
      </c>
      <c r="R776" s="88" t="s">
        <v>348</v>
      </c>
      <c r="S776" s="110">
        <v>10200</v>
      </c>
      <c r="T776" s="110">
        <v>913</v>
      </c>
      <c r="U776" s="88">
        <v>983</v>
      </c>
      <c r="V776" s="90">
        <v>1500</v>
      </c>
      <c r="W776" s="111">
        <v>10</v>
      </c>
      <c r="X776" s="110">
        <v>49456</v>
      </c>
      <c r="Y776" s="110">
        <v>862103</v>
      </c>
      <c r="Z776" s="110">
        <v>6929560</v>
      </c>
      <c r="AA776" s="110">
        <v>2100479</v>
      </c>
      <c r="AB776" s="112">
        <v>4863979</v>
      </c>
      <c r="AC776" s="109">
        <v>160</v>
      </c>
      <c r="AD776" s="110">
        <v>-109.9</v>
      </c>
      <c r="AE776" s="110">
        <v>3.94</v>
      </c>
      <c r="AF776" s="110">
        <v>-0.77</v>
      </c>
      <c r="AG776" s="110">
        <v>109.9</v>
      </c>
      <c r="AH776" s="110">
        <v>-110.1</v>
      </c>
      <c r="AI776" s="110">
        <v>3.69</v>
      </c>
      <c r="AJ776" s="109">
        <v>-0.3</v>
      </c>
      <c r="AK776" s="113" t="s">
        <v>59</v>
      </c>
      <c r="AL776" s="107" t="s">
        <v>181</v>
      </c>
      <c r="AN776" s="107">
        <v>0.94099999999999995</v>
      </c>
      <c r="AO776" s="48">
        <f t="shared" ref="AO776" si="1208">(HOUR(H776)*60*60+MINUTE(H776)*60+SECOND(H776))/5.2*AA776/W776*AN776</f>
        <v>128703861.58180766</v>
      </c>
      <c r="AP776" s="156">
        <f t="shared" ref="AP776" si="1209">AO776*0.7</f>
        <v>90092703.107265353</v>
      </c>
      <c r="AQ776" s="161">
        <f>AP776+AQ775</f>
        <v>35931291056.420059</v>
      </c>
      <c r="AR776" s="163">
        <f t="shared" ref="AR776" si="1210">H776+AR775</f>
        <v>15.956400462955415</v>
      </c>
      <c r="AS776" s="49">
        <f t="shared" ref="AS776" si="1211">I776*(HOUR(H776)*60+MINUTE(H776))/60/(7*24)</f>
        <v>0.28411111111111115</v>
      </c>
      <c r="AT776" s="165">
        <f t="shared" ref="AT776" si="1212">AS776+AT775</f>
        <v>110.018171626984</v>
      </c>
      <c r="AU776" s="254">
        <f t="shared" ref="AU776" si="1213">AA776/W776*AN776</f>
        <v>197655.07389999999</v>
      </c>
      <c r="AV776" s="255">
        <f t="shared" ref="AV776" si="1214">AB776/W776+AA776/W776*(1-AN776)</f>
        <v>498790.72610000003</v>
      </c>
      <c r="AW776" s="256">
        <f t="shared" ref="AW776" si="1215">AU776/AV776</f>
        <v>0.39626854221097352</v>
      </c>
    </row>
    <row r="777" spans="1:49">
      <c r="A777" s="108">
        <v>775</v>
      </c>
      <c r="F777" s="45">
        <v>43154.70820601852</v>
      </c>
      <c r="G777" s="45">
        <v>43154.751030092593</v>
      </c>
      <c r="H777" s="38">
        <f>G777-F777-'user time'!P31-'user time'!P32</f>
        <v>4.2083333332255224E-2</v>
      </c>
      <c r="I777" s="86">
        <v>51.1</v>
      </c>
      <c r="J777" s="109" t="s">
        <v>260</v>
      </c>
      <c r="K777" s="88" t="s">
        <v>72</v>
      </c>
      <c r="L777" s="88" t="s">
        <v>73</v>
      </c>
      <c r="M777" s="88">
        <v>-369</v>
      </c>
      <c r="N777" s="108">
        <v>1</v>
      </c>
      <c r="O777" s="108">
        <v>200</v>
      </c>
      <c r="P777" s="88">
        <v>348</v>
      </c>
      <c r="Q777" s="88" t="s">
        <v>75</v>
      </c>
      <c r="R777" s="88" t="s">
        <v>348</v>
      </c>
      <c r="S777" s="110">
        <v>10000</v>
      </c>
      <c r="T777" s="110">
        <v>948</v>
      </c>
      <c r="U777" s="88">
        <v>983</v>
      </c>
      <c r="V777" s="90">
        <v>1500</v>
      </c>
      <c r="W777" s="111">
        <v>10</v>
      </c>
      <c r="X777" s="110">
        <v>49031</v>
      </c>
      <c r="Y777" s="110">
        <v>859841</v>
      </c>
      <c r="Z777" s="110">
        <v>6950026</v>
      </c>
      <c r="AA777" s="110">
        <v>2088880</v>
      </c>
      <c r="AB777" s="112">
        <v>4896894</v>
      </c>
      <c r="AC777" s="109">
        <v>160</v>
      </c>
      <c r="AD777" s="110">
        <v>-110</v>
      </c>
      <c r="AE777" s="110">
        <v>3.94</v>
      </c>
      <c r="AF777" s="110">
        <v>-0.77</v>
      </c>
      <c r="AG777" s="110">
        <v>109.9</v>
      </c>
      <c r="AH777" s="110">
        <v>-110.1</v>
      </c>
      <c r="AI777" s="110">
        <v>3.69</v>
      </c>
      <c r="AJ777" s="109">
        <v>-0.31</v>
      </c>
      <c r="AK777" s="113" t="s">
        <v>59</v>
      </c>
      <c r="AL777" s="107" t="s">
        <v>181</v>
      </c>
      <c r="AN777" s="107">
        <v>0.93899999999999995</v>
      </c>
      <c r="AO777" s="48">
        <f t="shared" ref="AO777:AO792" si="1216">(HOUR(H777)*60*60+MINUTE(H777)*60+SECOND(H777))/5.2*AA777/W777*AN777</f>
        <v>137151200.99076924</v>
      </c>
      <c r="AP777" s="156">
        <f t="shared" ref="AP777:AP792" si="1217">AO777*0.7</f>
        <v>96005840.693538457</v>
      </c>
      <c r="AQ777" s="161">
        <f t="shared" ref="AQ777:AQ791" si="1218">AP777+AQ776</f>
        <v>36027296897.113594</v>
      </c>
      <c r="AR777" s="163">
        <f t="shared" ref="AR777:AR791" si="1219">H777+AR776</f>
        <v>15.998483796287671</v>
      </c>
      <c r="AS777" s="49">
        <f t="shared" ref="AS777:AS791" si="1220">I777*(HOUR(H777)*60+MINUTE(H777))/60/(7*24)</f>
        <v>0.3041666666666667</v>
      </c>
      <c r="AT777" s="165">
        <f t="shared" ref="AT777:AT791" si="1221">AS777+AT776</f>
        <v>110.32233829365066</v>
      </c>
      <c r="AU777" s="254">
        <f t="shared" ref="AU777:AU792" si="1222">AA777/W777*AN777</f>
        <v>196145.83199999999</v>
      </c>
      <c r="AV777" s="255">
        <f t="shared" ref="AV777:AV792" si="1223">AB777/W777+AA777/W777*(1-AN777)</f>
        <v>502431.56800000003</v>
      </c>
      <c r="AW777" s="256">
        <f t="shared" ref="AW777:AW792" si="1224">AU777/AV777</f>
        <v>0.39039312911962565</v>
      </c>
    </row>
    <row r="778" spans="1:49">
      <c r="A778" s="108">
        <v>776</v>
      </c>
      <c r="F778" s="45">
        <v>43154.751064814816</v>
      </c>
      <c r="G778" s="45">
        <v>43154.793877314813</v>
      </c>
      <c r="H778" s="38">
        <f>G778-F778-'user time'!P33-'user time'!P34</f>
        <v>4.2071759255475683E-2</v>
      </c>
      <c r="I778" s="86">
        <v>51.02</v>
      </c>
      <c r="J778" s="109" t="s">
        <v>260</v>
      </c>
      <c r="K778" s="88" t="s">
        <v>72</v>
      </c>
      <c r="L778" s="88" t="s">
        <v>73</v>
      </c>
      <c r="M778" s="88">
        <v>-369</v>
      </c>
      <c r="N778" s="108">
        <v>1</v>
      </c>
      <c r="O778" s="108">
        <v>200</v>
      </c>
      <c r="P778" s="88">
        <v>348</v>
      </c>
      <c r="Q778" s="88" t="s">
        <v>75</v>
      </c>
      <c r="R778" s="88" t="s">
        <v>348</v>
      </c>
      <c r="S778" s="110">
        <v>10000</v>
      </c>
      <c r="T778" s="110">
        <v>911</v>
      </c>
      <c r="U778" s="88">
        <v>983</v>
      </c>
      <c r="V778" s="90">
        <v>1500</v>
      </c>
      <c r="W778" s="111">
        <v>10</v>
      </c>
      <c r="X778" s="110">
        <v>49323</v>
      </c>
      <c r="Y778" s="110">
        <v>858114</v>
      </c>
      <c r="Z778" s="110">
        <v>6909067</v>
      </c>
      <c r="AA778" s="110">
        <v>2089756</v>
      </c>
      <c r="AB778" s="112">
        <v>4854834</v>
      </c>
      <c r="AC778" s="109">
        <v>160</v>
      </c>
      <c r="AD778" s="110">
        <v>-110</v>
      </c>
      <c r="AE778" s="110">
        <v>3.94</v>
      </c>
      <c r="AF778" s="110">
        <v>-0.77</v>
      </c>
      <c r="AG778" s="110">
        <v>109.9</v>
      </c>
      <c r="AH778" s="110">
        <v>-110.1</v>
      </c>
      <c r="AI778" s="110">
        <v>3.69</v>
      </c>
      <c r="AJ778" s="109">
        <v>-0.31</v>
      </c>
      <c r="AK778" s="113" t="s">
        <v>59</v>
      </c>
      <c r="AL778" s="107" t="s">
        <v>181</v>
      </c>
      <c r="AN778" s="107">
        <v>0.93899999999999995</v>
      </c>
      <c r="AO778" s="48">
        <f t="shared" si="1216"/>
        <v>137170981.02576923</v>
      </c>
      <c r="AP778" s="156">
        <f t="shared" si="1217"/>
        <v>96019686.718038455</v>
      </c>
      <c r="AQ778" s="161">
        <f t="shared" si="1218"/>
        <v>36123316583.831635</v>
      </c>
      <c r="AR778" s="163">
        <f t="shared" si="1219"/>
        <v>16.040555555543147</v>
      </c>
      <c r="AS778" s="49">
        <f t="shared" si="1220"/>
        <v>0.30369047619047623</v>
      </c>
      <c r="AT778" s="165">
        <f t="shared" si="1221"/>
        <v>110.62602876984114</v>
      </c>
      <c r="AU778" s="254">
        <f t="shared" si="1222"/>
        <v>196228.08840000001</v>
      </c>
      <c r="AV778" s="255">
        <f t="shared" si="1223"/>
        <v>498230.91160000005</v>
      </c>
      <c r="AW778" s="256">
        <f t="shared" si="1224"/>
        <v>0.39384968662389991</v>
      </c>
    </row>
    <row r="779" spans="1:49">
      <c r="A779" s="108">
        <v>777</v>
      </c>
      <c r="F779" s="45">
        <v>43154.793912037036</v>
      </c>
      <c r="G779" s="45">
        <v>43154.837766203702</v>
      </c>
      <c r="H779" s="38">
        <f>G779-F779-SUM('user time'!P35:P38)</f>
        <v>4.2499999999611848E-2</v>
      </c>
      <c r="I779" s="86">
        <v>51.15</v>
      </c>
      <c r="J779" s="109" t="s">
        <v>260</v>
      </c>
      <c r="K779" s="88" t="s">
        <v>72</v>
      </c>
      <c r="L779" s="88" t="s">
        <v>73</v>
      </c>
      <c r="M779" s="88">
        <v>-369</v>
      </c>
      <c r="N779" s="108">
        <v>1</v>
      </c>
      <c r="O779" s="108">
        <v>200</v>
      </c>
      <c r="P779" s="88">
        <v>348</v>
      </c>
      <c r="Q779" s="88" t="s">
        <v>75</v>
      </c>
      <c r="R779" s="88" t="s">
        <v>348</v>
      </c>
      <c r="S779" s="110">
        <v>10000</v>
      </c>
      <c r="T779" s="110">
        <v>955</v>
      </c>
      <c r="U779" s="88">
        <v>983</v>
      </c>
      <c r="V779" s="90">
        <v>1500</v>
      </c>
      <c r="W779" s="111">
        <v>10</v>
      </c>
      <c r="X779" s="110">
        <v>49600</v>
      </c>
      <c r="Y779" s="110">
        <v>864951</v>
      </c>
      <c r="Z779" s="110">
        <v>6954884</v>
      </c>
      <c r="AA779" s="110">
        <v>2099822</v>
      </c>
      <c r="AB779" s="112">
        <v>4890580</v>
      </c>
      <c r="AC779" s="109">
        <v>160</v>
      </c>
      <c r="AD779" s="110">
        <v>-109.9</v>
      </c>
      <c r="AE779" s="110">
        <v>3.94</v>
      </c>
      <c r="AF779" s="110">
        <v>-0.77</v>
      </c>
      <c r="AG779" s="110">
        <v>109.9</v>
      </c>
      <c r="AH779" s="110">
        <v>-110.1</v>
      </c>
      <c r="AI779" s="110">
        <v>3.69</v>
      </c>
      <c r="AJ779" s="109">
        <v>-0.31</v>
      </c>
      <c r="AK779" s="113" t="s">
        <v>59</v>
      </c>
      <c r="AL779" s="107" t="s">
        <v>181</v>
      </c>
      <c r="AN779" s="107">
        <v>0.94299999999999995</v>
      </c>
      <c r="AO779" s="48">
        <f t="shared" si="1216"/>
        <v>139827793.07907692</v>
      </c>
      <c r="AP779" s="156">
        <f t="shared" si="1217"/>
        <v>97879455.155353829</v>
      </c>
      <c r="AQ779" s="161">
        <f t="shared" si="1218"/>
        <v>36221196038.986992</v>
      </c>
      <c r="AR779" s="163">
        <f t="shared" si="1219"/>
        <v>16.08305555554276</v>
      </c>
      <c r="AS779" s="49">
        <f t="shared" si="1220"/>
        <v>0.30953869047619048</v>
      </c>
      <c r="AT779" s="165">
        <f t="shared" si="1221"/>
        <v>110.93556746031733</v>
      </c>
      <c r="AU779" s="254">
        <f t="shared" si="1222"/>
        <v>198013.21460000001</v>
      </c>
      <c r="AV779" s="255">
        <f t="shared" si="1223"/>
        <v>501026.98540000001</v>
      </c>
      <c r="AW779" s="256">
        <f t="shared" si="1224"/>
        <v>0.39521466980848174</v>
      </c>
    </row>
    <row r="780" spans="1:49">
      <c r="A780" s="108">
        <v>778</v>
      </c>
      <c r="F780" s="45">
        <v>43154.837789351855</v>
      </c>
      <c r="G780" s="45">
        <v>43154.865289351852</v>
      </c>
      <c r="H780" s="38">
        <f>G780-F780</f>
        <v>2.749999999650754E-2</v>
      </c>
      <c r="I780" s="86">
        <v>51.08</v>
      </c>
      <c r="J780" s="109" t="s">
        <v>260</v>
      </c>
      <c r="K780" s="88" t="s">
        <v>72</v>
      </c>
      <c r="L780" s="88" t="s">
        <v>73</v>
      </c>
      <c r="M780" s="88">
        <v>-369</v>
      </c>
      <c r="N780" s="108">
        <v>1</v>
      </c>
      <c r="O780" s="108">
        <v>200</v>
      </c>
      <c r="P780" s="88">
        <v>348</v>
      </c>
      <c r="Q780" s="88" t="s">
        <v>75</v>
      </c>
      <c r="R780" s="88" t="s">
        <v>348</v>
      </c>
      <c r="S780" s="110">
        <v>10000</v>
      </c>
      <c r="T780" s="110">
        <v>935</v>
      </c>
      <c r="U780" s="88">
        <v>983</v>
      </c>
      <c r="V780" s="90">
        <v>1500</v>
      </c>
      <c r="W780" s="111">
        <v>10</v>
      </c>
      <c r="X780" s="110">
        <v>49280</v>
      </c>
      <c r="Y780" s="110">
        <v>861515</v>
      </c>
      <c r="Z780" s="110">
        <v>6924694</v>
      </c>
      <c r="AA780" s="110">
        <v>2097893</v>
      </c>
      <c r="AB780" s="112">
        <v>4861339</v>
      </c>
      <c r="AC780" s="109">
        <v>160</v>
      </c>
      <c r="AD780" s="110">
        <v>-110</v>
      </c>
      <c r="AE780" s="110">
        <v>3.94</v>
      </c>
      <c r="AF780" s="110">
        <v>-0.77</v>
      </c>
      <c r="AG780" s="110">
        <v>109.9</v>
      </c>
      <c r="AH780" s="110">
        <v>-110.1</v>
      </c>
      <c r="AI780" s="110">
        <v>3.69</v>
      </c>
      <c r="AJ780" s="109">
        <v>-0.3</v>
      </c>
      <c r="AK780" s="113" t="s">
        <v>59</v>
      </c>
      <c r="AL780" s="107" t="s">
        <v>238</v>
      </c>
      <c r="AN780" s="107">
        <v>0.94199999999999995</v>
      </c>
      <c r="AO780" s="48">
        <f t="shared" si="1216"/>
        <v>90297833.258769229</v>
      </c>
      <c r="AP780" s="156">
        <f t="shared" si="1217"/>
        <v>63208483.281138457</v>
      </c>
      <c r="AQ780" s="161">
        <f t="shared" si="1218"/>
        <v>36284404522.268127</v>
      </c>
      <c r="AR780" s="163">
        <f t="shared" si="1219"/>
        <v>16.110555555539268</v>
      </c>
      <c r="AS780" s="49">
        <f t="shared" si="1220"/>
        <v>0.19763095238095238</v>
      </c>
      <c r="AT780" s="165">
        <f t="shared" si="1221"/>
        <v>111.13319841269828</v>
      </c>
      <c r="AU780" s="254">
        <f t="shared" si="1222"/>
        <v>197621.52059999999</v>
      </c>
      <c r="AV780" s="255">
        <f t="shared" si="1223"/>
        <v>498301.67940000002</v>
      </c>
      <c r="AW780" s="256">
        <f t="shared" si="1224"/>
        <v>0.396590115525908</v>
      </c>
    </row>
    <row r="781" spans="1:49">
      <c r="A781" s="108">
        <v>779</v>
      </c>
      <c r="F781" s="45">
        <v>43154.873541666668</v>
      </c>
      <c r="G781" s="45">
        <v>43154.916006944448</v>
      </c>
      <c r="H781" s="38">
        <f>G781-F781-'user time'!P40</f>
        <v>4.2141203706064334E-2</v>
      </c>
      <c r="I781" s="86">
        <v>51.08</v>
      </c>
      <c r="J781" s="109" t="s">
        <v>260</v>
      </c>
      <c r="K781" s="88" t="s">
        <v>72</v>
      </c>
      <c r="L781" s="88" t="s">
        <v>73</v>
      </c>
      <c r="M781" s="88">
        <v>-369</v>
      </c>
      <c r="N781" s="108">
        <v>1</v>
      </c>
      <c r="O781" s="108">
        <v>200</v>
      </c>
      <c r="P781" s="88">
        <v>348</v>
      </c>
      <c r="Q781" s="88" t="s">
        <v>75</v>
      </c>
      <c r="R781" s="88" t="s">
        <v>348</v>
      </c>
      <c r="S781" s="110">
        <v>10000</v>
      </c>
      <c r="T781" s="110">
        <v>937</v>
      </c>
      <c r="U781" s="88">
        <v>983</v>
      </c>
      <c r="V781" s="90">
        <v>1500</v>
      </c>
      <c r="W781" s="111">
        <v>10</v>
      </c>
      <c r="X781" s="110">
        <v>49280</v>
      </c>
      <c r="Y781" s="110">
        <v>861515</v>
      </c>
      <c r="Z781" s="110">
        <v>6924694</v>
      </c>
      <c r="AA781" s="110">
        <v>2097893</v>
      </c>
      <c r="AB781" s="112">
        <v>4861339</v>
      </c>
      <c r="AC781" s="109">
        <v>160</v>
      </c>
      <c r="AD781" s="110">
        <v>-110</v>
      </c>
      <c r="AE781" s="110">
        <v>3.94</v>
      </c>
      <c r="AF781" s="110">
        <v>-0.77</v>
      </c>
      <c r="AG781" s="110">
        <v>109.9</v>
      </c>
      <c r="AH781" s="110">
        <v>-110.1</v>
      </c>
      <c r="AI781" s="110">
        <v>3.69</v>
      </c>
      <c r="AJ781" s="109">
        <v>-0.31</v>
      </c>
      <c r="AK781" s="113" t="s">
        <v>59</v>
      </c>
      <c r="AL781" s="107" t="s">
        <v>181</v>
      </c>
      <c r="AN781" s="107">
        <v>0.94099999999999995</v>
      </c>
      <c r="AO781" s="48">
        <f t="shared" si="1216"/>
        <v>138226175.70448074</v>
      </c>
      <c r="AP781" s="156">
        <f t="shared" si="1217"/>
        <v>96758322.99313651</v>
      </c>
      <c r="AQ781" s="161">
        <f t="shared" si="1218"/>
        <v>36381162845.261261</v>
      </c>
      <c r="AR781" s="163">
        <f t="shared" si="1219"/>
        <v>16.15269675924533</v>
      </c>
      <c r="AS781" s="49">
        <f t="shared" si="1220"/>
        <v>0.30404761904761901</v>
      </c>
      <c r="AT781" s="165">
        <f t="shared" si="1221"/>
        <v>111.4372460317459</v>
      </c>
      <c r="AU781" s="254">
        <f t="shared" si="1222"/>
        <v>197411.73129999998</v>
      </c>
      <c r="AV781" s="255">
        <f t="shared" si="1223"/>
        <v>498511.46870000003</v>
      </c>
      <c r="AW781" s="256">
        <f t="shared" si="1224"/>
        <v>0.39600238649434299</v>
      </c>
    </row>
    <row r="782" spans="1:49">
      <c r="A782" s="108">
        <v>780</v>
      </c>
      <c r="F782" s="45">
        <v>43154.916030092594</v>
      </c>
      <c r="G782" s="45">
        <v>43154.959814814814</v>
      </c>
      <c r="H782" s="38">
        <f>G782-F782-SUM('user time'!P41:P44)</f>
        <v>4.2129629627560172E-2</v>
      </c>
      <c r="I782" s="86">
        <v>51.14</v>
      </c>
      <c r="J782" s="109" t="s">
        <v>260</v>
      </c>
      <c r="K782" s="88" t="s">
        <v>72</v>
      </c>
      <c r="L782" s="88" t="s">
        <v>73</v>
      </c>
      <c r="M782" s="88">
        <v>-369</v>
      </c>
      <c r="N782" s="108">
        <v>1</v>
      </c>
      <c r="O782" s="108">
        <v>200</v>
      </c>
      <c r="P782" s="88">
        <v>348</v>
      </c>
      <c r="Q782" s="88" t="s">
        <v>75</v>
      </c>
      <c r="R782" s="88" t="s">
        <v>348</v>
      </c>
      <c r="S782" s="110">
        <v>10000</v>
      </c>
      <c r="T782" s="110">
        <v>937</v>
      </c>
      <c r="U782" s="88">
        <v>983</v>
      </c>
      <c r="V782" s="90">
        <v>1500</v>
      </c>
      <c r="W782" s="111">
        <v>10</v>
      </c>
      <c r="X782" s="110">
        <v>48857</v>
      </c>
      <c r="Y782" s="110">
        <v>866599</v>
      </c>
      <c r="Z782" s="110">
        <v>6931774</v>
      </c>
      <c r="AA782" s="110">
        <v>2098424</v>
      </c>
      <c r="AB782" s="112">
        <v>4868610</v>
      </c>
      <c r="AC782" s="109">
        <v>160</v>
      </c>
      <c r="AD782" s="110">
        <v>-109.9</v>
      </c>
      <c r="AE782" s="110">
        <v>3.94</v>
      </c>
      <c r="AF782" s="110">
        <v>-0.76</v>
      </c>
      <c r="AG782" s="110">
        <v>109.9</v>
      </c>
      <c r="AH782" s="110">
        <v>-110.1</v>
      </c>
      <c r="AI782" s="110">
        <v>3.68</v>
      </c>
      <c r="AJ782" s="109">
        <v>-0.31</v>
      </c>
      <c r="AK782" s="113" t="s">
        <v>59</v>
      </c>
      <c r="AL782" s="107" t="s">
        <v>181</v>
      </c>
      <c r="AN782" s="107">
        <v>0.94399999999999995</v>
      </c>
      <c r="AO782" s="48">
        <f t="shared" si="1216"/>
        <v>138663857.91999999</v>
      </c>
      <c r="AP782" s="156">
        <f t="shared" si="1217"/>
        <v>97064700.543999985</v>
      </c>
      <c r="AQ782" s="161">
        <f t="shared" si="1218"/>
        <v>36478227545.80526</v>
      </c>
      <c r="AR782" s="163">
        <f t="shared" si="1219"/>
        <v>16.19482638887289</v>
      </c>
      <c r="AS782" s="49">
        <f t="shared" si="1220"/>
        <v>0.3044047619047619</v>
      </c>
      <c r="AT782" s="165">
        <f t="shared" si="1221"/>
        <v>111.74165079365066</v>
      </c>
      <c r="AU782" s="254">
        <f t="shared" si="1222"/>
        <v>198091.22559999998</v>
      </c>
      <c r="AV782" s="255">
        <f t="shared" si="1223"/>
        <v>498612.17440000002</v>
      </c>
      <c r="AW782" s="256">
        <f t="shared" si="1224"/>
        <v>0.39728517627627341</v>
      </c>
    </row>
    <row r="783" spans="1:49">
      <c r="A783" s="108">
        <v>781</v>
      </c>
      <c r="F783" s="45">
        <v>43154.959837962961</v>
      </c>
      <c r="G783" s="45">
        <v>43155.001087962963</v>
      </c>
      <c r="H783" s="38">
        <f>G783-F783</f>
        <v>4.1250000002037268E-2</v>
      </c>
      <c r="I783" s="86">
        <v>51.08</v>
      </c>
      <c r="J783" s="109" t="s">
        <v>260</v>
      </c>
      <c r="K783" s="88" t="s">
        <v>72</v>
      </c>
      <c r="L783" s="88" t="s">
        <v>73</v>
      </c>
      <c r="M783" s="88">
        <v>-369</v>
      </c>
      <c r="N783" s="108">
        <v>1</v>
      </c>
      <c r="O783" s="108">
        <v>200</v>
      </c>
      <c r="P783" s="88">
        <v>348</v>
      </c>
      <c r="Q783" s="88" t="s">
        <v>75</v>
      </c>
      <c r="R783" s="88" t="s">
        <v>348</v>
      </c>
      <c r="S783" s="110">
        <v>10000</v>
      </c>
      <c r="T783" s="110">
        <v>937</v>
      </c>
      <c r="U783" s="88">
        <v>983</v>
      </c>
      <c r="V783" s="90">
        <v>1500</v>
      </c>
      <c r="W783" s="111">
        <v>10</v>
      </c>
      <c r="X783" s="110">
        <v>49359</v>
      </c>
      <c r="Y783" s="110">
        <v>863850</v>
      </c>
      <c r="Z783" s="110">
        <v>6890988</v>
      </c>
      <c r="AA783" s="110">
        <v>2086366</v>
      </c>
      <c r="AB783" s="112">
        <v>4839901</v>
      </c>
      <c r="AC783" s="109">
        <v>160</v>
      </c>
      <c r="AD783" s="110">
        <v>-109.9</v>
      </c>
      <c r="AE783" s="110">
        <v>3.94</v>
      </c>
      <c r="AF783" s="110">
        <v>-0.76</v>
      </c>
      <c r="AG783" s="110">
        <v>109.9</v>
      </c>
      <c r="AH783" s="110">
        <v>-110.1</v>
      </c>
      <c r="AI783" s="110">
        <v>3.68</v>
      </c>
      <c r="AJ783" s="109">
        <v>-0.3</v>
      </c>
      <c r="AK783" s="113" t="s">
        <v>59</v>
      </c>
      <c r="AL783" s="107" t="s">
        <v>181</v>
      </c>
      <c r="AN783" s="107">
        <v>0.94099999999999995</v>
      </c>
      <c r="AO783" s="48">
        <f t="shared" si="1216"/>
        <v>134559533.21123075</v>
      </c>
      <c r="AP783" s="156">
        <f t="shared" si="1217"/>
        <v>94191673.247861519</v>
      </c>
      <c r="AQ783" s="161">
        <f t="shared" si="1218"/>
        <v>36572419219.053123</v>
      </c>
      <c r="AR783" s="163">
        <f t="shared" si="1219"/>
        <v>16.236076388874928</v>
      </c>
      <c r="AS783" s="49">
        <f t="shared" si="1220"/>
        <v>0.29898015873015871</v>
      </c>
      <c r="AT783" s="165">
        <f t="shared" si="1221"/>
        <v>112.04063095238082</v>
      </c>
      <c r="AU783" s="254">
        <f t="shared" si="1222"/>
        <v>196327.04060000001</v>
      </c>
      <c r="AV783" s="255">
        <f t="shared" si="1223"/>
        <v>496299.6594</v>
      </c>
      <c r="AW783" s="256">
        <f t="shared" si="1224"/>
        <v>0.39558165491660624</v>
      </c>
    </row>
    <row r="784" spans="1:49">
      <c r="A784" s="108">
        <v>782</v>
      </c>
      <c r="F784" s="45">
        <v>43155.001122685186</v>
      </c>
      <c r="G784" s="45">
        <v>43155.043344907404</v>
      </c>
      <c r="H784" s="38">
        <f>G784-F784-'user time'!U4-'user time'!U5</f>
        <v>4.1064814811290012E-2</v>
      </c>
      <c r="I784" s="86">
        <v>51.18</v>
      </c>
      <c r="J784" s="109" t="s">
        <v>260</v>
      </c>
      <c r="K784" s="88" t="s">
        <v>72</v>
      </c>
      <c r="L784" s="88" t="s">
        <v>73</v>
      </c>
      <c r="M784" s="88">
        <v>-369</v>
      </c>
      <c r="N784" s="108">
        <v>1</v>
      </c>
      <c r="O784" s="108">
        <v>200</v>
      </c>
      <c r="P784" s="88">
        <v>348</v>
      </c>
      <c r="Q784" s="88" t="s">
        <v>75</v>
      </c>
      <c r="R784" s="88" t="s">
        <v>348</v>
      </c>
      <c r="S784" s="110">
        <v>9972</v>
      </c>
      <c r="T784" s="110">
        <v>900</v>
      </c>
      <c r="U784" s="88">
        <v>983</v>
      </c>
      <c r="V784" s="90">
        <v>1500</v>
      </c>
      <c r="W784" s="111">
        <v>10</v>
      </c>
      <c r="X784" s="110">
        <v>48934</v>
      </c>
      <c r="Y784" s="110">
        <v>864909</v>
      </c>
      <c r="Z784" s="110">
        <v>6910175</v>
      </c>
      <c r="AA784" s="110">
        <v>2096172</v>
      </c>
      <c r="AB784" s="112">
        <v>4848615</v>
      </c>
      <c r="AC784" s="109">
        <v>160</v>
      </c>
      <c r="AD784" s="110">
        <v>-109.9</v>
      </c>
      <c r="AE784" s="110">
        <v>3.94</v>
      </c>
      <c r="AF784" s="110">
        <v>-0.76</v>
      </c>
      <c r="AG784" s="110">
        <v>109.9</v>
      </c>
      <c r="AH784" s="110">
        <v>-110.1</v>
      </c>
      <c r="AI784" s="110">
        <v>3.68</v>
      </c>
      <c r="AJ784" s="109">
        <v>-0.3</v>
      </c>
      <c r="AK784" s="113" t="s">
        <v>59</v>
      </c>
      <c r="AL784" s="107" t="s">
        <v>181</v>
      </c>
      <c r="AN784" s="107">
        <v>0.94799999999999995</v>
      </c>
      <c r="AO784" s="48">
        <f t="shared" si="1216"/>
        <v>135586209.74399999</v>
      </c>
      <c r="AP784" s="156">
        <f t="shared" si="1217"/>
        <v>94910346.820799991</v>
      </c>
      <c r="AQ784" s="161">
        <f t="shared" si="1218"/>
        <v>36667329565.873924</v>
      </c>
      <c r="AR784" s="163">
        <f t="shared" si="1219"/>
        <v>16.277141203686217</v>
      </c>
      <c r="AS784" s="49">
        <f t="shared" si="1220"/>
        <v>0.29956547619047619</v>
      </c>
      <c r="AT784" s="165">
        <f t="shared" si="1221"/>
        <v>112.3401964285713</v>
      </c>
      <c r="AU784" s="254">
        <f t="shared" si="1222"/>
        <v>198717.10560000001</v>
      </c>
      <c r="AV784" s="255">
        <f t="shared" si="1223"/>
        <v>495761.5944</v>
      </c>
      <c r="AW784" s="256">
        <f t="shared" si="1224"/>
        <v>0.40083198828763489</v>
      </c>
    </row>
    <row r="785" spans="1:49">
      <c r="A785" s="108">
        <v>783</v>
      </c>
      <c r="F785" s="45">
        <v>43155.043344907404</v>
      </c>
      <c r="G785" s="45">
        <v>43155.084872685184</v>
      </c>
      <c r="H785" s="38">
        <f>G785-F785-'user time'!U6</f>
        <v>4.1157407408894925E-2</v>
      </c>
      <c r="I785" s="86">
        <v>51.12</v>
      </c>
      <c r="J785" s="109" t="s">
        <v>260</v>
      </c>
      <c r="K785" s="88" t="s">
        <v>72</v>
      </c>
      <c r="L785" s="88" t="s">
        <v>73</v>
      </c>
      <c r="M785" s="88">
        <v>-369</v>
      </c>
      <c r="N785" s="108">
        <v>1</v>
      </c>
      <c r="O785" s="108">
        <v>200</v>
      </c>
      <c r="P785" s="88">
        <v>348</v>
      </c>
      <c r="Q785" s="88" t="s">
        <v>75</v>
      </c>
      <c r="R785" s="88" t="s">
        <v>348</v>
      </c>
      <c r="S785" s="110">
        <v>10200</v>
      </c>
      <c r="T785" s="110">
        <v>930</v>
      </c>
      <c r="U785" s="88">
        <v>983</v>
      </c>
      <c r="V785" s="90">
        <v>1500</v>
      </c>
      <c r="W785" s="111">
        <v>10</v>
      </c>
      <c r="X785" s="110">
        <v>49477</v>
      </c>
      <c r="Y785" s="110">
        <v>862342</v>
      </c>
      <c r="Z785" s="110">
        <v>6888340</v>
      </c>
      <c r="AA785" s="110">
        <v>2090654</v>
      </c>
      <c r="AB785" s="112">
        <v>4833313</v>
      </c>
      <c r="AC785" s="109">
        <v>160</v>
      </c>
      <c r="AD785" s="110">
        <v>-109.9</v>
      </c>
      <c r="AE785" s="110">
        <v>3.94</v>
      </c>
      <c r="AF785" s="110">
        <v>-0.76</v>
      </c>
      <c r="AG785" s="110">
        <v>109.9</v>
      </c>
      <c r="AH785" s="110">
        <v>-110.1</v>
      </c>
      <c r="AI785" s="110">
        <v>3.68</v>
      </c>
      <c r="AJ785" s="109">
        <v>-0.31</v>
      </c>
      <c r="AK785" s="113" t="s">
        <v>59</v>
      </c>
      <c r="AL785" s="107" t="s">
        <v>181</v>
      </c>
      <c r="AN785" s="107">
        <v>0.94499999999999995</v>
      </c>
      <c r="AO785" s="48">
        <f t="shared" si="1216"/>
        <v>135105298.35923076</v>
      </c>
      <c r="AP785" s="156">
        <f t="shared" si="1217"/>
        <v>94573708.85146153</v>
      </c>
      <c r="AQ785" s="161">
        <f t="shared" si="1218"/>
        <v>36761903274.725388</v>
      </c>
      <c r="AR785" s="163">
        <f t="shared" si="1219"/>
        <v>16.318298611095113</v>
      </c>
      <c r="AS785" s="49">
        <f t="shared" si="1220"/>
        <v>0.29921428571428571</v>
      </c>
      <c r="AT785" s="165">
        <f t="shared" si="1221"/>
        <v>112.63941071428559</v>
      </c>
      <c r="AU785" s="254">
        <f t="shared" si="1222"/>
        <v>197566.80299999999</v>
      </c>
      <c r="AV785" s="255">
        <f t="shared" si="1223"/>
        <v>494829.897</v>
      </c>
      <c r="AW785" s="256">
        <f t="shared" si="1224"/>
        <v>0.39926205792694858</v>
      </c>
    </row>
    <row r="786" spans="1:49">
      <c r="A786" s="108">
        <v>784</v>
      </c>
      <c r="F786" s="45">
        <v>43155.08489583333</v>
      </c>
      <c r="G786" s="45">
        <v>43155.093472222223</v>
      </c>
      <c r="H786" s="38">
        <f>G786-F786-'user time'!U7</f>
        <v>8.3333333372785229E-3</v>
      </c>
      <c r="I786" s="86">
        <v>51.1</v>
      </c>
      <c r="J786" s="109" t="s">
        <v>260</v>
      </c>
      <c r="K786" s="88" t="s">
        <v>72</v>
      </c>
      <c r="L786" s="88" t="s">
        <v>73</v>
      </c>
      <c r="M786" s="88">
        <v>-369</v>
      </c>
      <c r="N786" s="108">
        <v>1</v>
      </c>
      <c r="O786" s="108">
        <v>200</v>
      </c>
      <c r="P786" s="88">
        <v>348</v>
      </c>
      <c r="Q786" s="88" t="s">
        <v>75</v>
      </c>
      <c r="R786" s="88" t="s">
        <v>348</v>
      </c>
      <c r="S786" s="110">
        <v>9900</v>
      </c>
      <c r="T786" s="110">
        <v>885</v>
      </c>
      <c r="U786" s="88">
        <v>983</v>
      </c>
      <c r="V786" s="90">
        <v>1500</v>
      </c>
      <c r="W786" s="111">
        <v>10</v>
      </c>
      <c r="X786" s="110">
        <v>49355</v>
      </c>
      <c r="Y786" s="110">
        <v>862472</v>
      </c>
      <c r="Z786" s="110">
        <v>6870909</v>
      </c>
      <c r="AA786" s="110">
        <v>2091068</v>
      </c>
      <c r="AB786" s="112">
        <v>4815842</v>
      </c>
      <c r="AC786" s="109">
        <v>160</v>
      </c>
      <c r="AD786" s="110">
        <v>-109.9</v>
      </c>
      <c r="AE786" s="110">
        <v>3.94</v>
      </c>
      <c r="AF786" s="110">
        <v>-0.76</v>
      </c>
      <c r="AG786" s="110">
        <v>109.9</v>
      </c>
      <c r="AH786" s="110">
        <v>-110.1</v>
      </c>
      <c r="AI786" s="110">
        <v>3.68</v>
      </c>
      <c r="AJ786" s="109">
        <v>-0.31</v>
      </c>
      <c r="AK786" s="113" t="s">
        <v>59</v>
      </c>
      <c r="AL786" s="107" t="s">
        <v>238</v>
      </c>
      <c r="AN786" s="107">
        <v>0.94199999999999995</v>
      </c>
      <c r="AO786" s="48">
        <f t="shared" si="1216"/>
        <v>27273960.775384612</v>
      </c>
      <c r="AP786" s="156">
        <f t="shared" si="1217"/>
        <v>19091772.542769227</v>
      </c>
      <c r="AQ786" s="161">
        <f t="shared" si="1218"/>
        <v>36780995047.268158</v>
      </c>
      <c r="AR786" s="163">
        <f t="shared" si="1219"/>
        <v>16.326631944432393</v>
      </c>
      <c r="AS786" s="49">
        <f t="shared" si="1220"/>
        <v>6.0833333333333336E-2</v>
      </c>
      <c r="AT786" s="165">
        <f t="shared" si="1221"/>
        <v>112.70024404761892</v>
      </c>
      <c r="AU786" s="254">
        <f t="shared" si="1222"/>
        <v>196978.60559999998</v>
      </c>
      <c r="AV786" s="255">
        <f t="shared" si="1223"/>
        <v>493712.39440000005</v>
      </c>
      <c r="AW786" s="256">
        <f t="shared" si="1224"/>
        <v>0.39897439852484279</v>
      </c>
    </row>
    <row r="787" spans="1:49">
      <c r="A787" s="108">
        <v>785</v>
      </c>
      <c r="F787" s="45">
        <v>43155.128576388888</v>
      </c>
      <c r="G787" s="45">
        <v>43155.168171296296</v>
      </c>
      <c r="H787" s="38">
        <f>G787-F787-SUM('user time'!U9:U11)</f>
        <v>3.8414351852617157E-2</v>
      </c>
      <c r="I787" s="86">
        <v>51.05</v>
      </c>
      <c r="J787" s="109" t="s">
        <v>260</v>
      </c>
      <c r="K787" s="88" t="s">
        <v>72</v>
      </c>
      <c r="L787" s="88" t="s">
        <v>73</v>
      </c>
      <c r="M787" s="88">
        <v>-369</v>
      </c>
      <c r="N787" s="108">
        <v>1</v>
      </c>
      <c r="O787" s="108">
        <v>200</v>
      </c>
      <c r="P787" s="88">
        <v>348</v>
      </c>
      <c r="Q787" s="88" t="s">
        <v>75</v>
      </c>
      <c r="R787" s="88" t="s">
        <v>348</v>
      </c>
      <c r="S787" s="110">
        <v>10300</v>
      </c>
      <c r="T787" s="110">
        <v>936</v>
      </c>
      <c r="U787" s="88">
        <v>983</v>
      </c>
      <c r="V787" s="90">
        <v>1500</v>
      </c>
      <c r="W787" s="111">
        <v>10</v>
      </c>
      <c r="X787" s="110">
        <v>49445</v>
      </c>
      <c r="Y787" s="110">
        <v>864641</v>
      </c>
      <c r="Z787" s="110">
        <v>6863638</v>
      </c>
      <c r="AA787" s="110">
        <v>2089450</v>
      </c>
      <c r="AB787" s="112">
        <v>4809208</v>
      </c>
      <c r="AC787" s="109">
        <v>160</v>
      </c>
      <c r="AD787" s="110">
        <v>-110</v>
      </c>
      <c r="AE787" s="110">
        <v>3.94</v>
      </c>
      <c r="AF787" s="110">
        <v>-0.76</v>
      </c>
      <c r="AG787" s="110">
        <v>109.9</v>
      </c>
      <c r="AH787" s="110">
        <v>-110.1</v>
      </c>
      <c r="AI787" s="110">
        <v>3.68</v>
      </c>
      <c r="AJ787" s="109">
        <v>-0.3</v>
      </c>
      <c r="AK787" s="113" t="s">
        <v>59</v>
      </c>
      <c r="AL787" s="107" t="s">
        <v>181</v>
      </c>
      <c r="AN787" s="107">
        <v>0.93600000000000005</v>
      </c>
      <c r="AO787" s="48">
        <f t="shared" si="1216"/>
        <v>124827921.89999999</v>
      </c>
      <c r="AP787" s="156">
        <f t="shared" si="1217"/>
        <v>87379545.329999983</v>
      </c>
      <c r="AQ787" s="161">
        <f t="shared" si="1218"/>
        <v>36868374592.59816</v>
      </c>
      <c r="AR787" s="163">
        <f t="shared" si="1219"/>
        <v>16.365046296285009</v>
      </c>
      <c r="AS787" s="49">
        <f t="shared" si="1220"/>
        <v>0.27854662698412697</v>
      </c>
      <c r="AT787" s="165">
        <f t="shared" si="1221"/>
        <v>112.97879067460305</v>
      </c>
      <c r="AU787" s="254">
        <f t="shared" si="1222"/>
        <v>195572.52000000002</v>
      </c>
      <c r="AV787" s="255">
        <f t="shared" si="1223"/>
        <v>494293.27999999997</v>
      </c>
      <c r="AW787" s="256">
        <f t="shared" si="1224"/>
        <v>0.39566089184947051</v>
      </c>
    </row>
    <row r="788" spans="1:49">
      <c r="A788" s="108">
        <v>786</v>
      </c>
      <c r="F788" s="45">
        <v>43155.168182870373</v>
      </c>
      <c r="G788" s="45">
        <v>43155.21607638889</v>
      </c>
      <c r="H788" s="38">
        <f>G788-F788-SUM('user time'!U12:U14)</f>
        <v>4.1377314812799132E-2</v>
      </c>
      <c r="I788" s="86">
        <v>51.22</v>
      </c>
      <c r="J788" s="109" t="s">
        <v>260</v>
      </c>
      <c r="K788" s="88" t="s">
        <v>72</v>
      </c>
      <c r="L788" s="88" t="s">
        <v>73</v>
      </c>
      <c r="M788" s="88">
        <v>-369</v>
      </c>
      <c r="N788" s="108">
        <v>1</v>
      </c>
      <c r="O788" s="108">
        <v>200</v>
      </c>
      <c r="P788" s="88">
        <v>348</v>
      </c>
      <c r="Q788" s="88" t="s">
        <v>75</v>
      </c>
      <c r="R788" s="88" t="s">
        <v>348</v>
      </c>
      <c r="S788" s="110">
        <v>10100</v>
      </c>
      <c r="T788" s="110">
        <v>940</v>
      </c>
      <c r="U788" s="88">
        <v>983</v>
      </c>
      <c r="V788" s="90">
        <v>1500</v>
      </c>
      <c r="W788" s="111">
        <v>10</v>
      </c>
      <c r="X788" s="110">
        <v>49526</v>
      </c>
      <c r="Y788" s="110">
        <v>863654</v>
      </c>
      <c r="Z788" s="110">
        <v>6856289</v>
      </c>
      <c r="AA788" s="110">
        <v>2080504</v>
      </c>
      <c r="AB788" s="112">
        <v>4811933</v>
      </c>
      <c r="AC788" s="109">
        <v>160</v>
      </c>
      <c r="AD788" s="110">
        <v>-109.9</v>
      </c>
      <c r="AE788" s="110">
        <v>3.94</v>
      </c>
      <c r="AF788" s="110">
        <v>-0.76</v>
      </c>
      <c r="AG788" s="110">
        <v>109.9</v>
      </c>
      <c r="AH788" s="110">
        <v>-110.1</v>
      </c>
      <c r="AI788" s="110">
        <v>3.68</v>
      </c>
      <c r="AJ788" s="109">
        <v>-0.3</v>
      </c>
      <c r="AK788" s="113" t="s">
        <v>59</v>
      </c>
      <c r="AL788" s="107" t="s">
        <v>181</v>
      </c>
      <c r="AN788" s="107">
        <v>0.93400000000000005</v>
      </c>
      <c r="AO788" s="48">
        <f t="shared" si="1216"/>
        <v>133594363.10000001</v>
      </c>
      <c r="AP788" s="156">
        <f t="shared" si="1217"/>
        <v>93516054.170000002</v>
      </c>
      <c r="AQ788" s="161">
        <f t="shared" si="1218"/>
        <v>36961890646.768158</v>
      </c>
      <c r="AR788" s="163">
        <f t="shared" si="1219"/>
        <v>16.406423611097807</v>
      </c>
      <c r="AS788" s="49">
        <f t="shared" si="1220"/>
        <v>0.29979960317460319</v>
      </c>
      <c r="AT788" s="165">
        <f t="shared" si="1221"/>
        <v>113.27859027777765</v>
      </c>
      <c r="AU788" s="254">
        <f t="shared" si="1222"/>
        <v>194319.0736</v>
      </c>
      <c r="AV788" s="255">
        <f t="shared" si="1223"/>
        <v>494924.62639999995</v>
      </c>
      <c r="AW788" s="256">
        <f t="shared" si="1224"/>
        <v>0.39262356980181989</v>
      </c>
    </row>
    <row r="789" spans="1:49">
      <c r="A789" s="108">
        <v>787</v>
      </c>
      <c r="F789" s="45">
        <v>43155.216087962966</v>
      </c>
      <c r="G789" s="45">
        <v>43155.256932870368</v>
      </c>
      <c r="H789" s="38">
        <f>G789-F789-'user time'!U15</f>
        <v>4.0474537031690572E-2</v>
      </c>
      <c r="I789" s="86">
        <v>51.18</v>
      </c>
      <c r="J789" s="109" t="s">
        <v>260</v>
      </c>
      <c r="K789" s="88" t="s">
        <v>72</v>
      </c>
      <c r="L789" s="88" t="s">
        <v>73</v>
      </c>
      <c r="M789" s="88">
        <v>-369</v>
      </c>
      <c r="N789" s="108">
        <v>1</v>
      </c>
      <c r="O789" s="108">
        <v>200</v>
      </c>
      <c r="P789" s="88">
        <v>348</v>
      </c>
      <c r="Q789" s="88" t="s">
        <v>75</v>
      </c>
      <c r="R789" s="88" t="s">
        <v>348</v>
      </c>
      <c r="S789" s="110">
        <v>10000</v>
      </c>
      <c r="T789" s="110">
        <v>950</v>
      </c>
      <c r="U789" s="88">
        <v>983</v>
      </c>
      <c r="V789" s="90">
        <v>1500</v>
      </c>
      <c r="W789" s="111">
        <v>10</v>
      </c>
      <c r="X789" s="110">
        <v>49352</v>
      </c>
      <c r="Y789" s="110">
        <v>864284</v>
      </c>
      <c r="Z789" s="110">
        <v>6837241</v>
      </c>
      <c r="AA789" s="110">
        <v>2071167</v>
      </c>
      <c r="AB789" s="112">
        <v>4802333</v>
      </c>
      <c r="AC789" s="109">
        <v>160</v>
      </c>
      <c r="AD789" s="110">
        <v>-109.9</v>
      </c>
      <c r="AE789" s="110">
        <v>3.94</v>
      </c>
      <c r="AF789" s="110">
        <v>-0.76</v>
      </c>
      <c r="AG789" s="110">
        <v>109.9</v>
      </c>
      <c r="AH789" s="110">
        <v>-110.1</v>
      </c>
      <c r="AI789" s="110">
        <v>3.68</v>
      </c>
      <c r="AJ789" s="109">
        <v>-0.3</v>
      </c>
      <c r="AK789" s="113" t="s">
        <v>59</v>
      </c>
      <c r="AL789" s="107" t="s">
        <v>181</v>
      </c>
      <c r="AN789" s="107">
        <v>0.94</v>
      </c>
      <c r="AO789" s="48">
        <f t="shared" si="1216"/>
        <v>130928821.90499999</v>
      </c>
      <c r="AP789" s="156">
        <f t="shared" si="1217"/>
        <v>91650175.333499983</v>
      </c>
      <c r="AQ789" s="161">
        <f t="shared" si="1218"/>
        <v>37053540822.101662</v>
      </c>
      <c r="AR789" s="163">
        <f t="shared" si="1219"/>
        <v>16.446898148129499</v>
      </c>
      <c r="AS789" s="49">
        <f t="shared" si="1220"/>
        <v>0.29448809523809527</v>
      </c>
      <c r="AT789" s="165">
        <f t="shared" si="1221"/>
        <v>113.57307837301575</v>
      </c>
      <c r="AU789" s="254">
        <f t="shared" si="1222"/>
        <v>194689.698</v>
      </c>
      <c r="AV789" s="255">
        <f t="shared" si="1223"/>
        <v>492660.30200000003</v>
      </c>
      <c r="AW789" s="256">
        <f t="shared" si="1224"/>
        <v>0.39518040566621498</v>
      </c>
    </row>
    <row r="790" spans="1:49">
      <c r="A790" s="108">
        <v>788</v>
      </c>
      <c r="F790" s="45">
        <v>43155.256956018522</v>
      </c>
      <c r="G790" s="45">
        <v>43155.298946759256</v>
      </c>
      <c r="H790" s="38">
        <f>G790-F790-SUM('user time'!U16:U18)</f>
        <v>4.0509259252554608E-2</v>
      </c>
      <c r="I790" s="86">
        <v>51.05</v>
      </c>
      <c r="J790" s="109" t="s">
        <v>260</v>
      </c>
      <c r="K790" s="88" t="s">
        <v>72</v>
      </c>
      <c r="L790" s="88" t="s">
        <v>73</v>
      </c>
      <c r="M790" s="88">
        <v>-369</v>
      </c>
      <c r="N790" s="108">
        <v>1</v>
      </c>
      <c r="O790" s="108">
        <v>200</v>
      </c>
      <c r="P790" s="88">
        <v>348</v>
      </c>
      <c r="Q790" s="88" t="s">
        <v>75</v>
      </c>
      <c r="R790" s="88" t="s">
        <v>348</v>
      </c>
      <c r="S790" s="110">
        <v>10100</v>
      </c>
      <c r="T790" s="110">
        <v>940</v>
      </c>
      <c r="U790" s="88">
        <v>983</v>
      </c>
      <c r="V790" s="90">
        <v>1500</v>
      </c>
      <c r="W790" s="111">
        <v>10</v>
      </c>
      <c r="X790" s="110">
        <v>49199</v>
      </c>
      <c r="Y790" s="110">
        <v>863237</v>
      </c>
      <c r="Z790" s="110">
        <v>6820492</v>
      </c>
      <c r="AA790" s="110">
        <v>2050895</v>
      </c>
      <c r="AB790" s="112">
        <v>4806498</v>
      </c>
      <c r="AC790" s="109">
        <v>160</v>
      </c>
      <c r="AD790" s="110">
        <v>-109.9</v>
      </c>
      <c r="AE790" s="110">
        <v>3.94</v>
      </c>
      <c r="AF790" s="110">
        <v>-0.76</v>
      </c>
      <c r="AG790" s="110">
        <v>109.9</v>
      </c>
      <c r="AH790" s="110">
        <v>-110.1</v>
      </c>
      <c r="AI790" s="110">
        <v>3.68</v>
      </c>
      <c r="AJ790" s="109">
        <v>-0.3</v>
      </c>
      <c r="AK790" s="113" t="s">
        <v>59</v>
      </c>
      <c r="AL790" s="107" t="s">
        <v>181</v>
      </c>
      <c r="AN790" s="107">
        <v>0.93600000000000005</v>
      </c>
      <c r="AO790" s="48">
        <f t="shared" si="1216"/>
        <v>129206385.00000003</v>
      </c>
      <c r="AP790" s="156">
        <f t="shared" si="1217"/>
        <v>90444469.500000015</v>
      </c>
      <c r="AQ790" s="161">
        <f t="shared" si="1218"/>
        <v>37143985291.601662</v>
      </c>
      <c r="AR790" s="163">
        <f t="shared" si="1219"/>
        <v>16.487407407382054</v>
      </c>
      <c r="AS790" s="49">
        <f t="shared" si="1220"/>
        <v>0.29374007936507934</v>
      </c>
      <c r="AT790" s="165">
        <f t="shared" si="1221"/>
        <v>113.86681845238083</v>
      </c>
      <c r="AU790" s="254">
        <f t="shared" si="1222"/>
        <v>191963.772</v>
      </c>
      <c r="AV790" s="255">
        <f t="shared" si="1223"/>
        <v>493775.52799999999</v>
      </c>
      <c r="AW790" s="256">
        <f t="shared" si="1224"/>
        <v>0.38876728617461981</v>
      </c>
    </row>
    <row r="791" spans="1:49">
      <c r="A791" s="108">
        <v>789</v>
      </c>
      <c r="F791" s="45">
        <v>43155.298958333333</v>
      </c>
      <c r="G791" s="45">
        <v>43155.345104166663</v>
      </c>
      <c r="H791" s="38">
        <f>G791-F791-SUM('user time'!U19:U21)</f>
        <v>4.093749999689561E-2</v>
      </c>
      <c r="I791" s="86">
        <v>51.05</v>
      </c>
      <c r="J791" s="109" t="s">
        <v>260</v>
      </c>
      <c r="K791" s="88" t="s">
        <v>72</v>
      </c>
      <c r="L791" s="88" t="s">
        <v>73</v>
      </c>
      <c r="M791" s="88">
        <v>-369</v>
      </c>
      <c r="N791" s="108">
        <v>1</v>
      </c>
      <c r="O791" s="108">
        <v>200</v>
      </c>
      <c r="P791" s="88">
        <v>348</v>
      </c>
      <c r="Q791" s="88" t="s">
        <v>75</v>
      </c>
      <c r="R791" s="88" t="s">
        <v>348</v>
      </c>
      <c r="S791" s="110">
        <v>10000</v>
      </c>
      <c r="T791" s="110">
        <v>940</v>
      </c>
      <c r="U791" s="88">
        <v>983</v>
      </c>
      <c r="V791" s="90">
        <v>1500</v>
      </c>
      <c r="W791" s="111">
        <v>10</v>
      </c>
      <c r="X791" s="110">
        <v>49527</v>
      </c>
      <c r="Y791" s="110">
        <v>862580</v>
      </c>
      <c r="Z791" s="110">
        <v>6886867</v>
      </c>
      <c r="AA791" s="110">
        <v>2051457</v>
      </c>
      <c r="AB791" s="112">
        <v>4871889</v>
      </c>
      <c r="AC791" s="109">
        <v>160</v>
      </c>
      <c r="AD791" s="110">
        <v>-109.9</v>
      </c>
      <c r="AE791" s="110">
        <v>3.94</v>
      </c>
      <c r="AF791" s="110">
        <v>-0.76</v>
      </c>
      <c r="AG791" s="110">
        <v>109.9</v>
      </c>
      <c r="AH791" s="110">
        <v>-110.1</v>
      </c>
      <c r="AI791" s="110">
        <v>3.68</v>
      </c>
      <c r="AJ791" s="109">
        <v>-0.3</v>
      </c>
      <c r="AK791" s="113" t="s">
        <v>59</v>
      </c>
      <c r="AL791" s="107" t="s">
        <v>181</v>
      </c>
      <c r="AN791" s="107">
        <v>0.92900000000000005</v>
      </c>
      <c r="AO791" s="48">
        <f t="shared" si="1216"/>
        <v>129631291.67232691</v>
      </c>
      <c r="AP791" s="156">
        <f t="shared" si="1217"/>
        <v>90741904.170628831</v>
      </c>
      <c r="AQ791" s="161">
        <f t="shared" si="1218"/>
        <v>37234727195.772293</v>
      </c>
      <c r="AR791" s="163">
        <f t="shared" si="1219"/>
        <v>16.528344907378951</v>
      </c>
      <c r="AS791" s="49">
        <f t="shared" si="1220"/>
        <v>0.29374007936507934</v>
      </c>
      <c r="AT791" s="165">
        <f t="shared" si="1221"/>
        <v>114.16055853174591</v>
      </c>
      <c r="AU791" s="254">
        <f t="shared" si="1222"/>
        <v>190580.35530000002</v>
      </c>
      <c r="AV791" s="255">
        <f t="shared" si="1223"/>
        <v>501754.24470000004</v>
      </c>
      <c r="AW791" s="256">
        <f t="shared" si="1224"/>
        <v>0.37982808778020094</v>
      </c>
    </row>
    <row r="792" spans="1:49">
      <c r="A792" s="108">
        <v>790</v>
      </c>
      <c r="F792" s="45">
        <v>43155.34642361111</v>
      </c>
      <c r="G792" s="45">
        <v>43155.389849537038</v>
      </c>
      <c r="H792" s="38">
        <f>G792-F792</f>
        <v>4.3425925927294884E-2</v>
      </c>
      <c r="I792" s="86">
        <v>51.2</v>
      </c>
      <c r="J792" s="109" t="s">
        <v>260</v>
      </c>
      <c r="K792" s="88" t="s">
        <v>72</v>
      </c>
      <c r="L792" s="88" t="s">
        <v>73</v>
      </c>
      <c r="M792" s="88">
        <v>-369</v>
      </c>
      <c r="N792" s="108">
        <v>1</v>
      </c>
      <c r="O792" s="108">
        <v>200</v>
      </c>
      <c r="P792" s="88">
        <v>348</v>
      </c>
      <c r="Q792" s="88" t="s">
        <v>75</v>
      </c>
      <c r="R792" s="88" t="s">
        <v>348</v>
      </c>
      <c r="S792" s="110">
        <v>10500</v>
      </c>
      <c r="T792" s="110">
        <v>962</v>
      </c>
      <c r="U792" s="88">
        <v>983</v>
      </c>
      <c r="V792" s="90">
        <v>1500</v>
      </c>
      <c r="W792" s="111">
        <v>10</v>
      </c>
      <c r="X792" s="110">
        <v>49471</v>
      </c>
      <c r="Y792" s="110">
        <v>864417</v>
      </c>
      <c r="Z792" s="110">
        <v>7133143</v>
      </c>
      <c r="AA792" s="110">
        <v>2130586</v>
      </c>
      <c r="AB792" s="112">
        <v>5040294</v>
      </c>
      <c r="AC792" s="109">
        <v>160</v>
      </c>
      <c r="AD792" s="110">
        <v>-109.9</v>
      </c>
      <c r="AE792" s="110">
        <v>3.94</v>
      </c>
      <c r="AF792" s="110">
        <v>-0.76</v>
      </c>
      <c r="AG792" s="110">
        <v>109.9</v>
      </c>
      <c r="AH792" s="110">
        <v>-110.1</v>
      </c>
      <c r="AI792" s="110">
        <v>3.71</v>
      </c>
      <c r="AJ792" s="109">
        <v>-0.36</v>
      </c>
      <c r="AK792" s="113" t="s">
        <v>59</v>
      </c>
      <c r="AL792" s="107" t="s">
        <v>876</v>
      </c>
      <c r="AN792" s="107">
        <v>0.94699999999999995</v>
      </c>
      <c r="AO792" s="48">
        <f t="shared" ref="AO792:AO793" si="1225">(HOUR(H792)*60*60+MINUTE(H792)*60+SECOND(H792))/5.2*AA792/W792*AN792</f>
        <v>145582285.81507692</v>
      </c>
      <c r="AP792" s="156">
        <f t="shared" ref="AP792:AP793" si="1226">AO792*0.7</f>
        <v>101907600.07055384</v>
      </c>
      <c r="AQ792" s="161">
        <f t="shared" ref="AQ792:AQ793" si="1227">AP792+AQ791</f>
        <v>37336634795.84285</v>
      </c>
      <c r="AR792" s="163">
        <f t="shared" ref="AR792:AR793" si="1228">H792+AR791</f>
        <v>16.571770833306246</v>
      </c>
      <c r="AS792" s="49">
        <f t="shared" ref="AS792:AS793" si="1229">I792*(HOUR(H792)*60+MINUTE(H792))/60/(7*24)</f>
        <v>0.31492063492063493</v>
      </c>
      <c r="AT792" s="165">
        <f t="shared" ref="AT792:AT793" si="1230">AS792+AT791</f>
        <v>114.47547916666655</v>
      </c>
      <c r="AU792" s="254">
        <f t="shared" ref="AU792:AU793" si="1231">AA792/W792*AN792</f>
        <v>201766.49419999999</v>
      </c>
      <c r="AV792" s="255">
        <f t="shared" ref="AV792:AV793" si="1232">AB792/W792+AA792/W792*(1-AN792)</f>
        <v>515321.50580000004</v>
      </c>
      <c r="AW792" s="256">
        <f t="shared" ref="AW792:AW793" si="1233">AU792/AV792</f>
        <v>0.39153517159500617</v>
      </c>
    </row>
    <row r="793" spans="1:49">
      <c r="A793" s="108">
        <v>791</v>
      </c>
      <c r="F793" s="45">
        <v>43155.389884259261</v>
      </c>
      <c r="G793" s="45">
        <v>43155.432141203702</v>
      </c>
      <c r="H793" s="38">
        <f>G793-F793-SUM('user time'!U22:U24)</f>
        <v>4.0995370367686301E-2</v>
      </c>
      <c r="I793" s="86">
        <v>51.15</v>
      </c>
      <c r="J793" s="109" t="s">
        <v>260</v>
      </c>
      <c r="K793" s="88" t="s">
        <v>72</v>
      </c>
      <c r="L793" s="88" t="s">
        <v>73</v>
      </c>
      <c r="M793" s="88">
        <v>-369</v>
      </c>
      <c r="N793" s="108">
        <v>1</v>
      </c>
      <c r="O793" s="108">
        <v>200</v>
      </c>
      <c r="P793" s="88">
        <v>348</v>
      </c>
      <c r="Q793" s="88" t="s">
        <v>75</v>
      </c>
      <c r="R793" s="88" t="s">
        <v>348</v>
      </c>
      <c r="S793" s="110">
        <v>10500</v>
      </c>
      <c r="T793" s="110">
        <v>961</v>
      </c>
      <c r="U793" s="88">
        <v>983</v>
      </c>
      <c r="V793" s="90">
        <v>1500</v>
      </c>
      <c r="W793" s="111">
        <v>10</v>
      </c>
      <c r="X793" s="110">
        <v>49411</v>
      </c>
      <c r="Y793" s="110">
        <v>865290</v>
      </c>
      <c r="Z793" s="110">
        <v>7158295</v>
      </c>
      <c r="AA793" s="110">
        <v>2137102</v>
      </c>
      <c r="AB793" s="112">
        <v>5058728</v>
      </c>
      <c r="AC793" s="109">
        <v>160</v>
      </c>
      <c r="AD793" s="110">
        <v>-109.9</v>
      </c>
      <c r="AE793" s="110">
        <v>3.94</v>
      </c>
      <c r="AF793" s="110">
        <v>-0.76</v>
      </c>
      <c r="AG793" s="110">
        <v>109.9</v>
      </c>
      <c r="AH793" s="110">
        <v>-110.1</v>
      </c>
      <c r="AI793" s="110">
        <v>3.71</v>
      </c>
      <c r="AJ793" s="109">
        <v>-0.36</v>
      </c>
      <c r="AK793" s="113" t="s">
        <v>59</v>
      </c>
      <c r="AL793" s="107" t="s">
        <v>181</v>
      </c>
      <c r="AN793" s="107">
        <v>0.94399999999999995</v>
      </c>
      <c r="AO793" s="48">
        <f t="shared" si="1225"/>
        <v>137417631.30953845</v>
      </c>
      <c r="AP793" s="156">
        <f t="shared" si="1226"/>
        <v>96192341.916676909</v>
      </c>
      <c r="AQ793" s="161">
        <f t="shared" si="1227"/>
        <v>37432827137.759529</v>
      </c>
      <c r="AR793" s="163">
        <f t="shared" si="1228"/>
        <v>16.612766203673932</v>
      </c>
      <c r="AS793" s="49">
        <f t="shared" si="1229"/>
        <v>0.29938988095238095</v>
      </c>
      <c r="AT793" s="165">
        <f t="shared" si="1230"/>
        <v>114.77486904761892</v>
      </c>
      <c r="AU793" s="254">
        <f t="shared" si="1231"/>
        <v>201742.42879999999</v>
      </c>
      <c r="AV793" s="255">
        <f t="shared" si="1232"/>
        <v>517840.57120000001</v>
      </c>
      <c r="AW793" s="256">
        <f t="shared" si="1233"/>
        <v>0.38958405350994252</v>
      </c>
    </row>
    <row r="794" spans="1:49">
      <c r="A794" s="108">
        <v>792</v>
      </c>
      <c r="F794" s="45">
        <v>43155.432175925926</v>
      </c>
      <c r="G794" s="45">
        <v>43155.474328703705</v>
      </c>
      <c r="H794" s="38">
        <f>G794-F794</f>
        <v>4.2152777779847383E-2</v>
      </c>
      <c r="I794" s="86">
        <v>51.12</v>
      </c>
      <c r="J794" s="109" t="s">
        <v>260</v>
      </c>
      <c r="K794" s="88" t="s">
        <v>72</v>
      </c>
      <c r="L794" s="88" t="s">
        <v>73</v>
      </c>
      <c r="M794" s="88">
        <v>-369</v>
      </c>
      <c r="N794" s="108">
        <v>1</v>
      </c>
      <c r="O794" s="108">
        <v>200</v>
      </c>
      <c r="P794" s="88">
        <v>348</v>
      </c>
      <c r="Q794" s="88" t="s">
        <v>75</v>
      </c>
      <c r="R794" s="88" t="s">
        <v>348</v>
      </c>
      <c r="S794" s="110">
        <v>10500</v>
      </c>
      <c r="T794" s="110">
        <v>959</v>
      </c>
      <c r="U794" s="88">
        <v>983</v>
      </c>
      <c r="V794" s="90">
        <v>1500</v>
      </c>
      <c r="W794" s="111">
        <v>10</v>
      </c>
      <c r="X794" s="110">
        <v>49241</v>
      </c>
      <c r="Y794" s="110">
        <v>864421</v>
      </c>
      <c r="Z794" s="110">
        <v>7183129</v>
      </c>
      <c r="AA794" s="110">
        <v>2135711</v>
      </c>
      <c r="AB794" s="112">
        <v>5084216</v>
      </c>
      <c r="AC794" s="109">
        <v>160</v>
      </c>
      <c r="AD794" s="110">
        <v>-109.9</v>
      </c>
      <c r="AE794" s="110">
        <v>3.94</v>
      </c>
      <c r="AF794" s="110">
        <v>-0.77</v>
      </c>
      <c r="AG794" s="110">
        <v>109.9</v>
      </c>
      <c r="AH794" s="110">
        <v>-110.1</v>
      </c>
      <c r="AI794" s="110">
        <v>3.71</v>
      </c>
      <c r="AJ794" s="109">
        <v>-0.36</v>
      </c>
      <c r="AK794" s="113" t="s">
        <v>59</v>
      </c>
      <c r="AL794" s="107" t="s">
        <v>181</v>
      </c>
      <c r="AN794" s="107">
        <v>0.94</v>
      </c>
      <c r="AO794" s="48">
        <f t="shared" ref="AO794:AO795" si="1234">(HOUR(H794)*60*60+MINUTE(H794)*60+SECOND(H794))/5.2*AA794/W794*AN794</f>
        <v>140606997.96692306</v>
      </c>
      <c r="AP794" s="156">
        <f t="shared" ref="AP794:AP795" si="1235">AO794*0.7</f>
        <v>98424898.576846138</v>
      </c>
      <c r="AQ794" s="161">
        <f t="shared" ref="AQ794:AQ795" si="1236">AP794+AQ793</f>
        <v>37531252036.336372</v>
      </c>
      <c r="AR794" s="163">
        <f t="shared" ref="AR794:AR795" si="1237">H794+AR793</f>
        <v>16.654918981453779</v>
      </c>
      <c r="AS794" s="49">
        <f t="shared" ref="AS794:AS795" si="1238">I794*(HOUR(H794)*60+MINUTE(H794))/60/(7*24)</f>
        <v>0.30428571428571427</v>
      </c>
      <c r="AT794" s="165">
        <f t="shared" ref="AT794:AT795" si="1239">AS794+AT793</f>
        <v>115.07915476190463</v>
      </c>
      <c r="AU794" s="254">
        <f t="shared" ref="AU794:AU795" si="1240">AA794/W794*AN794</f>
        <v>200756.834</v>
      </c>
      <c r="AV794" s="255">
        <f t="shared" ref="AV794:AV795" si="1241">AB794/W794+AA794/W794*(1-AN794)</f>
        <v>521235.86599999998</v>
      </c>
      <c r="AW794" s="256">
        <f t="shared" ref="AW794:AW795" si="1242">AU794/AV794</f>
        <v>0.38515544899206916</v>
      </c>
    </row>
    <row r="795" spans="1:49">
      <c r="A795" s="108">
        <v>793</v>
      </c>
      <c r="F795" s="45">
        <v>43155.474351851852</v>
      </c>
      <c r="G795" s="45">
        <v>43155.516516203701</v>
      </c>
      <c r="H795" s="38">
        <f>G795-F795</f>
        <v>4.2164351849351078E-2</v>
      </c>
      <c r="I795" s="86">
        <v>51.11</v>
      </c>
      <c r="J795" s="109" t="s">
        <v>260</v>
      </c>
      <c r="K795" s="88" t="s">
        <v>72</v>
      </c>
      <c r="L795" s="88" t="s">
        <v>73</v>
      </c>
      <c r="M795" s="88">
        <v>-369</v>
      </c>
      <c r="N795" s="108">
        <v>1</v>
      </c>
      <c r="O795" s="108">
        <v>200</v>
      </c>
      <c r="P795" s="88">
        <v>348</v>
      </c>
      <c r="Q795" s="88" t="s">
        <v>75</v>
      </c>
      <c r="R795" s="88" t="s">
        <v>348</v>
      </c>
      <c r="S795" s="110">
        <v>10500</v>
      </c>
      <c r="T795" s="110">
        <v>952</v>
      </c>
      <c r="U795" s="88">
        <v>983</v>
      </c>
      <c r="V795" s="90">
        <v>1500</v>
      </c>
      <c r="W795" s="111">
        <v>10</v>
      </c>
      <c r="X795" s="110">
        <v>49172</v>
      </c>
      <c r="Y795" s="110">
        <v>861587</v>
      </c>
      <c r="Z795" s="110">
        <v>7158401</v>
      </c>
      <c r="AA795" s="110">
        <v>2119595</v>
      </c>
      <c r="AB795" s="112">
        <v>5076331</v>
      </c>
      <c r="AC795" s="109">
        <v>160</v>
      </c>
      <c r="AD795" s="110">
        <v>-109.9</v>
      </c>
      <c r="AE795" s="110">
        <v>3.94</v>
      </c>
      <c r="AF795" s="110">
        <v>-0.77</v>
      </c>
      <c r="AG795" s="110">
        <v>109.9</v>
      </c>
      <c r="AH795" s="110">
        <v>-110.1</v>
      </c>
      <c r="AI795" s="110">
        <v>3.71</v>
      </c>
      <c r="AJ795" s="109">
        <v>-0.36</v>
      </c>
      <c r="AK795" s="113" t="s">
        <v>59</v>
      </c>
      <c r="AL795" s="107" t="s">
        <v>181</v>
      </c>
      <c r="AN795" s="107">
        <v>0.93600000000000005</v>
      </c>
      <c r="AO795" s="48">
        <f t="shared" si="1234"/>
        <v>138990322.53</v>
      </c>
      <c r="AP795" s="156">
        <f t="shared" si="1235"/>
        <v>97293225.770999998</v>
      </c>
      <c r="AQ795" s="161">
        <f t="shared" si="1236"/>
        <v>37628545262.107376</v>
      </c>
      <c r="AR795" s="163">
        <f t="shared" si="1237"/>
        <v>16.69708333330313</v>
      </c>
      <c r="AS795" s="49">
        <f t="shared" si="1238"/>
        <v>0.30422619047619048</v>
      </c>
      <c r="AT795" s="165">
        <f t="shared" si="1239"/>
        <v>115.38338095238082</v>
      </c>
      <c r="AU795" s="254">
        <f t="shared" si="1240"/>
        <v>198394.092</v>
      </c>
      <c r="AV795" s="255">
        <f t="shared" si="1241"/>
        <v>521198.50799999997</v>
      </c>
      <c r="AW795" s="256">
        <f t="shared" si="1242"/>
        <v>0.38064976962673885</v>
      </c>
    </row>
    <row r="796" spans="1:49">
      <c r="A796" s="108">
        <v>794</v>
      </c>
      <c r="F796" s="45">
        <v>43155.516539351855</v>
      </c>
      <c r="G796" s="45">
        <v>43155.562372685185</v>
      </c>
      <c r="H796" s="38">
        <f>G796-F796-'user time'!U25</f>
        <v>4.5393518515123077E-2</v>
      </c>
      <c r="I796" s="86">
        <v>51.09</v>
      </c>
      <c r="J796" s="109" t="s">
        <v>260</v>
      </c>
      <c r="K796" s="88" t="s">
        <v>72</v>
      </c>
      <c r="L796" s="88" t="s">
        <v>73</v>
      </c>
      <c r="M796" s="88">
        <v>-369</v>
      </c>
      <c r="N796" s="108">
        <v>1</v>
      </c>
      <c r="O796" s="108">
        <v>200</v>
      </c>
      <c r="P796" s="88">
        <v>348</v>
      </c>
      <c r="Q796" s="88" t="s">
        <v>75</v>
      </c>
      <c r="R796" s="88" t="s">
        <v>348</v>
      </c>
      <c r="S796" s="110">
        <v>10500</v>
      </c>
      <c r="T796" s="110">
        <v>956</v>
      </c>
      <c r="U796" s="88">
        <v>983</v>
      </c>
      <c r="V796" s="90">
        <v>1500</v>
      </c>
      <c r="W796" s="111">
        <v>10</v>
      </c>
      <c r="X796" s="110">
        <v>49598</v>
      </c>
      <c r="Y796" s="110">
        <v>862168</v>
      </c>
      <c r="Z796" s="110">
        <v>7166813</v>
      </c>
      <c r="AA796" s="110">
        <v>2108724</v>
      </c>
      <c r="AB796" s="112">
        <v>5096379</v>
      </c>
      <c r="AC796" s="109">
        <v>160</v>
      </c>
      <c r="AD796" s="110">
        <v>-110</v>
      </c>
      <c r="AE796" s="110">
        <v>3.94</v>
      </c>
      <c r="AF796" s="110">
        <v>-0.77</v>
      </c>
      <c r="AG796" s="110">
        <v>109.9</v>
      </c>
      <c r="AH796" s="110">
        <v>-110.1</v>
      </c>
      <c r="AI796" s="110">
        <v>3.71</v>
      </c>
      <c r="AJ796" s="109">
        <v>-0.36</v>
      </c>
      <c r="AK796" s="113" t="s">
        <v>59</v>
      </c>
      <c r="AL796" s="107" t="s">
        <v>181</v>
      </c>
      <c r="AN796" s="107">
        <v>0.93899999999999995</v>
      </c>
      <c r="AO796" s="48">
        <f t="shared" ref="AO796" si="1243">(HOUR(H796)*60*60+MINUTE(H796)*60+SECOND(H796))/5.2*AA796/W796*AN796</f>
        <v>149344618.8613846</v>
      </c>
      <c r="AP796" s="156">
        <f t="shared" ref="AP796" si="1244">AO796*0.7</f>
        <v>104541233.20296921</v>
      </c>
      <c r="AQ796" s="161">
        <f t="shared" ref="AQ796" si="1245">AP796+AQ795</f>
        <v>37733086495.310349</v>
      </c>
      <c r="AR796" s="163">
        <f t="shared" ref="AR796" si="1246">H796+AR795</f>
        <v>16.742476851818253</v>
      </c>
      <c r="AS796" s="49">
        <f t="shared" ref="AS796" si="1247">I796*(HOUR(H796)*60+MINUTE(H796))/60/(7*24)</f>
        <v>0.32944940476190476</v>
      </c>
      <c r="AT796" s="165">
        <f t="shared" ref="AT796" si="1248">AS796+AT795</f>
        <v>115.71283035714272</v>
      </c>
      <c r="AU796" s="254">
        <f t="shared" ref="AU796" si="1249">AA796/W796*AN796</f>
        <v>198009.18359999999</v>
      </c>
      <c r="AV796" s="255">
        <f t="shared" ref="AV796" si="1250">AB796/W796+AA796/W796*(1-AN796)</f>
        <v>522501.11640000006</v>
      </c>
      <c r="AW796" s="256">
        <f t="shared" ref="AW796" si="1251">AU796/AV796</f>
        <v>0.3789641349750042</v>
      </c>
    </row>
    <row r="797" spans="1:49">
      <c r="A797" s="108">
        <v>795</v>
      </c>
      <c r="F797" s="45">
        <v>43155.563599537039</v>
      </c>
      <c r="G797" s="45">
        <v>43155.581354166665</v>
      </c>
      <c r="H797" s="38">
        <f>G797-F797</f>
        <v>1.7754629625414964E-2</v>
      </c>
      <c r="I797" s="86">
        <v>51.11</v>
      </c>
      <c r="J797" s="109" t="s">
        <v>260</v>
      </c>
      <c r="K797" s="88" t="s">
        <v>72</v>
      </c>
      <c r="L797" s="88" t="s">
        <v>73</v>
      </c>
      <c r="M797" s="88">
        <v>-369</v>
      </c>
      <c r="N797" s="108">
        <v>1</v>
      </c>
      <c r="O797" s="108">
        <v>200</v>
      </c>
      <c r="P797" s="88">
        <v>351</v>
      </c>
      <c r="Q797" s="88" t="s">
        <v>75</v>
      </c>
      <c r="R797" s="88" t="s">
        <v>348</v>
      </c>
      <c r="S797" s="110">
        <v>10100</v>
      </c>
      <c r="T797" s="110">
        <v>930</v>
      </c>
      <c r="U797" s="88">
        <v>983</v>
      </c>
      <c r="V797" s="90">
        <v>1500</v>
      </c>
      <c r="W797" s="111">
        <v>10</v>
      </c>
      <c r="X797" s="110">
        <v>49621</v>
      </c>
      <c r="Y797" s="110">
        <v>863137</v>
      </c>
      <c r="Z797" s="110">
        <v>6806604</v>
      </c>
      <c r="AA797" s="110">
        <v>2126402</v>
      </c>
      <c r="AB797" s="112">
        <v>4710073</v>
      </c>
      <c r="AC797" s="109">
        <v>160</v>
      </c>
      <c r="AD797" s="110">
        <v>-109.9</v>
      </c>
      <c r="AE797" s="110">
        <v>3.94</v>
      </c>
      <c r="AF797" s="110">
        <v>-0.77</v>
      </c>
      <c r="AG797" s="110">
        <v>109.9</v>
      </c>
      <c r="AH797" s="110">
        <v>-110.1</v>
      </c>
      <c r="AI797" s="110">
        <v>3.71</v>
      </c>
      <c r="AJ797" s="109">
        <v>-0.36</v>
      </c>
      <c r="AK797" s="113" t="s">
        <v>59</v>
      </c>
      <c r="AL797" s="107" t="s">
        <v>878</v>
      </c>
      <c r="AN797" s="107">
        <v>0.96199999999999997</v>
      </c>
      <c r="AO797" s="48">
        <f t="shared" ref="AO797" si="1252">(HOUR(H797)*60*60+MINUTE(H797)*60+SECOND(H797))/5.2*AA797/W797*AN797</f>
        <v>60345162.357999995</v>
      </c>
      <c r="AP797" s="156">
        <f t="shared" ref="AP797" si="1253">AO797*0.7</f>
        <v>42241613.650599994</v>
      </c>
      <c r="AQ797" s="161">
        <f t="shared" ref="AQ797" si="1254">AP797+AQ796</f>
        <v>37775328108.960945</v>
      </c>
      <c r="AR797" s="163">
        <f t="shared" ref="AR797" si="1255">H797+AR796</f>
        <v>16.760231481443668</v>
      </c>
      <c r="AS797" s="49">
        <f t="shared" ref="AS797" si="1256">I797*(HOUR(H797)*60+MINUTE(H797))/60/(7*24)</f>
        <v>0.12676091269841269</v>
      </c>
      <c r="AT797" s="165">
        <f t="shared" ref="AT797" si="1257">AS797+AT796</f>
        <v>115.83959126984114</v>
      </c>
      <c r="AU797" s="254">
        <f t="shared" ref="AU797" si="1258">AA797/W797*AN797</f>
        <v>204559.87239999999</v>
      </c>
      <c r="AV797" s="255">
        <f t="shared" ref="AV797" si="1259">AB797/W797+AA797/W797*(1-AN797)</f>
        <v>479087.62760000001</v>
      </c>
      <c r="AW797" s="256">
        <f t="shared" ref="AW797" si="1260">AU797/AV797</f>
        <v>0.42697799027862016</v>
      </c>
    </row>
    <row r="798" spans="1:49">
      <c r="A798" s="108">
        <v>796</v>
      </c>
      <c r="F798" s="45">
        <v>43155.608402777776</v>
      </c>
      <c r="G798" s="45">
        <v>43155.650439814817</v>
      </c>
      <c r="H798" s="38">
        <f>G798-F798-'user time'!U27</f>
        <v>4.1504629633747236E-2</v>
      </c>
      <c r="I798" s="86">
        <v>51.14</v>
      </c>
      <c r="J798" s="109" t="s">
        <v>260</v>
      </c>
      <c r="K798" s="88" t="s">
        <v>72</v>
      </c>
      <c r="L798" s="88" t="s">
        <v>73</v>
      </c>
      <c r="M798" s="88">
        <v>-369</v>
      </c>
      <c r="N798" s="108">
        <v>1</v>
      </c>
      <c r="O798" s="108">
        <v>200</v>
      </c>
      <c r="P798" s="88">
        <v>351</v>
      </c>
      <c r="Q798" s="88" t="s">
        <v>75</v>
      </c>
      <c r="R798" s="88" t="s">
        <v>348</v>
      </c>
      <c r="S798" s="110">
        <v>10100</v>
      </c>
      <c r="T798" s="110">
        <v>910</v>
      </c>
      <c r="U798" s="88">
        <v>983</v>
      </c>
      <c r="V798" s="90">
        <v>1500</v>
      </c>
      <c r="W798" s="111">
        <v>10</v>
      </c>
      <c r="X798" s="110">
        <v>49558</v>
      </c>
      <c r="Y798" s="110">
        <v>866915</v>
      </c>
      <c r="Z798" s="110">
        <v>6837995</v>
      </c>
      <c r="AA798" s="110">
        <v>2134855</v>
      </c>
      <c r="AB798" s="112">
        <v>4733503</v>
      </c>
      <c r="AC798" s="109">
        <v>160</v>
      </c>
      <c r="AD798" s="110">
        <v>-109.9</v>
      </c>
      <c r="AE798" s="110">
        <v>3.94</v>
      </c>
      <c r="AF798" s="110">
        <v>-0.77</v>
      </c>
      <c r="AG798" s="110">
        <v>109.9</v>
      </c>
      <c r="AH798" s="110">
        <v>-110.1</v>
      </c>
      <c r="AI798" s="110">
        <v>3.71</v>
      </c>
      <c r="AJ798" s="109">
        <v>-0.36</v>
      </c>
      <c r="AK798" s="113" t="s">
        <v>59</v>
      </c>
      <c r="AL798" s="107" t="s">
        <v>181</v>
      </c>
      <c r="AN798" s="107">
        <v>0.96099999999999997</v>
      </c>
      <c r="AO798" s="48">
        <f t="shared" ref="AO798" si="1261">(HOUR(H798)*60*60+MINUTE(H798)*60+SECOND(H798))/5.2*AA798/W798*AN798</f>
        <v>141481192.66980767</v>
      </c>
      <c r="AP798" s="156">
        <f t="shared" ref="AP798" si="1262">AO798*0.7</f>
        <v>99036834.868865371</v>
      </c>
      <c r="AQ798" s="161">
        <f t="shared" ref="AQ798" si="1263">AP798+AQ797</f>
        <v>37874364943.829811</v>
      </c>
      <c r="AR798" s="163">
        <f t="shared" ref="AR798" si="1264">H798+AR797</f>
        <v>16.801736111077414</v>
      </c>
      <c r="AS798" s="49">
        <f t="shared" ref="AS798" si="1265">I798*(HOUR(H798)*60+MINUTE(H798))/60/(7*24)</f>
        <v>0.29933134920634924</v>
      </c>
      <c r="AT798" s="165">
        <f t="shared" ref="AT798" si="1266">AS798+AT797</f>
        <v>116.13892261904749</v>
      </c>
      <c r="AU798" s="254">
        <f t="shared" ref="AU798" si="1267">AA798/W798*AN798</f>
        <v>205159.5655</v>
      </c>
      <c r="AV798" s="255">
        <f t="shared" ref="AV798" si="1268">AB798/W798+AA798/W798*(1-AN798)</f>
        <v>481676.23450000002</v>
      </c>
      <c r="AW798" s="256">
        <f t="shared" ref="AW798" si="1269">AU798/AV798</f>
        <v>0.42592835354014125</v>
      </c>
    </row>
    <row r="799" spans="1:49">
      <c r="A799" s="108">
        <v>797</v>
      </c>
      <c r="F799" s="45">
        <v>43155.650462962964</v>
      </c>
      <c r="G799" s="45">
        <v>43155.692627314813</v>
      </c>
      <c r="H799" s="38">
        <f>G799-F799</f>
        <v>4.2164351849351078E-2</v>
      </c>
      <c r="I799" s="86">
        <v>51.28</v>
      </c>
      <c r="J799" s="109" t="s">
        <v>260</v>
      </c>
      <c r="K799" s="88" t="s">
        <v>72</v>
      </c>
      <c r="L799" s="88" t="s">
        <v>73</v>
      </c>
      <c r="M799" s="88">
        <v>-369</v>
      </c>
      <c r="N799" s="108">
        <v>1</v>
      </c>
      <c r="O799" s="108">
        <v>200</v>
      </c>
      <c r="P799" s="88">
        <v>351</v>
      </c>
      <c r="Q799" s="88" t="s">
        <v>75</v>
      </c>
      <c r="R799" s="88" t="s">
        <v>348</v>
      </c>
      <c r="S799" s="110">
        <v>10200</v>
      </c>
      <c r="T799" s="110">
        <v>926</v>
      </c>
      <c r="U799" s="88">
        <v>983</v>
      </c>
      <c r="V799" s="90">
        <v>1500</v>
      </c>
      <c r="W799" s="111">
        <v>10</v>
      </c>
      <c r="X799" s="110">
        <v>49611</v>
      </c>
      <c r="Y799" s="110">
        <v>864632</v>
      </c>
      <c r="Z799" s="110">
        <v>6845318</v>
      </c>
      <c r="AA799" s="110">
        <v>2135349</v>
      </c>
      <c r="AB799" s="112">
        <v>4740950</v>
      </c>
      <c r="AC799" s="109">
        <v>160</v>
      </c>
      <c r="AD799" s="110">
        <v>-109.9</v>
      </c>
      <c r="AE799" s="110">
        <v>3.94</v>
      </c>
      <c r="AF799" s="110">
        <v>-0.77</v>
      </c>
      <c r="AG799" s="110">
        <v>109.9</v>
      </c>
      <c r="AH799" s="110">
        <v>-110.1</v>
      </c>
      <c r="AI799" s="110">
        <v>3.71</v>
      </c>
      <c r="AJ799" s="109">
        <v>-0.36</v>
      </c>
      <c r="AK799" s="113" t="s">
        <v>59</v>
      </c>
      <c r="AL799" s="107" t="s">
        <v>181</v>
      </c>
      <c r="AN799" s="107">
        <v>0.96299999999999997</v>
      </c>
      <c r="AO799" s="48">
        <f t="shared" ref="AO799:AO800" si="1270">(HOUR(H799)*60*60+MINUTE(H799)*60+SECOND(H799))/5.2*AA799/W799*AN799</f>
        <v>144062511.15271154</v>
      </c>
      <c r="AP799" s="156">
        <f t="shared" ref="AP799:AP800" si="1271">AO799*0.7</f>
        <v>100843757.80689807</v>
      </c>
      <c r="AQ799" s="161">
        <f t="shared" ref="AQ799" si="1272">AP799+AQ798</f>
        <v>37975208701.636711</v>
      </c>
      <c r="AR799" s="163">
        <f t="shared" ref="AR799" si="1273">H799+AR798</f>
        <v>16.843900462926765</v>
      </c>
      <c r="AS799" s="49">
        <f t="shared" ref="AS799" si="1274">I799*(HOUR(H799)*60+MINUTE(H799))/60/(7*24)</f>
        <v>0.30523809523809525</v>
      </c>
      <c r="AT799" s="165">
        <f t="shared" ref="AT799" si="1275">AS799+AT798</f>
        <v>116.44416071428559</v>
      </c>
      <c r="AU799" s="254">
        <f t="shared" ref="AU799:AU800" si="1276">AA799/W799*AN799</f>
        <v>205634.10869999998</v>
      </c>
      <c r="AV799" s="255">
        <f t="shared" ref="AV799:AV800" si="1277">AB799/W799+AA799/W799*(1-AN799)</f>
        <v>481995.79129999998</v>
      </c>
      <c r="AW799" s="256">
        <f t="shared" ref="AW799:AW800" si="1278">AU799/AV799</f>
        <v>0.42663050676309916</v>
      </c>
    </row>
    <row r="800" spans="1:49">
      <c r="A800" s="108">
        <v>798</v>
      </c>
      <c r="F800" s="45">
        <v>43155.692662037036</v>
      </c>
      <c r="G800" s="45">
        <v>43155.734571759262</v>
      </c>
      <c r="H800" s="38">
        <f>G800-F800-'user time'!U28</f>
        <v>4.1550925929386029E-2</v>
      </c>
      <c r="I800" s="86">
        <v>51.08</v>
      </c>
      <c r="J800" s="109" t="s">
        <v>260</v>
      </c>
      <c r="K800" s="88" t="s">
        <v>72</v>
      </c>
      <c r="L800" s="88" t="s">
        <v>73</v>
      </c>
      <c r="M800" s="88">
        <v>-369</v>
      </c>
      <c r="N800" s="108">
        <v>1</v>
      </c>
      <c r="O800" s="108">
        <v>200</v>
      </c>
      <c r="P800" s="88">
        <v>351</v>
      </c>
      <c r="Q800" s="88" t="s">
        <v>75</v>
      </c>
      <c r="R800" s="88" t="s">
        <v>348</v>
      </c>
      <c r="S800" s="110">
        <v>10000</v>
      </c>
      <c r="T800" s="110">
        <v>928</v>
      </c>
      <c r="U800" s="88">
        <v>983</v>
      </c>
      <c r="V800" s="90">
        <v>1500</v>
      </c>
      <c r="W800" s="111">
        <v>10</v>
      </c>
      <c r="X800" s="110">
        <v>49339</v>
      </c>
      <c r="Y800" s="110">
        <v>862176</v>
      </c>
      <c r="Z800" s="110">
        <v>6793588</v>
      </c>
      <c r="AA800" s="110">
        <v>2116647</v>
      </c>
      <c r="AB800" s="112">
        <v>4708289</v>
      </c>
      <c r="AC800" s="109">
        <v>160</v>
      </c>
      <c r="AD800" s="110">
        <v>-109.9</v>
      </c>
      <c r="AE800" s="110">
        <v>3.94</v>
      </c>
      <c r="AF800" s="110">
        <v>-0.77</v>
      </c>
      <c r="AG800" s="110">
        <v>109.9</v>
      </c>
      <c r="AH800" s="110">
        <v>-110.1</v>
      </c>
      <c r="AI800" s="110">
        <v>3.71</v>
      </c>
      <c r="AJ800" s="109">
        <v>-0.36</v>
      </c>
      <c r="AK800" s="113" t="s">
        <v>59</v>
      </c>
      <c r="AL800" s="107" t="s">
        <v>181</v>
      </c>
      <c r="AN800" s="107">
        <v>0.96</v>
      </c>
      <c r="AO800" s="48">
        <f t="shared" ref="AO800" si="1279">(HOUR(H800)*60*60+MINUTE(H800)*60+SECOND(H800))/5.2*AA800/W800*AN800</f>
        <v>140284850.40000001</v>
      </c>
      <c r="AP800" s="156">
        <f t="shared" ref="AP800" si="1280">AO800*0.7</f>
        <v>98199395.280000001</v>
      </c>
      <c r="AQ800" s="161">
        <f t="shared" ref="AQ800" si="1281">AP800+AQ799</f>
        <v>38073408096.91671</v>
      </c>
      <c r="AR800" s="163">
        <f t="shared" ref="AR800" si="1282">H800+AR799</f>
        <v>16.885451388856151</v>
      </c>
      <c r="AS800" s="49">
        <f t="shared" ref="AS800" si="1283">I800*(HOUR(H800)*60+MINUTE(H800))/60/(7*24)</f>
        <v>0.29898015873015871</v>
      </c>
      <c r="AT800" s="165">
        <f t="shared" ref="AT800" si="1284">AS800+AT799</f>
        <v>116.74314087301575</v>
      </c>
      <c r="AU800" s="254">
        <f t="shared" ref="AU800" si="1285">AA800/W800*AN800</f>
        <v>203198.11199999999</v>
      </c>
      <c r="AV800" s="255">
        <f t="shared" ref="AV800" si="1286">AB800/W800+AA800/W800*(1-AN800)</f>
        <v>479295.48800000001</v>
      </c>
      <c r="AW800" s="256">
        <f t="shared" ref="AW800" si="1287">AU800/AV800</f>
        <v>0.42395164796544044</v>
      </c>
    </row>
    <row r="801" spans="1:70" s="190" customFormat="1">
      <c r="A801" s="176">
        <v>799</v>
      </c>
      <c r="F801" s="171">
        <v>43155.735555555555</v>
      </c>
      <c r="G801" s="171">
        <v>43155.737997685188</v>
      </c>
      <c r="H801" s="247">
        <f>G801-F801</f>
        <v>2.4421296329819597E-3</v>
      </c>
      <c r="I801" s="173">
        <v>51.08</v>
      </c>
      <c r="J801" s="174" t="s">
        <v>260</v>
      </c>
      <c r="K801" s="175" t="s">
        <v>72</v>
      </c>
      <c r="L801" s="175" t="s">
        <v>73</v>
      </c>
      <c r="M801" s="175">
        <v>-369</v>
      </c>
      <c r="N801" s="176">
        <v>1</v>
      </c>
      <c r="O801" s="176">
        <v>200</v>
      </c>
      <c r="P801" s="175">
        <v>351</v>
      </c>
      <c r="Q801" s="175" t="s">
        <v>75</v>
      </c>
      <c r="R801" s="230" t="s">
        <v>850</v>
      </c>
      <c r="S801" s="177"/>
      <c r="T801" s="177"/>
      <c r="U801" s="175">
        <v>983</v>
      </c>
      <c r="V801" s="178">
        <v>1500</v>
      </c>
      <c r="W801" s="179"/>
      <c r="X801" s="177"/>
      <c r="Y801" s="177"/>
      <c r="Z801" s="177"/>
      <c r="AA801" s="177"/>
      <c r="AB801" s="180"/>
      <c r="AC801" s="174">
        <v>160</v>
      </c>
      <c r="AD801" s="177">
        <v>-109.9</v>
      </c>
      <c r="AE801" s="177">
        <v>3.94</v>
      </c>
      <c r="AF801" s="177">
        <v>-0.77</v>
      </c>
      <c r="AG801" s="177">
        <v>109.9</v>
      </c>
      <c r="AH801" s="177">
        <v>-110.1</v>
      </c>
      <c r="AI801" s="177">
        <v>3.71</v>
      </c>
      <c r="AJ801" s="174">
        <v>-0.36</v>
      </c>
      <c r="AK801" s="181"/>
      <c r="AL801" s="182" t="s">
        <v>206</v>
      </c>
      <c r="AM801" s="183"/>
      <c r="AN801" s="182"/>
      <c r="AO801" s="191"/>
      <c r="AP801" s="184"/>
      <c r="AQ801" s="193"/>
      <c r="AR801" s="186"/>
      <c r="AS801" s="187"/>
      <c r="AT801" s="188"/>
      <c r="AU801" s="187"/>
      <c r="AV801" s="187"/>
      <c r="AW801" s="177"/>
      <c r="AX801" s="177"/>
      <c r="AY801" s="177"/>
      <c r="AZ801" s="177"/>
      <c r="BA801" s="187"/>
      <c r="BB801" s="180"/>
      <c r="BC801" s="189"/>
      <c r="BD801" s="189"/>
      <c r="BE801" s="189"/>
      <c r="BF801" s="189"/>
      <c r="BG801" s="189"/>
      <c r="BH801" s="189"/>
      <c r="BI801" s="189"/>
      <c r="BJ801" s="189"/>
      <c r="BK801" s="189"/>
      <c r="BL801" s="189"/>
      <c r="BM801" s="189"/>
      <c r="BN801" s="189"/>
      <c r="BO801" s="189"/>
      <c r="BP801" s="189"/>
      <c r="BQ801" s="189"/>
      <c r="BR801" s="189"/>
    </row>
    <row r="802" spans="1:70" s="190" customFormat="1">
      <c r="A802" s="176">
        <v>800</v>
      </c>
      <c r="F802" s="171">
        <v>43155.738229166665</v>
      </c>
      <c r="G802" s="171">
        <v>43155.740729166668</v>
      </c>
      <c r="H802" s="247">
        <f>G802-F802</f>
        <v>2.5000000023283064E-3</v>
      </c>
      <c r="I802" s="173">
        <v>51.08</v>
      </c>
      <c r="J802" s="174" t="s">
        <v>260</v>
      </c>
      <c r="K802" s="175" t="s">
        <v>72</v>
      </c>
      <c r="L802" s="175" t="s">
        <v>73</v>
      </c>
      <c r="M802" s="175">
        <v>-369</v>
      </c>
      <c r="N802" s="176">
        <v>1</v>
      </c>
      <c r="O802" s="176">
        <v>200</v>
      </c>
      <c r="P802" s="175">
        <v>351</v>
      </c>
      <c r="Q802" s="175" t="s">
        <v>75</v>
      </c>
      <c r="R802" s="230" t="s">
        <v>850</v>
      </c>
      <c r="S802" s="177"/>
      <c r="T802" s="177"/>
      <c r="U802" s="175">
        <v>983</v>
      </c>
      <c r="V802" s="178">
        <v>1500</v>
      </c>
      <c r="W802" s="179"/>
      <c r="X802" s="177"/>
      <c r="Y802" s="177"/>
      <c r="Z802" s="177"/>
      <c r="AA802" s="177"/>
      <c r="AB802" s="180"/>
      <c r="AC802" s="174">
        <v>160</v>
      </c>
      <c r="AD802" s="177">
        <v>-109.9</v>
      </c>
      <c r="AE802" s="177">
        <v>3.94</v>
      </c>
      <c r="AF802" s="177">
        <v>-0.77</v>
      </c>
      <c r="AG802" s="177">
        <v>109.9</v>
      </c>
      <c r="AH802" s="177">
        <v>-110.1</v>
      </c>
      <c r="AI802" s="177">
        <v>3.71</v>
      </c>
      <c r="AJ802" s="174">
        <v>-0.36</v>
      </c>
      <c r="AK802" s="181"/>
      <c r="AL802" s="182" t="s">
        <v>207</v>
      </c>
      <c r="AM802" s="183"/>
      <c r="AN802" s="182"/>
      <c r="AO802" s="191"/>
      <c r="AP802" s="184"/>
      <c r="AQ802" s="193"/>
      <c r="AR802" s="186"/>
      <c r="AS802" s="187"/>
      <c r="AT802" s="188"/>
      <c r="AU802" s="187"/>
      <c r="AV802" s="187"/>
      <c r="AW802" s="177"/>
      <c r="AX802" s="177"/>
      <c r="AY802" s="177"/>
      <c r="AZ802" s="177"/>
      <c r="BA802" s="187"/>
      <c r="BB802" s="180"/>
      <c r="BC802" s="189"/>
      <c r="BD802" s="189"/>
      <c r="BE802" s="189"/>
      <c r="BF802" s="189"/>
      <c r="BG802" s="189"/>
      <c r="BH802" s="189"/>
      <c r="BI802" s="189"/>
      <c r="BJ802" s="189"/>
      <c r="BK802" s="189"/>
      <c r="BL802" s="189"/>
      <c r="BM802" s="189"/>
      <c r="BN802" s="189"/>
      <c r="BO802" s="189"/>
      <c r="BP802" s="189"/>
      <c r="BQ802" s="189"/>
      <c r="BR802" s="189"/>
    </row>
    <row r="803" spans="1:70">
      <c r="A803" s="108">
        <v>801</v>
      </c>
      <c r="F803" s="45">
        <v>43155.742673611108</v>
      </c>
      <c r="G803" s="45">
        <v>43155.785729166666</v>
      </c>
      <c r="H803" s="38">
        <f>G803-F803-'user time'!U29</f>
        <v>4.2256944446546374E-2</v>
      </c>
      <c r="I803" s="86">
        <v>51.01</v>
      </c>
      <c r="J803" s="109" t="s">
        <v>260</v>
      </c>
      <c r="K803" s="88" t="s">
        <v>72</v>
      </c>
      <c r="L803" s="88" t="s">
        <v>73</v>
      </c>
      <c r="M803" s="88">
        <v>-369</v>
      </c>
      <c r="N803" s="108">
        <v>1</v>
      </c>
      <c r="O803" s="108">
        <v>200</v>
      </c>
      <c r="P803" s="88">
        <v>351</v>
      </c>
      <c r="Q803" s="88" t="s">
        <v>75</v>
      </c>
      <c r="R803" s="88" t="s">
        <v>348</v>
      </c>
      <c r="S803" s="110">
        <v>10000</v>
      </c>
      <c r="T803" s="110">
        <v>908</v>
      </c>
      <c r="U803" s="88">
        <v>983</v>
      </c>
      <c r="V803" s="90">
        <v>1500</v>
      </c>
      <c r="W803" s="111">
        <v>10</v>
      </c>
      <c r="X803" s="110">
        <v>48984</v>
      </c>
      <c r="Y803" s="110">
        <v>859638</v>
      </c>
      <c r="Z803" s="110">
        <v>6756557</v>
      </c>
      <c r="AA803" s="110">
        <v>2104489</v>
      </c>
      <c r="AB803" s="112">
        <v>4684108</v>
      </c>
      <c r="AC803" s="109">
        <v>160</v>
      </c>
      <c r="AD803" s="110">
        <v>-109.9</v>
      </c>
      <c r="AE803" s="110">
        <v>3.94</v>
      </c>
      <c r="AF803" s="110">
        <v>-0.77</v>
      </c>
      <c r="AG803" s="110">
        <v>109.9</v>
      </c>
      <c r="AH803" s="110">
        <v>-110.1</v>
      </c>
      <c r="AI803" s="110">
        <v>3.71</v>
      </c>
      <c r="AJ803" s="109">
        <v>-0.36</v>
      </c>
      <c r="AK803" s="113" t="s">
        <v>59</v>
      </c>
      <c r="AL803" s="107" t="s">
        <v>181</v>
      </c>
      <c r="AN803" s="107">
        <v>0.96199999999999997</v>
      </c>
      <c r="AO803" s="48">
        <f t="shared" ref="AO803:AO814" si="1288">(HOUR(H803)*60*60+MINUTE(H803)*60+SECOND(H803))/5.2*AA803/W803*AN803</f>
        <v>142144552.77150002</v>
      </c>
      <c r="AP803" s="156">
        <f t="shared" ref="AP803:AP814" si="1289">AO803*0.7</f>
        <v>99501186.940050006</v>
      </c>
      <c r="AQ803" s="161">
        <f>AP803+AQ800</f>
        <v>38172909283.856758</v>
      </c>
      <c r="AR803" s="163">
        <f>H803+AR800</f>
        <v>16.927708333302697</v>
      </c>
      <c r="AS803" s="49">
        <f t="shared" ref="AS803:AS814" si="1290">I803*(HOUR(H803)*60+MINUTE(H803))/60/(7*24)</f>
        <v>0.30363095238095239</v>
      </c>
      <c r="AT803" s="165">
        <f>AS803+AT800</f>
        <v>117.0467718253967</v>
      </c>
      <c r="AU803" s="254">
        <f t="shared" ref="AU803:AU814" si="1291">AA803/W803*AN803</f>
        <v>202451.84179999999</v>
      </c>
      <c r="AV803" s="255">
        <f t="shared" ref="AV803:AV814" si="1292">AB803/W803+AA803/W803*(1-AN803)</f>
        <v>476407.85820000002</v>
      </c>
      <c r="AW803" s="256">
        <f t="shared" ref="AW803:AW814" si="1293">AU803/AV803</f>
        <v>0.42495487493619177</v>
      </c>
    </row>
    <row r="804" spans="1:70">
      <c r="A804" s="108">
        <v>802</v>
      </c>
      <c r="F804" s="45">
        <v>43155.785763888889</v>
      </c>
      <c r="G804" s="45">
        <v>43155.828599537039</v>
      </c>
      <c r="H804" s="38">
        <f>G804-F804-'user time'!U30-'user time'!U31</f>
        <v>4.2245370371998048E-2</v>
      </c>
      <c r="I804" s="86">
        <v>51.15</v>
      </c>
      <c r="J804" s="109" t="s">
        <v>260</v>
      </c>
      <c r="K804" s="88" t="s">
        <v>72</v>
      </c>
      <c r="L804" s="88" t="s">
        <v>73</v>
      </c>
      <c r="M804" s="88">
        <v>-369</v>
      </c>
      <c r="N804" s="108">
        <v>1</v>
      </c>
      <c r="O804" s="108">
        <v>200</v>
      </c>
      <c r="P804" s="88">
        <v>351</v>
      </c>
      <c r="Q804" s="88" t="s">
        <v>75</v>
      </c>
      <c r="R804" s="88" t="s">
        <v>348</v>
      </c>
      <c r="S804" s="110">
        <v>10000</v>
      </c>
      <c r="T804" s="110">
        <v>927</v>
      </c>
      <c r="U804" s="88">
        <v>983</v>
      </c>
      <c r="V804" s="90">
        <v>1500</v>
      </c>
      <c r="W804" s="111">
        <v>10</v>
      </c>
      <c r="X804" s="110">
        <v>49206</v>
      </c>
      <c r="Y804" s="110">
        <v>862491</v>
      </c>
      <c r="Z804" s="110">
        <v>6752807</v>
      </c>
      <c r="AA804" s="110">
        <v>2110202</v>
      </c>
      <c r="AB804" s="112">
        <v>4674048</v>
      </c>
      <c r="AC804" s="109">
        <v>160</v>
      </c>
      <c r="AD804" s="110">
        <v>-109.9</v>
      </c>
      <c r="AE804" s="110">
        <v>3.94</v>
      </c>
      <c r="AF804" s="110">
        <v>-0.77</v>
      </c>
      <c r="AG804" s="110">
        <v>109.9</v>
      </c>
      <c r="AH804" s="110">
        <v>-110.1</v>
      </c>
      <c r="AI804" s="110">
        <v>3.71</v>
      </c>
      <c r="AJ804" s="109">
        <v>-0.36</v>
      </c>
      <c r="AK804" s="113" t="s">
        <v>59</v>
      </c>
      <c r="AL804" s="107" t="s">
        <v>181</v>
      </c>
      <c r="AN804" s="107">
        <v>0.96099999999999997</v>
      </c>
      <c r="AO804" s="48">
        <f t="shared" si="1288"/>
        <v>142343270.10192308</v>
      </c>
      <c r="AP804" s="156">
        <f t="shared" si="1289"/>
        <v>99640289.071346149</v>
      </c>
      <c r="AQ804" s="161">
        <f t="shared" ref="AQ804:AQ814" si="1294">AP804+AQ803</f>
        <v>38272549572.928101</v>
      </c>
      <c r="AR804" s="163">
        <f t="shared" ref="AR804:AR814" si="1295">H804+AR803</f>
        <v>16.969953703674694</v>
      </c>
      <c r="AS804" s="49">
        <f t="shared" si="1290"/>
        <v>0.30446428571428569</v>
      </c>
      <c r="AT804" s="165">
        <f t="shared" ref="AT804:AT814" si="1296">AS804+AT803</f>
        <v>117.35123611111099</v>
      </c>
      <c r="AU804" s="254">
        <f t="shared" si="1291"/>
        <v>202790.41219999999</v>
      </c>
      <c r="AV804" s="255">
        <f t="shared" si="1292"/>
        <v>475634.58779999998</v>
      </c>
      <c r="AW804" s="256">
        <f t="shared" si="1293"/>
        <v>0.4263575808016542</v>
      </c>
    </row>
    <row r="805" spans="1:70">
      <c r="A805" s="108">
        <v>803</v>
      </c>
      <c r="F805" s="45">
        <v>43155.828622685185</v>
      </c>
      <c r="G805" s="45">
        <v>43155.871076388888</v>
      </c>
      <c r="H805" s="38">
        <f>G805-F805-'user time'!U32</f>
        <v>4.2164351851506909E-2</v>
      </c>
      <c r="I805" s="86">
        <v>51.15</v>
      </c>
      <c r="J805" s="109" t="s">
        <v>260</v>
      </c>
      <c r="K805" s="88" t="s">
        <v>72</v>
      </c>
      <c r="L805" s="88" t="s">
        <v>73</v>
      </c>
      <c r="M805" s="88">
        <v>-369</v>
      </c>
      <c r="N805" s="108">
        <v>1</v>
      </c>
      <c r="O805" s="108">
        <v>200</v>
      </c>
      <c r="P805" s="88">
        <v>351</v>
      </c>
      <c r="Q805" s="88" t="s">
        <v>75</v>
      </c>
      <c r="R805" s="88" t="s">
        <v>348</v>
      </c>
      <c r="S805" s="110">
        <v>10000</v>
      </c>
      <c r="T805" s="110">
        <v>899</v>
      </c>
      <c r="U805" s="88">
        <v>983</v>
      </c>
      <c r="V805" s="90">
        <v>1500</v>
      </c>
      <c r="W805" s="111">
        <v>10</v>
      </c>
      <c r="X805" s="110">
        <v>49229</v>
      </c>
      <c r="Y805" s="110">
        <v>862804</v>
      </c>
      <c r="Z805" s="110">
        <v>6791898</v>
      </c>
      <c r="AA805" s="110">
        <v>2118419</v>
      </c>
      <c r="AB805" s="112">
        <v>4705786</v>
      </c>
      <c r="AC805" s="109">
        <v>160</v>
      </c>
      <c r="AD805" s="110">
        <v>-109.9</v>
      </c>
      <c r="AE805" s="110">
        <v>3.94</v>
      </c>
      <c r="AF805" s="110">
        <v>-0.77</v>
      </c>
      <c r="AG805" s="110">
        <v>109.9</v>
      </c>
      <c r="AH805" s="110">
        <v>-110.1</v>
      </c>
      <c r="AI805" s="110">
        <v>3.71</v>
      </c>
      <c r="AJ805" s="109">
        <v>-0.36</v>
      </c>
      <c r="AK805" s="113" t="s">
        <v>59</v>
      </c>
      <c r="AL805" s="107" t="s">
        <v>181</v>
      </c>
      <c r="AN805" s="107">
        <v>0.96099999999999997</v>
      </c>
      <c r="AO805" s="48">
        <f t="shared" si="1288"/>
        <v>142623496.16801921</v>
      </c>
      <c r="AP805" s="156">
        <f t="shared" si="1289"/>
        <v>99836447.317613438</v>
      </c>
      <c r="AQ805" s="161">
        <f t="shared" si="1294"/>
        <v>38372386020.245712</v>
      </c>
      <c r="AR805" s="163">
        <f t="shared" si="1295"/>
        <v>17.012118055526201</v>
      </c>
      <c r="AS805" s="49">
        <f t="shared" si="1290"/>
        <v>0.30446428571428569</v>
      </c>
      <c r="AT805" s="165">
        <f t="shared" si="1296"/>
        <v>117.65570039682528</v>
      </c>
      <c r="AU805" s="254">
        <f t="shared" si="1291"/>
        <v>203580.06589999999</v>
      </c>
      <c r="AV805" s="255">
        <f t="shared" si="1292"/>
        <v>478840.43409999995</v>
      </c>
      <c r="AW805" s="256">
        <f t="shared" si="1293"/>
        <v>0.42515220395419823</v>
      </c>
    </row>
    <row r="806" spans="1:70">
      <c r="A806" s="108">
        <v>804</v>
      </c>
      <c r="F806" s="45">
        <v>43155.871099537035</v>
      </c>
      <c r="G806" s="45">
        <v>43155.913564814815</v>
      </c>
      <c r="H806" s="38">
        <f>G806-F806-'user time'!U33</f>
        <v>4.2210648150508789E-2</v>
      </c>
      <c r="I806" s="86">
        <v>51.11</v>
      </c>
      <c r="J806" s="109" t="s">
        <v>260</v>
      </c>
      <c r="K806" s="88" t="s">
        <v>72</v>
      </c>
      <c r="L806" s="88" t="s">
        <v>73</v>
      </c>
      <c r="M806" s="88">
        <v>-369</v>
      </c>
      <c r="N806" s="108">
        <v>1</v>
      </c>
      <c r="O806" s="108">
        <v>200</v>
      </c>
      <c r="P806" s="88">
        <v>351</v>
      </c>
      <c r="Q806" s="88" t="s">
        <v>75</v>
      </c>
      <c r="R806" s="88" t="s">
        <v>348</v>
      </c>
      <c r="S806" s="110">
        <v>10000</v>
      </c>
      <c r="T806" s="110">
        <v>918</v>
      </c>
      <c r="U806" s="88">
        <v>983</v>
      </c>
      <c r="V806" s="90">
        <v>1500</v>
      </c>
      <c r="W806" s="111">
        <v>10</v>
      </c>
      <c r="X806" s="110">
        <v>49744</v>
      </c>
      <c r="Y806" s="110">
        <v>865246</v>
      </c>
      <c r="Z806" s="110">
        <v>6802961</v>
      </c>
      <c r="AA806" s="110">
        <v>2121993</v>
      </c>
      <c r="AB806" s="112">
        <v>4712180</v>
      </c>
      <c r="AC806" s="109">
        <v>160</v>
      </c>
      <c r="AD806" s="110">
        <v>-109.9</v>
      </c>
      <c r="AE806" s="110">
        <v>3.94</v>
      </c>
      <c r="AF806" s="110">
        <v>-0.77</v>
      </c>
      <c r="AG806" s="110">
        <v>109.9</v>
      </c>
      <c r="AH806" s="110">
        <v>-110.1</v>
      </c>
      <c r="AI806" s="110">
        <v>3.71</v>
      </c>
      <c r="AJ806" s="109">
        <v>-0.36</v>
      </c>
      <c r="AK806" s="113" t="s">
        <v>59</v>
      </c>
      <c r="AL806" s="107" t="s">
        <v>181</v>
      </c>
      <c r="AN806" s="107">
        <v>0.96199999999999997</v>
      </c>
      <c r="AO806" s="48">
        <f t="shared" si="1288"/>
        <v>143169806.71349999</v>
      </c>
      <c r="AP806" s="156">
        <f t="shared" si="1289"/>
        <v>100218864.69944999</v>
      </c>
      <c r="AQ806" s="161">
        <f t="shared" si="1294"/>
        <v>38472604884.94516</v>
      </c>
      <c r="AR806" s="163">
        <f t="shared" si="1295"/>
        <v>17.05432870367671</v>
      </c>
      <c r="AS806" s="49">
        <f t="shared" si="1290"/>
        <v>0.30422619047619048</v>
      </c>
      <c r="AT806" s="165">
        <f t="shared" si="1296"/>
        <v>117.95992658730147</v>
      </c>
      <c r="AU806" s="254">
        <f t="shared" si="1291"/>
        <v>204135.72659999999</v>
      </c>
      <c r="AV806" s="255">
        <f t="shared" si="1292"/>
        <v>479281.57339999999</v>
      </c>
      <c r="AW806" s="256">
        <f t="shared" si="1293"/>
        <v>0.42592024799090678</v>
      </c>
    </row>
    <row r="807" spans="1:70">
      <c r="A807" s="108">
        <v>805</v>
      </c>
      <c r="F807" s="45">
        <v>43155.913587962961</v>
      </c>
      <c r="G807" s="45">
        <v>43155.956782407404</v>
      </c>
      <c r="H807" s="38">
        <f>G807-F807-SUM('user time'!U34:U36)</f>
        <v>4.2187499998189382E-2</v>
      </c>
      <c r="I807" s="86">
        <v>51.11</v>
      </c>
      <c r="J807" s="109" t="s">
        <v>260</v>
      </c>
      <c r="K807" s="88" t="s">
        <v>72</v>
      </c>
      <c r="L807" s="88" t="s">
        <v>73</v>
      </c>
      <c r="M807" s="88">
        <v>-369</v>
      </c>
      <c r="N807" s="108">
        <v>1</v>
      </c>
      <c r="O807" s="108">
        <v>200</v>
      </c>
      <c r="P807" s="88">
        <v>351</v>
      </c>
      <c r="Q807" s="88" t="s">
        <v>75</v>
      </c>
      <c r="R807" s="88" t="s">
        <v>348</v>
      </c>
      <c r="S807" s="110">
        <v>10000</v>
      </c>
      <c r="T807" s="110">
        <v>912</v>
      </c>
      <c r="U807" s="88">
        <v>983</v>
      </c>
      <c r="V807" s="90">
        <v>1500</v>
      </c>
      <c r="W807" s="111">
        <v>10</v>
      </c>
      <c r="X807" s="110">
        <v>49640</v>
      </c>
      <c r="Y807" s="110">
        <v>861258</v>
      </c>
      <c r="Z807" s="110">
        <v>6766881</v>
      </c>
      <c r="AA807" s="110">
        <v>2117701</v>
      </c>
      <c r="AB807" s="112">
        <v>4680089</v>
      </c>
      <c r="AC807" s="109">
        <v>160</v>
      </c>
      <c r="AD807" s="110">
        <v>-109.9</v>
      </c>
      <c r="AE807" s="110">
        <v>3.94</v>
      </c>
      <c r="AF807" s="110">
        <v>-0.77</v>
      </c>
      <c r="AG807" s="110">
        <v>109.9</v>
      </c>
      <c r="AH807" s="110">
        <v>-110.1</v>
      </c>
      <c r="AI807" s="110">
        <v>3.71</v>
      </c>
      <c r="AJ807" s="109">
        <v>-0.36</v>
      </c>
      <c r="AK807" s="113" t="s">
        <v>59</v>
      </c>
      <c r="AL807" s="107" t="s">
        <v>181</v>
      </c>
      <c r="AN807" s="107">
        <v>0.96299999999999997</v>
      </c>
      <c r="AO807" s="48">
        <f t="shared" si="1288"/>
        <v>142950315.37759617</v>
      </c>
      <c r="AP807" s="156">
        <f t="shared" si="1289"/>
        <v>100065220.76431732</v>
      </c>
      <c r="AQ807" s="161">
        <f t="shared" si="1294"/>
        <v>38572670105.70948</v>
      </c>
      <c r="AR807" s="163">
        <f t="shared" si="1295"/>
        <v>17.096516203674899</v>
      </c>
      <c r="AS807" s="49">
        <f t="shared" si="1290"/>
        <v>0.30422619047619048</v>
      </c>
      <c r="AT807" s="165">
        <f t="shared" si="1296"/>
        <v>118.26415277777765</v>
      </c>
      <c r="AU807" s="254">
        <f t="shared" si="1291"/>
        <v>203934.60629999998</v>
      </c>
      <c r="AV807" s="255">
        <f t="shared" si="1292"/>
        <v>475844.39370000002</v>
      </c>
      <c r="AW807" s="256">
        <f t="shared" si="1293"/>
        <v>0.42857414944888944</v>
      </c>
    </row>
    <row r="808" spans="1:70">
      <c r="A808" s="108">
        <v>806</v>
      </c>
      <c r="F808" s="45">
        <v>43155.956817129627</v>
      </c>
      <c r="G808" s="45">
        <v>43155.999016203707</v>
      </c>
      <c r="H808" s="38">
        <f>G808-F808-SUM('user time'!U37:U39)</f>
        <v>4.0949074079690062E-2</v>
      </c>
      <c r="I808" s="86">
        <v>51.15</v>
      </c>
      <c r="J808" s="109" t="s">
        <v>260</v>
      </c>
      <c r="K808" s="88" t="s">
        <v>72</v>
      </c>
      <c r="L808" s="88" t="s">
        <v>73</v>
      </c>
      <c r="M808" s="88">
        <v>-369</v>
      </c>
      <c r="N808" s="108">
        <v>1</v>
      </c>
      <c r="O808" s="108">
        <v>200</v>
      </c>
      <c r="P808" s="88">
        <v>351</v>
      </c>
      <c r="Q808" s="88" t="s">
        <v>75</v>
      </c>
      <c r="R808" s="88" t="s">
        <v>348</v>
      </c>
      <c r="S808" s="110">
        <v>10000</v>
      </c>
      <c r="T808" s="110">
        <v>903</v>
      </c>
      <c r="U808" s="88">
        <v>983</v>
      </c>
      <c r="V808" s="90">
        <v>1500</v>
      </c>
      <c r="W808" s="111">
        <v>10</v>
      </c>
      <c r="X808" s="110">
        <v>49188</v>
      </c>
      <c r="Y808" s="110">
        <v>862189</v>
      </c>
      <c r="Z808" s="110">
        <v>6789442</v>
      </c>
      <c r="AA808" s="110">
        <v>2122442</v>
      </c>
      <c r="AB808" s="112">
        <v>4698149</v>
      </c>
      <c r="AC808" s="109">
        <v>160</v>
      </c>
      <c r="AD808" s="110">
        <v>-109.9</v>
      </c>
      <c r="AE808" s="110">
        <v>3.94</v>
      </c>
      <c r="AF808" s="110">
        <v>-0.77</v>
      </c>
      <c r="AG808" s="110">
        <v>109.9</v>
      </c>
      <c r="AH808" s="110">
        <v>-110.1</v>
      </c>
      <c r="AI808" s="110">
        <v>3.71</v>
      </c>
      <c r="AJ808" s="109">
        <v>-0.36</v>
      </c>
      <c r="AK808" s="113" t="s">
        <v>59</v>
      </c>
      <c r="AL808" s="107" t="s">
        <v>181</v>
      </c>
      <c r="AN808" s="107">
        <v>0.96</v>
      </c>
      <c r="AO808" s="48">
        <f t="shared" si="1288"/>
        <v>138631380.84923074</v>
      </c>
      <c r="AP808" s="156">
        <f t="shared" si="1289"/>
        <v>97041966.594461516</v>
      </c>
      <c r="AQ808" s="161">
        <f t="shared" si="1294"/>
        <v>38669712072.30394</v>
      </c>
      <c r="AR808" s="163">
        <f t="shared" si="1295"/>
        <v>17.13746527775459</v>
      </c>
      <c r="AS808" s="49">
        <f t="shared" si="1290"/>
        <v>0.29431547619047621</v>
      </c>
      <c r="AT808" s="165">
        <f t="shared" si="1296"/>
        <v>118.55846825396813</v>
      </c>
      <c r="AU808" s="254">
        <f t="shared" si="1291"/>
        <v>203754.432</v>
      </c>
      <c r="AV808" s="255">
        <f t="shared" si="1292"/>
        <v>478304.66800000001</v>
      </c>
      <c r="AW808" s="256">
        <f t="shared" si="1293"/>
        <v>0.42599298236411942</v>
      </c>
    </row>
    <row r="809" spans="1:70">
      <c r="A809" s="108">
        <v>807</v>
      </c>
      <c r="F809" s="45">
        <v>43155.999027777776</v>
      </c>
      <c r="G809" s="45">
        <v>43156.041192129633</v>
      </c>
      <c r="H809" s="38">
        <f>G809-F809-'user time'!Z4</f>
        <v>4.1655092597367778E-2</v>
      </c>
      <c r="I809" s="86">
        <v>51.15</v>
      </c>
      <c r="J809" s="109" t="s">
        <v>260</v>
      </c>
      <c r="K809" s="88" t="s">
        <v>72</v>
      </c>
      <c r="L809" s="88" t="s">
        <v>73</v>
      </c>
      <c r="M809" s="88">
        <v>-369</v>
      </c>
      <c r="N809" s="108">
        <v>1</v>
      </c>
      <c r="O809" s="108">
        <v>200</v>
      </c>
      <c r="P809" s="88">
        <v>351</v>
      </c>
      <c r="Q809" s="88" t="s">
        <v>75</v>
      </c>
      <c r="R809" s="88" t="s">
        <v>348</v>
      </c>
      <c r="S809" s="110">
        <v>10100</v>
      </c>
      <c r="T809" s="110">
        <v>920</v>
      </c>
      <c r="U809" s="88">
        <v>983</v>
      </c>
      <c r="V809" s="90">
        <v>1500</v>
      </c>
      <c r="W809" s="111">
        <v>10</v>
      </c>
      <c r="X809" s="110">
        <v>49216</v>
      </c>
      <c r="Y809" s="110">
        <v>863945</v>
      </c>
      <c r="Z809" s="110">
        <v>6761536</v>
      </c>
      <c r="AA809" s="110">
        <v>2111885</v>
      </c>
      <c r="AB809" s="112">
        <v>4681883</v>
      </c>
      <c r="AC809" s="109">
        <v>160</v>
      </c>
      <c r="AD809" s="110">
        <v>-109.9</v>
      </c>
      <c r="AE809" s="110">
        <v>3.94</v>
      </c>
      <c r="AF809" s="110">
        <v>-0.77</v>
      </c>
      <c r="AG809" s="110">
        <v>109.9</v>
      </c>
      <c r="AH809" s="110">
        <v>-110.1</v>
      </c>
      <c r="AI809" s="110">
        <v>3.71</v>
      </c>
      <c r="AJ809" s="109">
        <v>-0.36</v>
      </c>
      <c r="AK809" s="113" t="s">
        <v>59</v>
      </c>
      <c r="AL809" s="107" t="s">
        <v>181</v>
      </c>
      <c r="AN809" s="107">
        <v>0.96</v>
      </c>
      <c r="AO809" s="48">
        <f t="shared" si="1288"/>
        <v>140320137.50769234</v>
      </c>
      <c r="AP809" s="156">
        <f t="shared" si="1289"/>
        <v>98224096.255384624</v>
      </c>
      <c r="AQ809" s="161">
        <f t="shared" si="1294"/>
        <v>38767936168.559326</v>
      </c>
      <c r="AR809" s="163">
        <f t="shared" si="1295"/>
        <v>17.179120370351956</v>
      </c>
      <c r="AS809" s="49">
        <f t="shared" si="1290"/>
        <v>0.29938988095238095</v>
      </c>
      <c r="AT809" s="165">
        <f t="shared" si="1296"/>
        <v>118.85785813492051</v>
      </c>
      <c r="AU809" s="254">
        <f t="shared" si="1291"/>
        <v>202740.96</v>
      </c>
      <c r="AV809" s="255">
        <f t="shared" si="1292"/>
        <v>476635.83999999997</v>
      </c>
      <c r="AW809" s="256">
        <f t="shared" si="1293"/>
        <v>0.42535819379423923</v>
      </c>
    </row>
    <row r="810" spans="1:70">
      <c r="A810" s="108">
        <v>808</v>
      </c>
      <c r="F810" s="45">
        <v>43156.041215277779</v>
      </c>
      <c r="G810" s="45">
        <v>43156.083275462966</v>
      </c>
      <c r="H810" s="38">
        <f>G810-F810-'user time'!Z5</f>
        <v>4.1655092594845441E-2</v>
      </c>
      <c r="I810" s="86">
        <v>51.19</v>
      </c>
      <c r="J810" s="109" t="s">
        <v>260</v>
      </c>
      <c r="K810" s="88" t="s">
        <v>72</v>
      </c>
      <c r="L810" s="88" t="s">
        <v>73</v>
      </c>
      <c r="M810" s="88">
        <v>-369</v>
      </c>
      <c r="N810" s="108">
        <v>1</v>
      </c>
      <c r="O810" s="108">
        <v>200</v>
      </c>
      <c r="P810" s="88">
        <v>351</v>
      </c>
      <c r="Q810" s="88" t="s">
        <v>75</v>
      </c>
      <c r="R810" s="88" t="s">
        <v>348</v>
      </c>
      <c r="S810" s="110">
        <v>10100</v>
      </c>
      <c r="T810" s="110">
        <v>907</v>
      </c>
      <c r="U810" s="88">
        <v>983</v>
      </c>
      <c r="V810" s="90">
        <v>1500</v>
      </c>
      <c r="W810" s="111">
        <v>10</v>
      </c>
      <c r="X810" s="110">
        <v>49825</v>
      </c>
      <c r="Y810" s="110">
        <v>863948</v>
      </c>
      <c r="Z810" s="110">
        <v>6754456</v>
      </c>
      <c r="AA810" s="110">
        <v>2111325</v>
      </c>
      <c r="AB810" s="112">
        <v>4675292</v>
      </c>
      <c r="AC810" s="109">
        <v>160</v>
      </c>
      <c r="AD810" s="110">
        <v>-109.9</v>
      </c>
      <c r="AE810" s="110">
        <v>3.94</v>
      </c>
      <c r="AF810" s="110">
        <v>-0.76</v>
      </c>
      <c r="AG810" s="110">
        <v>109.9</v>
      </c>
      <c r="AH810" s="110">
        <v>-110.1</v>
      </c>
      <c r="AI810" s="110">
        <v>3.71</v>
      </c>
      <c r="AJ810" s="109">
        <v>-0.36</v>
      </c>
      <c r="AK810" s="113" t="s">
        <v>59</v>
      </c>
      <c r="AL810" s="107" t="s">
        <v>181</v>
      </c>
      <c r="AN810" s="107">
        <v>0.96599999999999997</v>
      </c>
      <c r="AO810" s="48">
        <f t="shared" si="1288"/>
        <v>141159697.69326922</v>
      </c>
      <c r="AP810" s="156">
        <f t="shared" si="1289"/>
        <v>98811788.385288447</v>
      </c>
      <c r="AQ810" s="161">
        <f t="shared" si="1294"/>
        <v>38866747956.944618</v>
      </c>
      <c r="AR810" s="163">
        <f t="shared" si="1295"/>
        <v>17.220775462946801</v>
      </c>
      <c r="AS810" s="49">
        <f t="shared" si="1290"/>
        <v>0.2996240079365079</v>
      </c>
      <c r="AT810" s="165">
        <f t="shared" si="1296"/>
        <v>119.15748214285701</v>
      </c>
      <c r="AU810" s="254">
        <f t="shared" si="1291"/>
        <v>203953.995</v>
      </c>
      <c r="AV810" s="255">
        <f t="shared" si="1292"/>
        <v>474707.70500000002</v>
      </c>
      <c r="AW810" s="256">
        <f t="shared" si="1293"/>
        <v>0.42964121469231259</v>
      </c>
    </row>
    <row r="811" spans="1:70">
      <c r="A811" s="108">
        <v>809</v>
      </c>
      <c r="F811" s="45">
        <v>43156.083298611113</v>
      </c>
      <c r="G811" s="45">
        <v>43156.125416666669</v>
      </c>
      <c r="H811" s="38">
        <f>G811-F811</f>
        <v>4.2118055556784384E-2</v>
      </c>
      <c r="I811" s="86">
        <v>51.07</v>
      </c>
      <c r="J811" s="109" t="s">
        <v>260</v>
      </c>
      <c r="K811" s="88" t="s">
        <v>72</v>
      </c>
      <c r="L811" s="88" t="s">
        <v>73</v>
      </c>
      <c r="M811" s="88">
        <v>-369</v>
      </c>
      <c r="N811" s="108">
        <v>1</v>
      </c>
      <c r="O811" s="108">
        <v>200</v>
      </c>
      <c r="P811" s="88">
        <v>351</v>
      </c>
      <c r="Q811" s="88" t="s">
        <v>75</v>
      </c>
      <c r="R811" s="88" t="s">
        <v>348</v>
      </c>
      <c r="S811" s="110">
        <v>10200</v>
      </c>
      <c r="T811" s="110">
        <v>930</v>
      </c>
      <c r="U811" s="88">
        <v>983</v>
      </c>
      <c r="V811" s="90">
        <v>1500</v>
      </c>
      <c r="W811" s="111">
        <v>10</v>
      </c>
      <c r="X811" s="110">
        <v>49385</v>
      </c>
      <c r="Y811" s="110">
        <v>861607</v>
      </c>
      <c r="Z811" s="110">
        <v>6757187</v>
      </c>
      <c r="AA811" s="110">
        <v>2112340</v>
      </c>
      <c r="AB811" s="112">
        <v>4676718</v>
      </c>
      <c r="AC811" s="109">
        <v>160</v>
      </c>
      <c r="AD811" s="110">
        <v>-109.9</v>
      </c>
      <c r="AE811" s="110">
        <v>3.94</v>
      </c>
      <c r="AF811" s="110">
        <v>-0.76</v>
      </c>
      <c r="AG811" s="110">
        <v>109.9</v>
      </c>
      <c r="AH811" s="110">
        <v>-110.1</v>
      </c>
      <c r="AI811" s="110">
        <v>3.71</v>
      </c>
      <c r="AJ811" s="109">
        <v>-0.36</v>
      </c>
      <c r="AK811" s="113" t="s">
        <v>59</v>
      </c>
      <c r="AL811" s="107" t="s">
        <v>181</v>
      </c>
      <c r="AN811" s="107">
        <v>0.96099999999999997</v>
      </c>
      <c r="AO811" s="48">
        <f t="shared" si="1288"/>
        <v>142058074.13192308</v>
      </c>
      <c r="AP811" s="156">
        <f t="shared" si="1289"/>
        <v>99440651.892346144</v>
      </c>
      <c r="AQ811" s="161">
        <f t="shared" si="1294"/>
        <v>38966188608.836967</v>
      </c>
      <c r="AR811" s="163">
        <f t="shared" si="1295"/>
        <v>17.262893518503585</v>
      </c>
      <c r="AS811" s="49">
        <f t="shared" si="1290"/>
        <v>0.30398809523809522</v>
      </c>
      <c r="AT811" s="165">
        <f t="shared" si="1296"/>
        <v>119.4614702380951</v>
      </c>
      <c r="AU811" s="254">
        <f t="shared" si="1291"/>
        <v>202995.87399999998</v>
      </c>
      <c r="AV811" s="255">
        <f t="shared" si="1292"/>
        <v>475909.92599999998</v>
      </c>
      <c r="AW811" s="256">
        <f t="shared" si="1293"/>
        <v>0.42654263529691538</v>
      </c>
    </row>
    <row r="812" spans="1:70">
      <c r="A812" s="108">
        <v>810</v>
      </c>
      <c r="F812" s="45">
        <v>43156.125439814816</v>
      </c>
      <c r="G812" s="45">
        <v>43156.166817129626</v>
      </c>
      <c r="H812" s="38">
        <f>G812-F812-'user time'!Z6</f>
        <v>4.0983796291715141E-2</v>
      </c>
      <c r="I812" s="86">
        <v>51.13</v>
      </c>
      <c r="J812" s="109" t="s">
        <v>260</v>
      </c>
      <c r="K812" s="88" t="s">
        <v>72</v>
      </c>
      <c r="L812" s="88" t="s">
        <v>73</v>
      </c>
      <c r="M812" s="88">
        <v>-369</v>
      </c>
      <c r="N812" s="108">
        <v>1</v>
      </c>
      <c r="O812" s="108">
        <v>200</v>
      </c>
      <c r="P812" s="88">
        <v>351</v>
      </c>
      <c r="Q812" s="88" t="s">
        <v>75</v>
      </c>
      <c r="R812" s="88" t="s">
        <v>348</v>
      </c>
      <c r="S812" s="110">
        <v>10100</v>
      </c>
      <c r="T812" s="110">
        <v>910</v>
      </c>
      <c r="U812" s="88">
        <v>983</v>
      </c>
      <c r="V812" s="90">
        <v>1500</v>
      </c>
      <c r="W812" s="111">
        <v>10</v>
      </c>
      <c r="X812" s="110">
        <v>49286</v>
      </c>
      <c r="Y812" s="110">
        <v>863738</v>
      </c>
      <c r="Z812" s="110">
        <v>6753266</v>
      </c>
      <c r="AA812" s="110">
        <v>2110543</v>
      </c>
      <c r="AB812" s="112">
        <v>4674914</v>
      </c>
      <c r="AC812" s="109">
        <v>160</v>
      </c>
      <c r="AD812" s="110">
        <v>-109.9</v>
      </c>
      <c r="AE812" s="110">
        <v>3.94</v>
      </c>
      <c r="AF812" s="110">
        <v>-0.76</v>
      </c>
      <c r="AG812" s="110">
        <v>109.9</v>
      </c>
      <c r="AH812" s="110">
        <v>-110.1</v>
      </c>
      <c r="AI812" s="110">
        <v>3.71</v>
      </c>
      <c r="AJ812" s="109">
        <v>-0.36</v>
      </c>
      <c r="AK812" s="113" t="s">
        <v>59</v>
      </c>
      <c r="AL812" s="107" t="s">
        <v>181</v>
      </c>
      <c r="AN812" s="107">
        <v>0.96</v>
      </c>
      <c r="AO812" s="48">
        <f t="shared" si="1288"/>
        <v>137971066.39384615</v>
      </c>
      <c r="AP812" s="156">
        <f t="shared" si="1289"/>
        <v>96579746.475692302</v>
      </c>
      <c r="AQ812" s="161">
        <f t="shared" si="1294"/>
        <v>39062768355.31266</v>
      </c>
      <c r="AR812" s="163">
        <f t="shared" si="1295"/>
        <v>17.303877314795301</v>
      </c>
      <c r="AS812" s="49">
        <f t="shared" si="1290"/>
        <v>0.29927281746031748</v>
      </c>
      <c r="AT812" s="165">
        <f t="shared" si="1296"/>
        <v>119.76074305555542</v>
      </c>
      <c r="AU812" s="254">
        <f t="shared" si="1291"/>
        <v>202612.12799999997</v>
      </c>
      <c r="AV812" s="255">
        <f t="shared" si="1292"/>
        <v>475933.57200000004</v>
      </c>
      <c r="AW812" s="256">
        <f t="shared" si="1293"/>
        <v>0.42571514160803925</v>
      </c>
    </row>
    <row r="813" spans="1:70">
      <c r="A813" s="108">
        <v>811</v>
      </c>
      <c r="F813" s="45">
        <v>43156.166828703703</v>
      </c>
      <c r="G813" s="45">
        <v>43156.207488425927</v>
      </c>
      <c r="H813" s="38">
        <f>G813-F813-'user time'!Z7-'user time'!Z8</f>
        <v>3.9895833335629322E-2</v>
      </c>
      <c r="I813" s="86">
        <v>51.16</v>
      </c>
      <c r="J813" s="109" t="s">
        <v>260</v>
      </c>
      <c r="K813" s="88" t="s">
        <v>72</v>
      </c>
      <c r="L813" s="88" t="s">
        <v>73</v>
      </c>
      <c r="M813" s="88">
        <v>-369</v>
      </c>
      <c r="N813" s="108">
        <v>1</v>
      </c>
      <c r="O813" s="108">
        <v>200</v>
      </c>
      <c r="P813" s="88">
        <v>351</v>
      </c>
      <c r="Q813" s="88" t="s">
        <v>75</v>
      </c>
      <c r="R813" s="88" t="s">
        <v>348</v>
      </c>
      <c r="S813" s="110">
        <v>10100</v>
      </c>
      <c r="T813" s="110">
        <v>920</v>
      </c>
      <c r="U813" s="88">
        <v>983</v>
      </c>
      <c r="V813" s="90">
        <v>1500</v>
      </c>
      <c r="W813" s="111">
        <v>10</v>
      </c>
      <c r="X813" s="110">
        <v>49231</v>
      </c>
      <c r="Y813" s="110">
        <v>863467</v>
      </c>
      <c r="Z813" s="110">
        <v>6729861</v>
      </c>
      <c r="AA813" s="110">
        <v>2108385</v>
      </c>
      <c r="AB813" s="112">
        <v>4652753</v>
      </c>
      <c r="AC813" s="109">
        <v>160</v>
      </c>
      <c r="AD813" s="110">
        <v>-109.9</v>
      </c>
      <c r="AE813" s="110">
        <v>3.94</v>
      </c>
      <c r="AF813" s="110">
        <v>-0.76</v>
      </c>
      <c r="AG813" s="110">
        <v>109.9</v>
      </c>
      <c r="AH813" s="110">
        <v>-110.1</v>
      </c>
      <c r="AI813" s="110">
        <v>3.71</v>
      </c>
      <c r="AJ813" s="109">
        <v>-0.36</v>
      </c>
      <c r="AK813" s="113" t="s">
        <v>59</v>
      </c>
      <c r="AL813" s="107" t="s">
        <v>238</v>
      </c>
      <c r="AN813" s="107">
        <v>0.96199999999999997</v>
      </c>
      <c r="AO813" s="48">
        <f t="shared" si="1288"/>
        <v>134450657.25749999</v>
      </c>
      <c r="AP813" s="156">
        <f t="shared" si="1289"/>
        <v>94115460.080249995</v>
      </c>
      <c r="AQ813" s="161">
        <f t="shared" si="1294"/>
        <v>39156883815.392914</v>
      </c>
      <c r="AR813" s="163">
        <f t="shared" si="1295"/>
        <v>17.343773148130929</v>
      </c>
      <c r="AS813" s="49">
        <f t="shared" si="1290"/>
        <v>0.28929761904761903</v>
      </c>
      <c r="AT813" s="165">
        <f t="shared" si="1296"/>
        <v>120.05004067460304</v>
      </c>
      <c r="AU813" s="254">
        <f t="shared" si="1291"/>
        <v>202826.63699999999</v>
      </c>
      <c r="AV813" s="255">
        <f t="shared" si="1292"/>
        <v>473287.163</v>
      </c>
      <c r="AW813" s="256">
        <f t="shared" si="1293"/>
        <v>0.42854878149315023</v>
      </c>
    </row>
    <row r="814" spans="1:70">
      <c r="A814" s="108">
        <v>812</v>
      </c>
      <c r="F814" s="45">
        <v>43156.216215277775</v>
      </c>
      <c r="G814" s="45">
        <v>43156.225763888891</v>
      </c>
      <c r="H814" s="38">
        <f>G814-F814</f>
        <v>9.5486111167701893E-3</v>
      </c>
      <c r="I814" s="86">
        <v>51.27</v>
      </c>
      <c r="J814" s="109" t="s">
        <v>260</v>
      </c>
      <c r="K814" s="88" t="s">
        <v>72</v>
      </c>
      <c r="L814" s="88" t="s">
        <v>73</v>
      </c>
      <c r="M814" s="88">
        <v>-369</v>
      </c>
      <c r="N814" s="108">
        <v>1</v>
      </c>
      <c r="O814" s="108">
        <v>200</v>
      </c>
      <c r="P814" s="88">
        <v>351</v>
      </c>
      <c r="Q814" s="88" t="s">
        <v>75</v>
      </c>
      <c r="R814" s="88" t="s">
        <v>348</v>
      </c>
      <c r="S814" s="110">
        <v>9800</v>
      </c>
      <c r="T814" s="110">
        <v>860</v>
      </c>
      <c r="U814" s="88">
        <v>983</v>
      </c>
      <c r="V814" s="90">
        <v>1500</v>
      </c>
      <c r="W814" s="111">
        <v>10</v>
      </c>
      <c r="X814" s="110">
        <v>49763</v>
      </c>
      <c r="Y814" s="110">
        <v>864710</v>
      </c>
      <c r="Z814" s="110">
        <v>6692101</v>
      </c>
      <c r="AA814" s="110">
        <v>2096696</v>
      </c>
      <c r="AB814" s="112">
        <v>4626894</v>
      </c>
      <c r="AC814" s="109">
        <v>160</v>
      </c>
      <c r="AD814" s="110">
        <v>-109.9</v>
      </c>
      <c r="AE814" s="110">
        <v>3.94</v>
      </c>
      <c r="AF814" s="110">
        <v>-0.76</v>
      </c>
      <c r="AG814" s="110">
        <v>109.9</v>
      </c>
      <c r="AH814" s="110">
        <v>-110.1</v>
      </c>
      <c r="AI814" s="110">
        <v>3.71</v>
      </c>
      <c r="AJ814" s="109">
        <v>-0.36</v>
      </c>
      <c r="AK814" s="113" t="s">
        <v>59</v>
      </c>
      <c r="AL814" s="107" t="s">
        <v>181</v>
      </c>
      <c r="AN814" s="107">
        <v>0.96299999999999997</v>
      </c>
      <c r="AO814" s="48">
        <f t="shared" si="1288"/>
        <v>32034087.588461541</v>
      </c>
      <c r="AP814" s="156">
        <f t="shared" si="1289"/>
        <v>22423861.311923075</v>
      </c>
      <c r="AQ814" s="161">
        <f t="shared" si="1294"/>
        <v>39179307676.704834</v>
      </c>
      <c r="AR814" s="163">
        <f t="shared" si="1295"/>
        <v>17.353321759247699</v>
      </c>
      <c r="AS814" s="49">
        <f t="shared" si="1290"/>
        <v>6.6122023809523811E-2</v>
      </c>
      <c r="AT814" s="165">
        <f t="shared" si="1296"/>
        <v>120.11616269841257</v>
      </c>
      <c r="AU814" s="254">
        <f t="shared" si="1291"/>
        <v>201911.8248</v>
      </c>
      <c r="AV814" s="255">
        <f t="shared" si="1292"/>
        <v>470447.17520000006</v>
      </c>
      <c r="AW814" s="256">
        <f t="shared" si="1293"/>
        <v>0.42919127894468007</v>
      </c>
    </row>
    <row r="815" spans="1:70">
      <c r="A815" s="108">
        <v>813</v>
      </c>
      <c r="F815" s="45"/>
      <c r="G815" s="45"/>
      <c r="J815" s="109"/>
      <c r="P815" s="88"/>
      <c r="R815" s="119"/>
      <c r="V815" s="90"/>
      <c r="AC815" s="109"/>
      <c r="AJ815" s="109"/>
      <c r="AL815" s="121"/>
      <c r="AO815" s="118"/>
      <c r="AQ815" s="126"/>
    </row>
    <row r="816" spans="1:70">
      <c r="A816" s="108">
        <v>814</v>
      </c>
      <c r="F816" s="45"/>
      <c r="G816" s="45"/>
      <c r="J816" s="109"/>
      <c r="P816" s="88"/>
      <c r="R816" s="119"/>
      <c r="V816" s="90"/>
      <c r="AC816" s="109"/>
      <c r="AJ816" s="109"/>
      <c r="AL816" s="121"/>
      <c r="AO816" s="118"/>
      <c r="AQ816" s="126"/>
    </row>
    <row r="817" spans="1:43">
      <c r="A817" s="108">
        <v>815</v>
      </c>
      <c r="F817" s="45"/>
      <c r="G817" s="45"/>
      <c r="J817" s="109"/>
      <c r="P817" s="88"/>
      <c r="R817" s="119"/>
      <c r="V817" s="90"/>
      <c r="AC817" s="109"/>
      <c r="AJ817" s="109"/>
      <c r="AL817" s="121"/>
      <c r="AO817" s="118"/>
      <c r="AQ817" s="126"/>
    </row>
    <row r="818" spans="1:43">
      <c r="A818" s="108">
        <v>816</v>
      </c>
      <c r="F818" s="45"/>
      <c r="G818" s="45"/>
      <c r="J818" s="109"/>
      <c r="P818" s="88"/>
      <c r="R818" s="119"/>
      <c r="V818" s="90"/>
      <c r="AC818" s="109"/>
      <c r="AJ818" s="109"/>
      <c r="AL818" s="121"/>
      <c r="AO818" s="118"/>
      <c r="AQ818" s="126"/>
    </row>
    <row r="819" spans="1:43">
      <c r="A819" s="108">
        <v>817</v>
      </c>
      <c r="F819" s="45"/>
      <c r="G819" s="45"/>
      <c r="J819" s="109"/>
      <c r="P819" s="88"/>
      <c r="R819" s="119"/>
      <c r="V819" s="90"/>
      <c r="AC819" s="109"/>
      <c r="AJ819" s="109"/>
      <c r="AL819" s="121"/>
      <c r="AO819" s="118"/>
      <c r="AQ819" s="126"/>
    </row>
    <row r="820" spans="1:43">
      <c r="A820" s="108">
        <v>818</v>
      </c>
      <c r="F820" s="45"/>
      <c r="G820" s="45"/>
      <c r="J820" s="109"/>
      <c r="P820" s="88"/>
      <c r="R820" s="119"/>
      <c r="V820" s="90"/>
      <c r="AC820" s="109"/>
      <c r="AJ820" s="109"/>
      <c r="AL820" s="121"/>
      <c r="AO820" s="118"/>
      <c r="AQ820" s="126"/>
    </row>
    <row r="821" spans="1:43">
      <c r="A821" s="108">
        <v>819</v>
      </c>
      <c r="F821" s="45"/>
      <c r="G821" s="45"/>
      <c r="J821" s="109"/>
      <c r="P821" s="88"/>
      <c r="R821" s="119"/>
      <c r="V821" s="90"/>
      <c r="AC821" s="109"/>
      <c r="AJ821" s="109"/>
      <c r="AL821" s="121"/>
      <c r="AO821" s="118"/>
      <c r="AQ821" s="126"/>
    </row>
    <row r="822" spans="1:43">
      <c r="A822" s="108">
        <v>820</v>
      </c>
      <c r="F822" s="45"/>
      <c r="G822" s="45"/>
      <c r="J822" s="109"/>
      <c r="P822" s="88"/>
      <c r="V822" s="90"/>
      <c r="AL822" s="121"/>
    </row>
    <row r="823" spans="1:43">
      <c r="A823" s="108"/>
      <c r="F823" s="45"/>
      <c r="G823" s="45"/>
      <c r="J823" s="109"/>
      <c r="P823" s="88"/>
      <c r="V823" s="90"/>
      <c r="AL823" s="121"/>
    </row>
    <row r="824" spans="1:43">
      <c r="A824" s="108"/>
      <c r="F824" s="45"/>
      <c r="G824" s="45"/>
      <c r="J824" s="109"/>
      <c r="P824" s="88"/>
      <c r="V824" s="90"/>
      <c r="AC824" s="109"/>
      <c r="AJ824" s="109"/>
      <c r="AL824" s="121"/>
      <c r="AO824" s="118"/>
      <c r="AQ824" s="126"/>
    </row>
    <row r="825" spans="1:43">
      <c r="A825" s="108"/>
      <c r="F825" s="45"/>
      <c r="G825" s="45"/>
      <c r="J825" s="109"/>
      <c r="P825" s="88"/>
      <c r="R825" s="119"/>
      <c r="V825" s="90"/>
      <c r="AC825" s="109"/>
      <c r="AJ825" s="109"/>
      <c r="AL825" s="121"/>
      <c r="AO825" s="118"/>
      <c r="AQ825" s="126"/>
    </row>
    <row r="826" spans="1:43">
      <c r="A826" s="108"/>
      <c r="F826" s="45"/>
      <c r="G826" s="45"/>
      <c r="J826" s="109"/>
      <c r="P826" s="88"/>
      <c r="R826" s="119"/>
      <c r="V826" s="90"/>
      <c r="AC826" s="109"/>
      <c r="AJ826" s="109"/>
      <c r="AL826" s="121"/>
      <c r="AO826" s="118"/>
      <c r="AQ826" s="126"/>
    </row>
    <row r="827" spans="1:43">
      <c r="A827" s="108"/>
      <c r="F827" s="45"/>
      <c r="G827" s="45"/>
      <c r="J827" s="109"/>
      <c r="P827" s="88"/>
      <c r="R827" s="119"/>
      <c r="V827" s="90"/>
      <c r="AC827" s="109"/>
      <c r="AJ827" s="109"/>
      <c r="AL827" s="121"/>
      <c r="AO827" s="118"/>
      <c r="AQ827" s="126"/>
    </row>
    <row r="828" spans="1:43">
      <c r="A828" s="108"/>
      <c r="F828" s="45"/>
      <c r="G828" s="45"/>
      <c r="J828" s="109"/>
      <c r="P828" s="88"/>
      <c r="R828" s="119"/>
      <c r="V828" s="90"/>
      <c r="AC828" s="109"/>
      <c r="AJ828" s="109"/>
      <c r="AL828" s="121"/>
      <c r="AO828" s="118"/>
      <c r="AQ828" s="126"/>
    </row>
    <row r="829" spans="1:43">
      <c r="A829" s="108"/>
      <c r="F829" s="45"/>
      <c r="G829" s="45"/>
      <c r="J829" s="109"/>
      <c r="P829" s="88"/>
      <c r="R829" s="119"/>
      <c r="V829" s="90"/>
      <c r="AC829" s="109"/>
      <c r="AJ829" s="109"/>
      <c r="AL829" s="121"/>
      <c r="AO829" s="118"/>
      <c r="AQ829" s="126"/>
    </row>
    <row r="830" spans="1:43">
      <c r="A830" s="108"/>
      <c r="F830" s="45"/>
      <c r="G830" s="45"/>
      <c r="J830" s="109"/>
      <c r="P830" s="88"/>
      <c r="R830" s="119"/>
      <c r="V830" s="90"/>
      <c r="AC830" s="109"/>
      <c r="AJ830" s="109"/>
      <c r="AL830" s="121"/>
      <c r="AO830" s="118"/>
      <c r="AQ830" s="126"/>
    </row>
    <row r="831" spans="1:43">
      <c r="A831" s="108"/>
      <c r="F831" s="45"/>
      <c r="G831" s="45"/>
      <c r="J831" s="109"/>
      <c r="P831" s="88"/>
      <c r="R831" s="119"/>
      <c r="V831" s="90"/>
      <c r="AC831" s="109"/>
      <c r="AJ831" s="109"/>
      <c r="AL831" s="121"/>
      <c r="AO831" s="118"/>
      <c r="AQ831" s="126"/>
    </row>
    <row r="832" spans="1:43">
      <c r="A832" s="108"/>
      <c r="F832" s="45"/>
      <c r="G832" s="45"/>
      <c r="J832" s="109"/>
      <c r="P832" s="88"/>
      <c r="R832" s="119"/>
      <c r="V832" s="90"/>
      <c r="AC832" s="109"/>
      <c r="AJ832" s="109"/>
      <c r="AL832" s="121"/>
      <c r="AO832" s="118"/>
      <c r="AQ832" s="126"/>
    </row>
    <row r="833" spans="1:43">
      <c r="A833" s="108"/>
      <c r="F833" s="45"/>
      <c r="G833" s="45"/>
      <c r="J833" s="109"/>
      <c r="P833" s="88"/>
      <c r="R833" s="119"/>
      <c r="V833" s="90"/>
      <c r="AC833" s="109"/>
      <c r="AJ833" s="109"/>
      <c r="AL833" s="121"/>
      <c r="AO833" s="118"/>
      <c r="AQ833" s="126"/>
    </row>
    <row r="834" spans="1:43">
      <c r="A834" s="108"/>
      <c r="F834" s="45"/>
      <c r="G834" s="45"/>
      <c r="J834" s="109"/>
      <c r="P834" s="88"/>
      <c r="R834" s="119"/>
      <c r="V834" s="90"/>
      <c r="AC834" s="109"/>
      <c r="AJ834" s="109"/>
      <c r="AL834" s="121"/>
      <c r="AO834" s="118"/>
      <c r="AQ834" s="126"/>
    </row>
    <row r="835" spans="1:43">
      <c r="A835" s="108"/>
      <c r="F835" s="45"/>
      <c r="G835" s="45"/>
      <c r="J835" s="109"/>
      <c r="P835" s="88"/>
      <c r="R835" s="119"/>
      <c r="V835" s="90"/>
      <c r="AC835" s="109"/>
      <c r="AJ835" s="109"/>
      <c r="AL835" s="121"/>
      <c r="AO835" s="118"/>
      <c r="AQ835" s="126"/>
    </row>
    <row r="836" spans="1:43">
      <c r="A836" s="108"/>
      <c r="F836" s="45"/>
      <c r="G836" s="45"/>
      <c r="J836" s="109"/>
      <c r="P836" s="88"/>
      <c r="R836" s="119"/>
      <c r="V836" s="90"/>
      <c r="AC836" s="109"/>
      <c r="AJ836" s="109"/>
      <c r="AL836" s="121"/>
      <c r="AO836" s="118"/>
      <c r="AQ836" s="126"/>
    </row>
    <row r="837" spans="1:43">
      <c r="A837" s="108"/>
      <c r="F837" s="45"/>
      <c r="G837" s="45"/>
      <c r="J837" s="109"/>
      <c r="P837" s="88"/>
      <c r="R837" s="119"/>
      <c r="V837" s="90"/>
      <c r="AC837" s="109"/>
      <c r="AJ837" s="109"/>
      <c r="AL837" s="121"/>
      <c r="AO837" s="118"/>
      <c r="AQ837" s="126"/>
    </row>
    <row r="838" spans="1:43">
      <c r="A838" s="108"/>
      <c r="F838" s="45"/>
      <c r="G838" s="45"/>
      <c r="J838" s="109"/>
      <c r="P838" s="88"/>
      <c r="R838" s="119"/>
      <c r="V838" s="90"/>
      <c r="AC838" s="109"/>
      <c r="AJ838" s="109"/>
      <c r="AL838" s="121"/>
      <c r="AO838" s="118"/>
      <c r="AQ838" s="126"/>
    </row>
    <row r="839" spans="1:43">
      <c r="A839" s="108"/>
      <c r="F839" s="45"/>
      <c r="G839" s="45"/>
      <c r="J839" s="109"/>
      <c r="P839" s="88"/>
      <c r="R839" s="119"/>
      <c r="V839" s="90"/>
      <c r="AC839" s="109"/>
      <c r="AJ839" s="109"/>
      <c r="AL839" s="121"/>
      <c r="AO839" s="118"/>
      <c r="AQ839" s="126"/>
    </row>
    <row r="840" spans="1:43">
      <c r="A840" s="108"/>
      <c r="F840" s="45"/>
      <c r="G840" s="45"/>
      <c r="J840" s="109"/>
      <c r="P840" s="88"/>
      <c r="R840" s="119"/>
      <c r="V840" s="90"/>
      <c r="AC840" s="109"/>
      <c r="AJ840" s="109"/>
      <c r="AL840" s="121"/>
      <c r="AO840" s="118"/>
      <c r="AQ840" s="126"/>
    </row>
    <row r="841" spans="1:43">
      <c r="A841" s="108"/>
      <c r="F841" s="45"/>
      <c r="G841" s="45"/>
      <c r="J841" s="109"/>
      <c r="P841" s="88"/>
      <c r="R841" s="119"/>
      <c r="V841" s="90"/>
      <c r="AC841" s="109"/>
      <c r="AJ841" s="109"/>
      <c r="AL841" s="121"/>
      <c r="AO841" s="118"/>
      <c r="AQ841" s="126"/>
    </row>
    <row r="842" spans="1:43">
      <c r="A842" s="108"/>
      <c r="F842" s="45"/>
      <c r="G842" s="45"/>
      <c r="J842" s="109"/>
      <c r="P842" s="88"/>
      <c r="R842" s="119"/>
      <c r="V842" s="90"/>
      <c r="AC842" s="109"/>
      <c r="AJ842" s="109"/>
      <c r="AL842" s="121"/>
      <c r="AO842" s="118"/>
      <c r="AQ842" s="126"/>
    </row>
    <row r="843" spans="1:43">
      <c r="A843" s="108"/>
      <c r="F843" s="45"/>
      <c r="G843" s="45"/>
      <c r="J843" s="109"/>
      <c r="P843" s="88"/>
      <c r="R843" s="119"/>
      <c r="V843" s="90"/>
      <c r="AC843" s="109"/>
      <c r="AJ843" s="109"/>
      <c r="AL843" s="121"/>
      <c r="AO843" s="118"/>
      <c r="AQ843" s="126"/>
    </row>
    <row r="844" spans="1:43">
      <c r="A844" s="108"/>
      <c r="F844" s="45"/>
      <c r="G844" s="45"/>
      <c r="J844" s="109"/>
      <c r="P844" s="88"/>
      <c r="R844" s="119"/>
      <c r="V844" s="90"/>
      <c r="AC844" s="109"/>
      <c r="AJ844" s="109"/>
      <c r="AL844" s="121"/>
      <c r="AO844" s="118"/>
      <c r="AQ844" s="126"/>
    </row>
    <row r="845" spans="1:43">
      <c r="A845" s="108"/>
      <c r="F845" s="45"/>
      <c r="G845" s="45"/>
      <c r="J845" s="109"/>
      <c r="P845" s="88"/>
      <c r="R845" s="119"/>
      <c r="V845" s="90"/>
      <c r="AC845" s="109"/>
      <c r="AJ845" s="109"/>
      <c r="AL845" s="121"/>
      <c r="AO845" s="118"/>
      <c r="AQ845" s="126"/>
    </row>
    <row r="846" spans="1:43">
      <c r="A846" s="108"/>
      <c r="F846" s="45"/>
      <c r="G846" s="45"/>
      <c r="J846" s="109"/>
      <c r="P846" s="88"/>
      <c r="R846" s="119"/>
      <c r="V846" s="90"/>
      <c r="AC846" s="109"/>
      <c r="AJ846" s="109"/>
      <c r="AL846" s="121"/>
      <c r="AO846" s="118"/>
      <c r="AQ846" s="126"/>
    </row>
    <row r="847" spans="1:43">
      <c r="A847" s="108"/>
      <c r="F847" s="45"/>
      <c r="G847" s="45"/>
      <c r="J847" s="109"/>
      <c r="P847" s="88"/>
      <c r="R847" s="119"/>
      <c r="V847" s="90"/>
      <c r="AC847" s="109"/>
      <c r="AJ847" s="109"/>
      <c r="AL847" s="121"/>
      <c r="AO847" s="118"/>
      <c r="AQ847" s="126"/>
    </row>
    <row r="848" spans="1:43">
      <c r="A848" s="108"/>
      <c r="F848" s="45"/>
      <c r="G848" s="45"/>
      <c r="J848" s="109"/>
      <c r="P848" s="88"/>
      <c r="R848" s="119"/>
      <c r="V848" s="90"/>
      <c r="AC848" s="109"/>
      <c r="AJ848" s="109"/>
      <c r="AL848" s="121"/>
      <c r="AO848" s="118"/>
      <c r="AQ848" s="126"/>
    </row>
    <row r="849" spans="1:43">
      <c r="A849" s="108"/>
      <c r="F849" s="45"/>
      <c r="G849" s="45"/>
      <c r="J849" s="109"/>
      <c r="P849" s="88"/>
      <c r="R849" s="119"/>
      <c r="V849" s="90"/>
      <c r="AC849" s="109"/>
      <c r="AJ849" s="109"/>
      <c r="AL849" s="121"/>
      <c r="AO849" s="118"/>
      <c r="AQ849" s="126"/>
    </row>
    <row r="850" spans="1:43">
      <c r="A850" s="108"/>
      <c r="J850" s="109"/>
      <c r="P850" s="88"/>
      <c r="V850" s="90"/>
    </row>
    <row r="851" spans="1:43">
      <c r="A851" s="108"/>
      <c r="J851" s="109"/>
      <c r="P851" s="88"/>
      <c r="V851" s="90"/>
    </row>
    <row r="852" spans="1:43">
      <c r="A852" s="108"/>
      <c r="J852" s="109"/>
      <c r="P852" s="88"/>
      <c r="V852" s="90"/>
    </row>
    <row r="853" spans="1:43">
      <c r="A853" s="108"/>
      <c r="J853" s="109"/>
      <c r="P853" s="88"/>
      <c r="V853" s="90"/>
    </row>
  </sheetData>
  <phoneticPr fontId="3"/>
  <pageMargins left="0.25" right="0.25" top="1" bottom="1" header="0.3" footer="0.3"/>
  <pageSetup paperSize="9" scale="2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10" sqref="F10"/>
    </sheetView>
  </sheetViews>
  <sheetFormatPr defaultRowHeight="13.2"/>
  <cols>
    <col min="1" max="1" width="17.21875" customWidth="1"/>
    <col min="2" max="2" width="10.77734375" style="231" customWidth="1"/>
  </cols>
  <sheetData>
    <row r="1" spans="1:10">
      <c r="A1" s="234">
        <v>43155</v>
      </c>
      <c r="B1" s="232">
        <f>summary!$AQ$783</f>
        <v>36572419219.053123</v>
      </c>
    </row>
    <row r="2" spans="1:10">
      <c r="A2" t="s">
        <v>326</v>
      </c>
      <c r="B2" s="232">
        <v>98000000</v>
      </c>
    </row>
    <row r="4" spans="1:10">
      <c r="C4" s="274" t="s">
        <v>327</v>
      </c>
      <c r="D4" s="274"/>
      <c r="E4" s="274"/>
      <c r="F4" s="274"/>
      <c r="G4" s="274" t="s">
        <v>332</v>
      </c>
      <c r="H4" s="274"/>
      <c r="I4" s="274"/>
      <c r="J4" s="274"/>
    </row>
    <row r="5" spans="1:10">
      <c r="A5" t="s">
        <v>324</v>
      </c>
      <c r="B5" s="231" t="s">
        <v>325</v>
      </c>
      <c r="C5" s="215" t="s">
        <v>328</v>
      </c>
      <c r="D5" s="215" t="s">
        <v>329</v>
      </c>
      <c r="E5" s="215" t="s">
        <v>330</v>
      </c>
      <c r="F5" s="215" t="s">
        <v>331</v>
      </c>
      <c r="G5" s="215" t="s">
        <v>328</v>
      </c>
      <c r="H5" s="215" t="s">
        <v>329</v>
      </c>
      <c r="I5" s="215" t="s">
        <v>330</v>
      </c>
      <c r="J5" s="215" t="s">
        <v>331</v>
      </c>
    </row>
    <row r="6" spans="1:10">
      <c r="C6" s="215"/>
      <c r="D6" s="215"/>
      <c r="E6" s="215"/>
      <c r="F6" s="215"/>
      <c r="G6" s="232">
        <f>B1</f>
        <v>36572419219.053123</v>
      </c>
      <c r="H6" s="232">
        <f>B1</f>
        <v>36572419219.053123</v>
      </c>
      <c r="I6" s="232">
        <f>B1</f>
        <v>36572419219.053123</v>
      </c>
      <c r="J6" s="232">
        <f>B1</f>
        <v>36572419219.053123</v>
      </c>
    </row>
    <row r="7" spans="1:10">
      <c r="A7" s="28">
        <v>43155.999305497688</v>
      </c>
      <c r="B7" s="264">
        <v>24</v>
      </c>
      <c r="C7" s="232">
        <f t="shared" ref="C7:C9" si="0">B7*$B$2</f>
        <v>2352000000</v>
      </c>
      <c r="D7" s="232">
        <f t="shared" ref="D7:D9" si="1">C7*0.9</f>
        <v>2116800000</v>
      </c>
      <c r="E7" s="232">
        <f t="shared" ref="E7:E9" si="2">C7*0.8</f>
        <v>1881600000</v>
      </c>
      <c r="F7" s="232">
        <f t="shared" ref="F7:F9" si="3">C7*0.7</f>
        <v>1646400000</v>
      </c>
      <c r="G7" s="232">
        <f>G6+C7</f>
        <v>38924419219.053123</v>
      </c>
      <c r="H7" s="232">
        <f t="shared" ref="H7:J7" si="4">H6+D7</f>
        <v>38689219219.053123</v>
      </c>
      <c r="I7" s="232">
        <f t="shared" si="4"/>
        <v>38454019219.053123</v>
      </c>
      <c r="J7" s="232">
        <f t="shared" si="4"/>
        <v>38218819219.053123</v>
      </c>
    </row>
    <row r="8" spans="1:10">
      <c r="A8" s="28">
        <v>43156.999305497688</v>
      </c>
      <c r="B8" s="264">
        <v>6</v>
      </c>
      <c r="C8" s="232">
        <f t="shared" si="0"/>
        <v>588000000</v>
      </c>
      <c r="D8" s="232">
        <f t="shared" si="1"/>
        <v>529200000</v>
      </c>
      <c r="E8" s="232">
        <f t="shared" si="2"/>
        <v>470400000</v>
      </c>
      <c r="F8" s="232">
        <f t="shared" si="3"/>
        <v>411600000</v>
      </c>
      <c r="G8" s="232">
        <f t="shared" ref="G8" si="5">G7+C8</f>
        <v>39512419219.053123</v>
      </c>
      <c r="H8" s="232">
        <f t="shared" ref="H8" si="6">H7+D8</f>
        <v>39218419219.053123</v>
      </c>
      <c r="I8" s="232">
        <f t="shared" ref="I8" si="7">I7+E8</f>
        <v>38924419219.053123</v>
      </c>
      <c r="J8" s="232">
        <f t="shared" ref="J8" si="8">J7+F8</f>
        <v>38630419219.053123</v>
      </c>
    </row>
    <row r="9" spans="1:10">
      <c r="A9" s="28">
        <v>43157.999305497688</v>
      </c>
      <c r="B9" s="264">
        <v>0</v>
      </c>
      <c r="C9" s="232">
        <f t="shared" si="0"/>
        <v>0</v>
      </c>
      <c r="D9" s="232">
        <f t="shared" si="1"/>
        <v>0</v>
      </c>
      <c r="E9" s="232">
        <f t="shared" si="2"/>
        <v>0</v>
      </c>
      <c r="F9" s="232">
        <f t="shared" si="3"/>
        <v>0</v>
      </c>
      <c r="G9" s="232">
        <f t="shared" ref="G9" si="9">G8+C9</f>
        <v>39512419219.053123</v>
      </c>
      <c r="H9" s="232">
        <f t="shared" ref="H9" si="10">H8+D9</f>
        <v>39218419219.053123</v>
      </c>
      <c r="I9" s="232">
        <f t="shared" ref="I9" si="11">I8+E9</f>
        <v>38924419219.053123</v>
      </c>
      <c r="J9" s="232">
        <f t="shared" ref="J9" si="12">J8+F9</f>
        <v>38630419219.053123</v>
      </c>
    </row>
  </sheetData>
  <mergeCells count="2">
    <mergeCell ref="C4:F4"/>
    <mergeCell ref="G4:J4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20" sqref="G20"/>
    </sheetView>
  </sheetViews>
  <sheetFormatPr defaultRowHeight="13.2"/>
  <cols>
    <col min="1" max="1" width="17.21875" customWidth="1"/>
    <col min="2" max="2" width="10.77734375" style="231" customWidth="1"/>
  </cols>
  <sheetData>
    <row r="1" spans="1:10">
      <c r="A1" s="234">
        <v>43155</v>
      </c>
      <c r="B1" s="252">
        <f>summary!$AT$783</f>
        <v>112.04063095238082</v>
      </c>
    </row>
    <row r="2" spans="1:10">
      <c r="A2" t="s">
        <v>662</v>
      </c>
      <c r="B2" s="252">
        <v>0.28999999999999998</v>
      </c>
    </row>
    <row r="4" spans="1:10">
      <c r="C4" s="274" t="s">
        <v>327</v>
      </c>
      <c r="D4" s="274"/>
      <c r="E4" s="274"/>
      <c r="F4" s="274"/>
      <c r="G4" s="274" t="s">
        <v>332</v>
      </c>
      <c r="H4" s="274"/>
      <c r="I4" s="274"/>
      <c r="J4" s="274"/>
    </row>
    <row r="5" spans="1:10">
      <c r="A5" t="s">
        <v>324</v>
      </c>
      <c r="B5" s="231" t="s">
        <v>325</v>
      </c>
      <c r="C5" s="215" t="s">
        <v>328</v>
      </c>
      <c r="D5" s="215" t="s">
        <v>329</v>
      </c>
      <c r="E5" s="215" t="s">
        <v>330</v>
      </c>
      <c r="F5" s="215" t="s">
        <v>331</v>
      </c>
      <c r="G5" s="215" t="s">
        <v>328</v>
      </c>
      <c r="H5" s="215" t="s">
        <v>329</v>
      </c>
      <c r="I5" s="215" t="s">
        <v>330</v>
      </c>
      <c r="J5" s="215" t="s">
        <v>331</v>
      </c>
    </row>
    <row r="6" spans="1:10">
      <c r="C6" s="252"/>
      <c r="D6" s="252"/>
      <c r="E6" s="252"/>
      <c r="F6" s="252"/>
      <c r="G6" s="252">
        <f>B1</f>
        <v>112.04063095238082</v>
      </c>
      <c r="H6" s="252">
        <f>B1</f>
        <v>112.04063095238082</v>
      </c>
      <c r="I6" s="252">
        <f>B1</f>
        <v>112.04063095238082</v>
      </c>
      <c r="J6" s="252">
        <f>B1</f>
        <v>112.04063095238082</v>
      </c>
    </row>
    <row r="7" spans="1:10">
      <c r="A7" s="28">
        <v>43155.999305497688</v>
      </c>
      <c r="B7" s="264">
        <v>24</v>
      </c>
      <c r="C7" s="252">
        <f t="shared" ref="C7:C9" si="0">B7*$B$2</f>
        <v>6.9599999999999991</v>
      </c>
      <c r="D7" s="252">
        <f t="shared" ref="D7:D9" si="1">C7*0.9</f>
        <v>6.2639999999999993</v>
      </c>
      <c r="E7" s="252">
        <f t="shared" ref="E7:E9" si="2">C7*0.8</f>
        <v>5.5679999999999996</v>
      </c>
      <c r="F7" s="252">
        <f t="shared" ref="F7:F9" si="3">C7*0.7</f>
        <v>4.871999999999999</v>
      </c>
      <c r="G7" s="252">
        <f>G6+C7</f>
        <v>119.00063095238082</v>
      </c>
      <c r="H7" s="252">
        <f t="shared" ref="H7:J7" si="4">H6+D7</f>
        <v>118.30463095238082</v>
      </c>
      <c r="I7" s="252">
        <f t="shared" si="4"/>
        <v>117.60863095238082</v>
      </c>
      <c r="J7" s="252">
        <f t="shared" si="4"/>
        <v>116.91263095238082</v>
      </c>
    </row>
    <row r="8" spans="1:10">
      <c r="A8" s="28">
        <v>43156.999305497688</v>
      </c>
      <c r="B8" s="264">
        <v>6</v>
      </c>
      <c r="C8" s="252">
        <f t="shared" si="0"/>
        <v>1.7399999999999998</v>
      </c>
      <c r="D8" s="252">
        <f t="shared" si="1"/>
        <v>1.5659999999999998</v>
      </c>
      <c r="E8" s="252">
        <f t="shared" si="2"/>
        <v>1.3919999999999999</v>
      </c>
      <c r="F8" s="252">
        <f t="shared" si="3"/>
        <v>1.2179999999999997</v>
      </c>
      <c r="G8" s="252">
        <f t="shared" ref="G8:G9" si="5">G7+C8</f>
        <v>120.74063095238081</v>
      </c>
      <c r="H8" s="252">
        <f t="shared" ref="H8:H9" si="6">H7+D8</f>
        <v>119.87063095238082</v>
      </c>
      <c r="I8" s="252">
        <f t="shared" ref="I8:I9" si="7">I7+E8</f>
        <v>119.00063095238082</v>
      </c>
      <c r="J8" s="252">
        <f t="shared" ref="J8:J9" si="8">J7+F8</f>
        <v>118.13063095238083</v>
      </c>
    </row>
    <row r="9" spans="1:10">
      <c r="A9" s="28">
        <v>43157.999305497688</v>
      </c>
      <c r="B9" s="264">
        <v>0</v>
      </c>
      <c r="C9" s="252">
        <f t="shared" si="0"/>
        <v>0</v>
      </c>
      <c r="D9" s="252">
        <f t="shared" si="1"/>
        <v>0</v>
      </c>
      <c r="E9" s="252">
        <f t="shared" si="2"/>
        <v>0</v>
      </c>
      <c r="F9" s="252">
        <f t="shared" si="3"/>
        <v>0</v>
      </c>
      <c r="G9" s="252">
        <f t="shared" si="5"/>
        <v>120.74063095238081</v>
      </c>
      <c r="H9" s="252">
        <f t="shared" si="6"/>
        <v>119.87063095238082</v>
      </c>
      <c r="I9" s="252">
        <f t="shared" si="7"/>
        <v>119.00063095238082</v>
      </c>
      <c r="J9" s="252">
        <f t="shared" si="8"/>
        <v>118.13063095238083</v>
      </c>
    </row>
  </sheetData>
  <mergeCells count="2">
    <mergeCell ref="C4:F4"/>
    <mergeCell ref="G4:J4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user time</vt:lpstr>
      <vt:lpstr>summary</vt:lpstr>
      <vt:lpstr>expect_KOT</vt:lpstr>
      <vt:lpstr>expect_kW</vt:lpstr>
      <vt:lpstr>KOT</vt:lpstr>
      <vt:lpstr>kW-week</vt:lpstr>
      <vt:lpstr>K</vt:lpstr>
      <vt:lpstr>summary!Print_Area</vt:lpstr>
      <vt:lpstr>'user time'!Print_Area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</dc:creator>
  <cp:lastModifiedBy>sakuma</cp:lastModifiedBy>
  <cp:lastPrinted>2018-02-24T21:10:47Z</cp:lastPrinted>
  <dcterms:created xsi:type="dcterms:W3CDTF">2016-05-29T02:51:31Z</dcterms:created>
  <dcterms:modified xsi:type="dcterms:W3CDTF">2018-02-24T21:11:42Z</dcterms:modified>
</cp:coreProperties>
</file>